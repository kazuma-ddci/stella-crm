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組合名簿" sheetId="1" r:id="rId5"/>
    <sheet state="visible" name="面談実施リスト" sheetId="2" r:id="rId6"/>
    <sheet state="visible" name="シート11" sheetId="3" r:id="rId7"/>
    <sheet state="visible" name="契約書一覧" sheetId="4" r:id="rId8"/>
    <sheet state="visible" name="自動化" sheetId="5" r:id="rId9"/>
    <sheet state="visible" name="案件管理シート" sheetId="6" r:id="rId10"/>
    <sheet state="visible" name="進行中リスト" sheetId="7" r:id="rId11"/>
    <sheet state="visible" name="伊藤先生質問予定" sheetId="8" r:id="rId12"/>
    <sheet state="visible" name="登記前の経費シート" sheetId="9" r:id="rId13"/>
    <sheet state="visible" name="スターターキット" sheetId="10" r:id="rId14"/>
    <sheet state="visible" name="BizDev" sheetId="11" r:id="rId15"/>
    <sheet state="visible" name="営業管理売上見込" sheetId="12" r:id="rId16"/>
    <sheet state="visible" name="開発要件定義" sheetId="13" r:id="rId17"/>
    <sheet state="visible" name="00_マスター目次" sheetId="14" r:id="rId18"/>
    <sheet state="visible" name="01_事業コンセプト完全理解" sheetId="15" r:id="rId19"/>
    <sheet state="visible" name="02_法的基盤と防御戦略" sheetId="16" r:id="rId20"/>
    <sheet state="visible" name="03_営業完全マニュアル" sheetId="17" r:id="rId21"/>
    <sheet state="visible" name="04_シミュレーター＆ツール" sheetId="18" r:id="rId22"/>
    <sheet state="visible" name="05_CS実務ガイド" sheetId="19" r:id="rId23"/>
    <sheet state="visible" name="06_書類・契約テンプレート" sheetId="20" r:id="rId24"/>
    <sheet state="visible" name="07_組織運営・拡大戦略" sheetId="21" r:id="rId25"/>
    <sheet state="visible" name="08_リファレンス" sheetId="22" r:id="rId26"/>
    <sheet state="visible" name="代理店契約書締結" sheetId="23" r:id="rId27"/>
  </sheets>
  <definedNames/>
  <calcPr/>
</workbook>
</file>

<file path=xl/sharedStrings.xml><?xml version="1.0" encoding="utf-8"?>
<sst xmlns="http://schemas.openxmlformats.org/spreadsheetml/2006/main" count="10855" uniqueCount="5117">
  <si>
    <t>No</t>
  </si>
  <si>
    <t>氏名</t>
  </si>
  <si>
    <t>メールアドレス</t>
  </si>
  <si>
    <t>ステータス</t>
  </si>
  <si>
    <t>契約書送付日</t>
  </si>
  <si>
    <t>契約締結日</t>
  </si>
  <si>
    <t>役職</t>
  </si>
  <si>
    <t>会社</t>
  </si>
  <si>
    <t>入会者区分</t>
  </si>
  <si>
    <t>LINE名</t>
  </si>
  <si>
    <t>電話番号</t>
  </si>
  <si>
    <t>住所</t>
  </si>
  <si>
    <t>紹介者</t>
  </si>
  <si>
    <t>備考</t>
  </si>
  <si>
    <t>メモ</t>
  </si>
  <si>
    <t>documentID</t>
  </si>
  <si>
    <t>クラウドサインURL</t>
  </si>
  <si>
    <t>リマインド回数</t>
  </si>
  <si>
    <t>(旧契約書)
ステータス</t>
  </si>
  <si>
    <t>(旧契約書)
契約書送付日</t>
  </si>
  <si>
    <t>(旧契約書)
契約締結日</t>
  </si>
  <si>
    <t>(旧契約書)
documentID</t>
  </si>
  <si>
    <t>(旧契約書)
クラウドサインURL</t>
  </si>
  <si>
    <t>(旧契約書)
リマインド回数</t>
  </si>
  <si>
    <t>訂正メール</t>
  </si>
  <si>
    <t>坂井 博俊</t>
  </si>
  <si>
    <t>h.sakai@value-frontier.jp</t>
  </si>
  <si>
    <t>契約書送付済</t>
  </si>
  <si>
    <t>代表取締役会長</t>
  </si>
  <si>
    <t>VF</t>
  </si>
  <si>
    <t>バリューフロンティア</t>
  </si>
  <si>
    <t>01mw7dm0xc0vc2kgjs71xjtmxra9z14r</t>
  </si>
  <si>
    <t>破棄処理</t>
  </si>
  <si>
    <t>済み</t>
  </si>
  <si>
    <t>大塚崇司</t>
  </si>
  <si>
    <t>t.otsuka@value-frontier.jp</t>
  </si>
  <si>
    <t>代表取締役社長</t>
  </si>
  <si>
    <t>01mw7dmcxwxj06hz4bexyyt7k6x2q095</t>
  </si>
  <si>
    <t>組合員契約書締結</t>
  </si>
  <si>
    <t>菅原宗紀（すがわらむねのり）</t>
  </si>
  <si>
    <t>m.sugawara@value-frontier.jp</t>
  </si>
  <si>
    <t>営業</t>
  </si>
  <si>
    <t>01mw7dmyvw7e06yk03t0wb1bdsxpbgrj</t>
  </si>
  <si>
    <t>https://www.cloudsign.jp/document/01mw7dmyvw7e06yk03t0wb1bdsxpbgrj/summary</t>
  </si>
  <si>
    <t>小山大貴（こやまだいき）</t>
  </si>
  <si>
    <t>d.koyama@value-frontier.jp</t>
  </si>
  <si>
    <t>01mw7dnftgss41apy7akj1xk54vw8n42</t>
  </si>
  <si>
    <t>https://www.cloudsign.jp/document/01mw7dnftgss41apy7akj1xk54vw8n42/summary</t>
  </si>
  <si>
    <t>本岡 佳大（もとおかよしひろ）</t>
  </si>
  <si>
    <t>y.motooka@value-frontier.jp</t>
  </si>
  <si>
    <t>01mw7dw7xjhsgsbtpndz8kgqvy79rg52</t>
  </si>
  <si>
    <t>中村 友昭（なかむらともあき）</t>
  </si>
  <si>
    <t>t.nakamura@value-frontier.jp</t>
  </si>
  <si>
    <t>01mw7dwedgt1ax422tby764vkvq4mjb1</t>
  </si>
  <si>
    <t>https://www.cloudsign.jp/document/01mw7dwedgt1ax422tby764vkvq4mjb1/summary</t>
  </si>
  <si>
    <t>岡山 愛紗実（おかやまあさみ）</t>
  </si>
  <si>
    <t>a.okayama@value-frontier.jp</t>
  </si>
  <si>
    <t>01mw7dwkxjq33avewrckfest31f4jb51</t>
  </si>
  <si>
    <t>堀内 信宏（ほりうちのぶひろ）</t>
  </si>
  <si>
    <t>n.horiuchi@value-frontier.jp</t>
  </si>
  <si>
    <t>01mw7dwsarv5jsd5pvccmcgrfe7yh1sk</t>
  </si>
  <si>
    <t>https://www.cloudsign.jp/document/01mw7dwsarv5jsd5pvccmcgrfe7yh1sk/summary</t>
  </si>
  <si>
    <t>久家 梨瑶（クヤ　リヨウ）</t>
  </si>
  <si>
    <t>r.shinohara@value-frontier.jp</t>
  </si>
  <si>
    <t>01mw7dx0qqwf99qgfqzdzc9p2vt351w8</t>
  </si>
  <si>
    <t>https://www.cloudsign.jp/document/01mw7dx0qqwf99qgfqzdzc9p2vt351w8/summary</t>
  </si>
  <si>
    <t>野村 巡（ノムラ　ジュン）</t>
  </si>
  <si>
    <t>j.nomura@value-frontier.jp</t>
  </si>
  <si>
    <t>01mw7dx77efqj1vzdkbk7v2x8j78r4fr</t>
  </si>
  <si>
    <t>日髙 圭（ヒダカ　ケイ）</t>
  </si>
  <si>
    <t>k.hidaka@value-frontier.jp</t>
  </si>
  <si>
    <t>01mw7dxcrbd9cgwyd1gkc3wtx2g6qfks</t>
  </si>
  <si>
    <t>https://www.cloudsign.jp/document/01mw7dxcrbd9cgwyd1gkc3wtx2g6qfks/summary</t>
  </si>
  <si>
    <t>田中創作</t>
  </si>
  <si>
    <t>sousaku0113@gmail.com</t>
  </si>
  <si>
    <t>理事</t>
  </si>
  <si>
    <t>Nuクリニック</t>
  </si>
  <si>
    <t>01mw7dxhbzxt424n588n0sr92weqfrr9</t>
  </si>
  <si>
    <t>新沼直哉</t>
  </si>
  <si>
    <t>niinumanaoya@sedent.co.jp</t>
  </si>
  <si>
    <t>株式会社セキムラ</t>
  </si>
  <si>
    <t>01mw7dxqadpx492s6e3d9zy5kmcmhqxd</t>
  </si>
  <si>
    <t>https://www.cloudsign.jp/document/01mw7dxqadpx492s6e3d9zy5kmcmhqxd/summary</t>
  </si>
  <si>
    <t>木村久美子</t>
  </si>
  <si>
    <t>kimura@sedent.co.jp</t>
  </si>
  <si>
    <t>不要データ</t>
  </si>
  <si>
    <t>新沼さんと同じ会社</t>
  </si>
  <si>
    <t>契約破棄</t>
  </si>
  <si>
    <t>川添恭伯</t>
  </si>
  <si>
    <t>y.kawazoe@coaris.co.jp</t>
  </si>
  <si>
    <t>01mw7dxx2vb5bvsbfej54vcemahdhv71</t>
  </si>
  <si>
    <t>https://www.cloudsign.jp/document/01mw7dxx2vb5bvsbfej54vcemahdhv71/summary</t>
  </si>
  <si>
    <t>渡邉勝紀</t>
  </si>
  <si>
    <t>k.watanabe@kotonohamarketing.com</t>
  </si>
  <si>
    <t>スタイルエッジ</t>
  </si>
  <si>
    <t>01mw7dy3ga388jq27yp89vbe45n4g40a</t>
  </si>
  <si>
    <t>https://www.cloudsign.jp/document/01mw7dy3ga388jq27yp89vbe45n4g40a/summary</t>
  </si>
  <si>
    <t>鈴木孝一郎</t>
  </si>
  <si>
    <t>swimno1.516@gmail.com</t>
  </si>
  <si>
    <t>弊社</t>
  </si>
  <si>
    <t>Stella</t>
  </si>
  <si>
    <t>01mw7dy81kcjq8dted7pfkpqz4reybh9</t>
  </si>
  <si>
    <t>高畑智弘</t>
  </si>
  <si>
    <t>takahata@ensolu.jp</t>
  </si>
  <si>
    <t>代表取締役/セールスコンサルタント ブランディング戦略プロデューサー</t>
  </si>
  <si>
    <t>株式会社エンジン&amp;ソリューションズ</t>
  </si>
  <si>
    <t>01mw7dyfz5cfnqdt2maxm8g6abbx2tsq</t>
  </si>
  <si>
    <t>井久保 大介</t>
  </si>
  <si>
    <t>d.ikubo@pricom.jp</t>
  </si>
  <si>
    <t>代表者</t>
  </si>
  <si>
    <t>株式会社プリコム</t>
  </si>
  <si>
    <t>2/18再送</t>
  </si>
  <si>
    <t>01mw7dyvtst5f529skmmq8zcaggaye7w</t>
  </si>
  <si>
    <t>大津山裕介</t>
  </si>
  <si>
    <t>yusuke-otsuyama@new-create.jp</t>
  </si>
  <si>
    <t>株式会社NEWCREATE</t>
  </si>
  <si>
    <t>01mw7eapx2ff3ta6hx8ft29qnsve4r06</t>
  </si>
  <si>
    <t>01mpy6wnt70mvc4v6f3zjtvrcd50rxv2</t>
  </si>
  <si>
    <t>草野純広</t>
  </si>
  <si>
    <t>utopia5571@gmail.com</t>
  </si>
  <si>
    <t>株式会社ＴＲＩＰ</t>
  </si>
  <si>
    <t>01mw7dz479h608n4h6t8xh10j55s8drq</t>
  </si>
  <si>
    <t>花田誉宜</t>
  </si>
  <si>
    <t>aspo@office.email.ne.jp</t>
  </si>
  <si>
    <t>aspo株式会社</t>
  </si>
  <si>
    <t>01mw7dz9segxe9415y4npz9rjpjm9ad4</t>
  </si>
  <si>
    <t>https://www.cloudsign.jp/document/01mw7dz9segxe9415y4npz9rjpjm9ad4/summary</t>
  </si>
  <si>
    <t>菊池 幸宏</t>
  </si>
  <si>
    <t>miyatozipapa@me.com</t>
  </si>
  <si>
    <t>01mw7dzfm6vy1aycd25actcj76797740</t>
  </si>
  <si>
    <t>石田敏之</t>
  </si>
  <si>
    <t>ishida1410@gmail.com</t>
  </si>
  <si>
    <t>01mw7dznmvn5q92k5t1yxf20qs7w86wz</t>
  </si>
  <si>
    <t>吉川 泰一</t>
  </si>
  <si>
    <t>y.yoshikawa@aragan-group.com</t>
  </si>
  <si>
    <t>01mw7dzvsk7853ram1gx9x61ngy8zcrd</t>
  </si>
  <si>
    <t>有馬恵樹</t>
  </si>
  <si>
    <t>mcstbm@gmail.com</t>
  </si>
  <si>
    <t>01mw7e038cfwwcpjn9z7pqqg50rzxtfa</t>
  </si>
  <si>
    <t>https://www.cloudsign.jp/document/01mw7e038cfwwcpjn9z7pqqg50rzxtfa/summary</t>
  </si>
  <si>
    <t>森光朝陽</t>
  </si>
  <si>
    <t>llihc.ital51@gmail.com</t>
  </si>
  <si>
    <t>AS</t>
  </si>
  <si>
    <t>01mw7e08qnj7kw2m5j91d2xxhccrc6k3</t>
  </si>
  <si>
    <t>川満惇平</t>
  </si>
  <si>
    <t>jkkjjunpei@gmail.com</t>
  </si>
  <si>
    <t>01mw7e0e52h8ttps2v2e4qgfzmed6eba</t>
  </si>
  <si>
    <t>天野来海</t>
  </si>
  <si>
    <t>amnkrm01@gmail.com</t>
  </si>
  <si>
    <t>01mw7e0mtfynr5gh512nen1jgfpwe6w7</t>
  </si>
  <si>
    <t>https://www.cloudsign.jp/document/01mw7e0mtfynr5gh512nen1jgfpwe6w7/summary</t>
  </si>
  <si>
    <t>尾崎由紀</t>
  </si>
  <si>
    <t xml:space="preserve">xocuvw5735@yahoo.co.jp </t>
  </si>
  <si>
    <t>01mw7e0w0jw9nrvd98a69tk5t12j0t7n</t>
  </si>
  <si>
    <t>https://www.cloudsign.jp/document/01mw7e0w0jw9nrvd98a69tk5t12j0t7n/summary</t>
  </si>
  <si>
    <t>芝田陽祐</t>
  </si>
  <si>
    <t>clover.lcozz@gmail.com</t>
  </si>
  <si>
    <t>再送※2026/1/25</t>
  </si>
  <si>
    <t>01mw7e12ytfc3v1p75cstbg3f8wk3z0w</t>
  </si>
  <si>
    <t>村主健太</t>
  </si>
  <si>
    <t>kenta1721@gmail.com</t>
  </si>
  <si>
    <t>再送※2026/1/26</t>
  </si>
  <si>
    <t>01mw7e182dckv8gdr0tz6178k2dbzfzv</t>
  </si>
  <si>
    <t>木原卓男</t>
  </si>
  <si>
    <t>kihara@mirai-support-center.org</t>
  </si>
  <si>
    <t>契約書未送付</t>
  </si>
  <si>
    <t>01mw7eaw2cnmvye3r0n5t7sa06jt09ht</t>
  </si>
  <si>
    <t>01mq3grmv4gpmh1xck0244jnfb4qmx4c</t>
  </si>
  <si>
    <t>田岡春幸</t>
  </si>
  <si>
    <t>taoka0415@gmail.com</t>
  </si>
  <si>
    <t>顧問・代表者</t>
  </si>
  <si>
    <t>ヒューマンリスクマネジメント株式会社</t>
  </si>
  <si>
    <t>01mw7eb11jz5h7cjavrbv1vbjpasggtt</t>
  </si>
  <si>
    <t>斎藤充</t>
  </si>
  <si>
    <t>saito@gs-payment.co.jp</t>
  </si>
  <si>
    <t>01mw7e1jn3ervjsnkxe7s91hsgn5xf01</t>
  </si>
  <si>
    <t>島倉優奈</t>
  </si>
  <si>
    <t>tinyisland117@gmail.com</t>
  </si>
  <si>
    <t>01mw7e1r4c65ms2ymzsc05q1tmn2yyge</t>
  </si>
  <si>
    <t>https://www.cloudsign.jp/document/01mw7e1r4c65ms2ymzsc05q1tmn2yyge/summary</t>
  </si>
  <si>
    <t>塩澤和真</t>
  </si>
  <si>
    <t>kazuma.shiozawa0816@gmail.com</t>
  </si>
  <si>
    <t>01mw7e1ypwca6bazf1k3843gjax329q9</t>
  </si>
  <si>
    <t>https://www.cloudsign.jp/document/01mw7e1ypwca6bazf1k3843gjax329q9/summary</t>
  </si>
  <si>
    <t>町田太朗</t>
  </si>
  <si>
    <t xml:space="preserve"> taro.machida@airx.co.jp</t>
  </si>
  <si>
    <t>コーポレート部門Director</t>
  </si>
  <si>
    <t>株式会社AirX</t>
  </si>
  <si>
    <t>01mw7e23d5nkz8gy5992prdsnjjkhf19</t>
  </si>
  <si>
    <t>01mqgvakjnrpynqzdvagwjp6d0d5pexj</t>
  </si>
  <si>
    <t>福栄祐吾</t>
  </si>
  <si>
    <t>yugo@airx.co.jp</t>
  </si>
  <si>
    <t>コーポレート部門人事部長</t>
  </si>
  <si>
    <t>01mw7e29y5h2kf44en62c7c97j9hk2ex</t>
  </si>
  <si>
    <t>01mqgvhcsc2b4swe1x84knqkk4wtc69s</t>
  </si>
  <si>
    <t>久保崎由佳</t>
  </si>
  <si>
    <t>yuka.kubosaki@gmail.com</t>
  </si>
  <si>
    <t>01mw7e2fngwkh0jftq4jhtd1kabyvz6f</t>
  </si>
  <si>
    <t>峰山勝成</t>
  </si>
  <si>
    <t>mineyama@sunshine-cc.jp</t>
  </si>
  <si>
    <t>担当者</t>
  </si>
  <si>
    <t>株式会社 宮崎サンシャイン</t>
  </si>
  <si>
    <t>01mw7e2na8k24mk2gjyqbz2b2t5ej8ss</t>
  </si>
  <si>
    <t>松山祐樹</t>
  </si>
  <si>
    <t>matsuyama@princematsuyama.co.jp</t>
  </si>
  <si>
    <t>有限会社プリンス松山美容室</t>
  </si>
  <si>
    <t>01mw7e2vvr79asxdjxdvs3qqvsdr9pg7</t>
  </si>
  <si>
    <t>https://www.cloudsign.jp/document/01mw7e2vvr79asxdjxdvs3qqvsdr9pg7/summary</t>
  </si>
  <si>
    <t>郡ゆかり</t>
  </si>
  <si>
    <t>yukari.Koori@gmail.com</t>
  </si>
  <si>
    <t>有限会社郡組</t>
  </si>
  <si>
    <t>01mw7e31bhz4cgp52rzx4rx7jgmtjpff</t>
  </si>
  <si>
    <t>谷川裕一朗</t>
  </si>
  <si>
    <t>thc-one@peace.ocn.ne.jp</t>
  </si>
  <si>
    <t>代表</t>
  </si>
  <si>
    <t>株式会社熊本電算</t>
  </si>
  <si>
    <t>01mw7e35fr6xbyjgqma01fynqf51n0n6</t>
  </si>
  <si>
    <t>齋藤吟史</t>
  </si>
  <si>
    <t>sginji3110@gmail.com</t>
  </si>
  <si>
    <t>01mw7e3b9s9yqzjnmjsbfpeaj5mq74d5</t>
  </si>
  <si>
    <t>01mqr9w8ye3ahxy8v2fqsaphfmcx63he</t>
  </si>
  <si>
    <t>https://www.cloudsign.jp/document/01mqr9w8ye3ahxy8v2fqsaphfmcx63he/summary</t>
  </si>
  <si>
    <t>堂坂京平</t>
  </si>
  <si>
    <t>kd2486r@gmail.com</t>
  </si>
  <si>
    <t>01mw7e3gp2gqt2r1bnwehws4tfd45n70</t>
  </si>
  <si>
    <t>01mqra6pa1kve5dffe28q0s5t38493m2</t>
  </si>
  <si>
    <t>堀口駿輔</t>
  </si>
  <si>
    <t>hori.shun17@gmail.com</t>
  </si>
  <si>
    <t>01mw7e3nqrf8atcc7yhssvykdg93kzz7</t>
  </si>
  <si>
    <t>https://www.cloudsign.jp/document/01mw7e3nqrf8atcc7yhssvykdg93kzz7/summary</t>
  </si>
  <si>
    <t>宮原大輔</t>
  </si>
  <si>
    <t>m.bigs.0613@gmail.com</t>
  </si>
  <si>
    <t>01mw7e3tzq8016zgrfs33j4sfjq8300q</t>
  </si>
  <si>
    <t>https://www.cloudsign.jp/document/01mw7e3tzq8016zgrfs33j4sfjq8300q/summary</t>
  </si>
  <si>
    <t>飯塚隆之介</t>
  </si>
  <si>
    <t>wara.ika46@gmail.com</t>
  </si>
  <si>
    <t>01mw7e402n7evakpw19a43x79s7an0fd</t>
  </si>
  <si>
    <t>内藤充希</t>
  </si>
  <si>
    <t>6n2m2n6@gmail.com</t>
  </si>
  <si>
    <t>01mw7e46hhwhms9nmrhwzz61kgmr7rft</t>
  </si>
  <si>
    <t>https://www.cloudsign.jp/document/01mw7e46hhwhms9nmrhwzz61kgmr7rft/summary</t>
  </si>
  <si>
    <t>01mqrbpcmyv62cg38sp6kd2d3p4yggyf</t>
  </si>
  <si>
    <t xml:space="preserve">手塚直也 </t>
  </si>
  <si>
    <t>naoyatezuka1203@gmail.com</t>
  </si>
  <si>
    <t>01mw7e4bw4pja3bevx3djy1n3q6rgczx</t>
  </si>
  <si>
    <t>01mqrbtkdzz49a673vepm9kzabr4h15k</t>
  </si>
  <si>
    <t>大村悠仁</t>
  </si>
  <si>
    <t>gkmulaji0815@gmail.com</t>
  </si>
  <si>
    <t>01mw7e4n1xcmtbarebkgy8azkjqf22pz</t>
  </si>
  <si>
    <t>岩崎鈴未</t>
  </si>
  <si>
    <t>suu.00015@gmail.com</t>
  </si>
  <si>
    <t>01mw7e4vg104fjayacnsvfpq599ae670</t>
  </si>
  <si>
    <t>今川将文</t>
  </si>
  <si>
    <t>kotomikense2@gmail.com</t>
  </si>
  <si>
    <t>KOTOMI　GROUP</t>
  </si>
  <si>
    <t>01mw7e50s35hf594bxhwdyj1qs80d0cy</t>
  </si>
  <si>
    <t>https://www.cloudsign.jp/document/01mw7e50s35hf594bxhwdyj1qs80d0cy/summary</t>
  </si>
  <si>
    <t>花蜜幸伸</t>
  </si>
  <si>
    <t>hana@sekaiheiwa.jp</t>
  </si>
  <si>
    <t>01mw7e565fcb30nwgysnb7rz24ak0amh</t>
  </si>
  <si>
    <t>大江広満</t>
  </si>
  <si>
    <t>hiromitsu@megumi-jimusho.jp</t>
  </si>
  <si>
    <t>株式会社セキムラの顧問社労士</t>
  </si>
  <si>
    <t>01mw7e5ca9pyfvjappaz8qr2aq899bm3</t>
  </si>
  <si>
    <t>加藤敦士</t>
  </si>
  <si>
    <t>kato@ryg.co.jp</t>
  </si>
  <si>
    <t>株式会社 MILLIMANIA</t>
  </si>
  <si>
    <t>01mw7e5hb7j7rmxmngrqmkyymdee4znn</t>
  </si>
  <si>
    <t>上野剛</t>
  </si>
  <si>
    <t>ueno@ryg.co.jp</t>
  </si>
  <si>
    <t>01mw7e5qzm9a3gazrxske8b06511gmsz</t>
  </si>
  <si>
    <t>杉本誠</t>
  </si>
  <si>
    <t>cerezoline@outlook.jp</t>
  </si>
  <si>
    <t>CEREZOLINE株式会社</t>
  </si>
  <si>
    <t>01mw7e5w2yb01z1apdm8da44y4r0fc4v</t>
  </si>
  <si>
    <t>01mr599vka65qpr8cf14b669vyc76p7n</t>
  </si>
  <si>
    <t>谷健太郎</t>
  </si>
  <si>
    <t>taniken@at-office.co.jp</t>
  </si>
  <si>
    <t>アットオフィス</t>
  </si>
  <si>
    <t>01mw7e62gmf5v6zw69c13pwg0ye8346s</t>
  </si>
  <si>
    <t>田村航</t>
  </si>
  <si>
    <t>tamura@ai-shigyo.or.jp</t>
  </si>
  <si>
    <t>01mw7e67f0j2msvppcf9e6x08t56sm7y</t>
  </si>
  <si>
    <t>https://www.cloudsign.jp/document/01mw7e67f0j2msvppcf9e6x08t56sm7y/summary</t>
  </si>
  <si>
    <t>田畑裕也</t>
  </si>
  <si>
    <t>kichi.ku.tabata@gmail.com</t>
  </si>
  <si>
    <t>01mw7e6cahznqsjqrjjdfedxc8xwrb55</t>
  </si>
  <si>
    <t>青柳朋樺</t>
  </si>
  <si>
    <t>kichi.ku.aoyagi@gmail.com</t>
  </si>
  <si>
    <t>01mw7e6kkaxb58gw8ans3ne6krpr50pe</t>
  </si>
  <si>
    <t>01mr7z646kqq9sa3gkne2pny5kkhk3gw</t>
  </si>
  <si>
    <t>石﨑真</t>
  </si>
  <si>
    <t>ishizaki@c-partners.co.jp</t>
  </si>
  <si>
    <t>01mw7e6ry19qctw26838xp5yb4c7mvfb</t>
  </si>
  <si>
    <t>https://www.cloudsign.jp/document/01mw7e6ry19qctw26838xp5yb4c7mvfb/summary</t>
  </si>
  <si>
    <t>山口達朗</t>
  </si>
  <si>
    <t>t.yamaguchi@g-w-j.co.jp</t>
  </si>
  <si>
    <t>取締役</t>
  </si>
  <si>
    <t>株式会社Good Work Japan</t>
  </si>
  <si>
    <t>01mw7e6y0hhxpjbhp7fj26zejzpmhfsm</t>
  </si>
  <si>
    <t>吉田惇一</t>
  </si>
  <si>
    <t>j.y@g-w-j.co.jp</t>
  </si>
  <si>
    <t>01mw7eb7gd2ft4n7j4w673vwe0vastgp</t>
  </si>
  <si>
    <t>https://www.cloudsign.jp/document/01mw7eb7gd2ft4n7j4w673vwe0vastgp/summary</t>
  </si>
  <si>
    <t>内田恭平</t>
  </si>
  <si>
    <t>ukyou666666@gmail.com</t>
  </si>
  <si>
    <t>01mw7ebdjjw202f2y5wtcerghv36yv8y</t>
  </si>
  <si>
    <t>https://www.cloudsign.jp/document/01mw7ebdjjw202f2y5wtcerghv36yv8y/summary</t>
  </si>
  <si>
    <t>根本光一</t>
  </si>
  <si>
    <t>nemoto.k33@gmail.com</t>
  </si>
  <si>
    <t>01mw7ebmt3jh78zpbfyt68mca280tzh1</t>
  </si>
  <si>
    <t>植倉弘智</t>
  </si>
  <si>
    <t>hirotomouekura1915111@gmail.com</t>
  </si>
  <si>
    <t>01mw7ebsyrzk5xm3y7gm9hmnyw3r7q6w</t>
  </si>
  <si>
    <t>望月和義</t>
  </si>
  <si>
    <t xml:space="preserve">3s3.cube@gmail.com </t>
  </si>
  <si>
    <t>01mw7ebzsew8932pgyacmt9x644nxhm8</t>
  </si>
  <si>
    <t>上沖和己</t>
  </si>
  <si>
    <t>kamioki19@olive.plala.or.jp</t>
  </si>
  <si>
    <t>株式会社上沖産業</t>
  </si>
  <si>
    <t>01mw7ec5w0c3dthszme4rc8hknq0jg2r</t>
  </si>
  <si>
    <t>藤尾謙太</t>
  </si>
  <si>
    <t>kenta.fujio.0811@gmail.com</t>
  </si>
  <si>
    <t>リアンクリニック</t>
  </si>
  <si>
    <t>01mw7ecbzx0hprk7pft4djxcf75t0hbb</t>
  </si>
  <si>
    <t>姫宮光一</t>
  </si>
  <si>
    <t>himemiya@kasoku.co.jp</t>
  </si>
  <si>
    <t>カソク株式会社</t>
  </si>
  <si>
    <t>01mw7ech7fh2ejgnfypkq66c65a6anx4</t>
  </si>
  <si>
    <t>周郷海</t>
  </si>
  <si>
    <t>kai.sugo.1@gmail.com</t>
  </si>
  <si>
    <t>株式会社keytable</t>
  </si>
  <si>
    <t>01mw7ecqk07s9jxw2v08w8y87nh03pcc</t>
  </si>
  <si>
    <t>01mrx2n9er8ak6td6k72m1pxj1dggwr6</t>
  </si>
  <si>
    <t>今井直紀</t>
  </si>
  <si>
    <t>imai@imf.gr.jp</t>
  </si>
  <si>
    <t>IMF株式会社</t>
  </si>
  <si>
    <t>01mw7ecwa7et6b2nstjs18bhekh6myz8</t>
  </si>
  <si>
    <t>https://www.cloudsign.jp/document/01mw7ecwa7et6b2nstjs18bhekh6myz8/summary</t>
  </si>
  <si>
    <t>田實誠幸</t>
  </si>
  <si>
    <t>sudaku.88@gmail.com</t>
  </si>
  <si>
    <t>株式会社S.Bホールディングス</t>
  </si>
  <si>
    <t>01mw7ed2ted2c4msskcszt9y0c5gycty</t>
  </si>
  <si>
    <t>増田えりか</t>
  </si>
  <si>
    <t>erika1126@e-top-clinic.net</t>
  </si>
  <si>
    <t>イートップクリニック</t>
  </si>
  <si>
    <t>01mw7ed8ez3are1nwm0vamrdcqvytkh2</t>
  </si>
  <si>
    <t>石上文之</t>
  </si>
  <si>
    <t>contact@otokojuku.biz</t>
  </si>
  <si>
    <t>株式会社やってみる</t>
  </si>
  <si>
    <t>01mw7edeq5c3w5nf3t1pxc5f3xffvh18</t>
  </si>
  <si>
    <t>https://www.cloudsign.jp/document/01mw7edeq5c3w5nf3t1pxc5f3xffvh18/summary</t>
  </si>
  <si>
    <t>遠藤雄太</t>
  </si>
  <si>
    <t>y.endo@drtraining.jp</t>
  </si>
  <si>
    <t>人事担当</t>
  </si>
  <si>
    <t>ドクタートレーニング</t>
  </si>
  <si>
    <t>01mw7edm2x1t129ckwznrky42tr9f4t7</t>
  </si>
  <si>
    <t>杉本清和</t>
  </si>
  <si>
    <t>k-sugimoto@sugimoto-shika.com</t>
  </si>
  <si>
    <t>医療法人社団ハピネス</t>
  </si>
  <si>
    <t>01mw7edtpkdjfffdjq5s0m60wsgxap1t</t>
  </si>
  <si>
    <t>01ms7qaqd17407eyqznx9n3vmx2mf7b1</t>
  </si>
  <si>
    <t>姫野憲一</t>
  </si>
  <si>
    <t>himeno@ac-create.jp</t>
  </si>
  <si>
    <t>株式会社エーシークリエイト</t>
  </si>
  <si>
    <t>01mw7ee0t61dfwttz7jejejdhbphsncn</t>
  </si>
  <si>
    <t>https://www.cloudsign.jp/document/01mw7ee0t61dfwttz7jejejdhbphsncn/summary</t>
  </si>
  <si>
    <t>01ms7qs5b1e2etdmqgfk5eyfg77jmtcs</t>
  </si>
  <si>
    <t>山越健司</t>
  </si>
  <si>
    <t>k-yamakoshi@value-advisers.co.jp</t>
  </si>
  <si>
    <t>株式会社会社バリューアドバイザーズ</t>
  </si>
  <si>
    <t>01mw7ee59ar9pj7bqtv5pbyep8kb7fqc</t>
  </si>
  <si>
    <t>三好恭統</t>
  </si>
  <si>
    <t>jship.central@gmail.com</t>
  </si>
  <si>
    <t>01mw7eecjn7kx4r3twa062wp5yrcmhhj</t>
  </si>
  <si>
    <t>https://www.cloudsign.jp/document/01mw7eecjn7kx4r3twa062wp5yrcmhhj/summary</t>
  </si>
  <si>
    <t>浜崎幸男</t>
  </si>
  <si>
    <t>yasue@hamakou.jp</t>
  </si>
  <si>
    <t>株式会社ハマダ工商</t>
  </si>
  <si>
    <t>01mw7eehp99xjvk7xq9mj4tmyt4zayyg</t>
  </si>
  <si>
    <t>https://www.cloudsign.jp/document/01mw7eehp99xjvk7xq9mj4tmyt4zayyg/summary</t>
  </si>
  <si>
    <t>01ms7rq296956rt0q3nycntf1kt729jt</t>
  </si>
  <si>
    <t>村上達哉</t>
  </si>
  <si>
    <t>t-murakami@lifemeister.com</t>
  </si>
  <si>
    <t xml:space="preserve"> ライフマスター株式会社</t>
  </si>
  <si>
    <t>01mw7ees6ra48ymm0ys7vp79ssk2t0m2</t>
  </si>
  <si>
    <t>https://www.cloudsign.jp/document/01mw7ees6ra48ymm0ys7vp79ssk2t0m2/summary</t>
  </si>
  <si>
    <t>浦崇典</t>
  </si>
  <si>
    <t>uratakagt@monzen-noto.com</t>
  </si>
  <si>
    <t>株式会社能登つ猛進</t>
  </si>
  <si>
    <t>01mw7ef0gey3a0gs2hghr5aq8zzwc2ft</t>
  </si>
  <si>
    <t>https://www.cloudsign.jp/document/01mw7ef0gey3a0gs2hghr5aq8zzwc2ft/summary</t>
  </si>
  <si>
    <t>渕上雄一</t>
  </si>
  <si>
    <t>jubileefuchigami@gmail.com</t>
  </si>
  <si>
    <t>01mw7ef5x1713pcry6ey1khbz3yd4r79</t>
  </si>
  <si>
    <t>岡野光壮</t>
  </si>
  <si>
    <t>okano@urudensun.jp</t>
  </si>
  <si>
    <t>株式会社Sun.Assist</t>
  </si>
  <si>
    <t>01mw7efbdbh6whm28a94x580g1pq0wba</t>
  </si>
  <si>
    <t>https://www.cloudsign.jp/document/01mw7efbdbh6whm28a94x580g1pq0wba/summary</t>
  </si>
  <si>
    <t>飯田真子</t>
  </si>
  <si>
    <t>mirai.seed168@gmail.com</t>
  </si>
  <si>
    <t>未来seed合同会社</t>
  </si>
  <si>
    <t>01mw7efh1jhr8mkrdkwyqnnxhscyjvsh</t>
  </si>
  <si>
    <t>西脇賢匡</t>
  </si>
  <si>
    <t>nishiwaki@newwest.jp</t>
  </si>
  <si>
    <t>株式会社NewWest</t>
  </si>
  <si>
    <t>01mw7efqv6r7cgz63rj31sda7cccmt1h</t>
  </si>
  <si>
    <t xml:space="preserve">三浦孝之 </t>
  </si>
  <si>
    <t>t.miura@earth-p.jp</t>
  </si>
  <si>
    <t>株式会社アースプランニング</t>
  </si>
  <si>
    <t>2026/02/20メールアドレス変更のため再送</t>
  </si>
  <si>
    <t>01mw7efy6vfks5ee7wxk1nvatwxaqdpy</t>
  </si>
  <si>
    <t>01msfg049kgw8hsar1hf84jgmet25t9z</t>
  </si>
  <si>
    <t>浅井克敏</t>
  </si>
  <si>
    <t>t.ishida@shoko-office.co.jp</t>
  </si>
  <si>
    <t>株式会社商工オフィス</t>
  </si>
  <si>
    <t>01mw7eg4vm9pwkgxdncxm492d9txz8my</t>
  </si>
  <si>
    <t>安樂陸</t>
  </si>
  <si>
    <t>anraku4545@gmail.com</t>
  </si>
  <si>
    <t>01mw7eg9ftmgz41q02b6zxbr36nj0sgz</t>
  </si>
  <si>
    <t>大林幸</t>
  </si>
  <si>
    <t>k.obayashi@talent-grp.co.jp</t>
  </si>
  <si>
    <t>株式会社タラント</t>
  </si>
  <si>
    <t>01mw7eggwde970hfjdhbwhbadrzn6s4z</t>
  </si>
  <si>
    <t>竹内広大</t>
  </si>
  <si>
    <t>ko.takeuchi@eggm.co.jp</t>
  </si>
  <si>
    <t>01mw7egnyzfgf99f9b57mqh731skqe6k</t>
  </si>
  <si>
    <t>01mscze87mzwta0gbyed1mr017j4g6xg</t>
  </si>
  <si>
    <t>沼倉隆平</t>
  </si>
  <si>
    <t>ooxmichaelxoo@gmail.com</t>
  </si>
  <si>
    <t>代表取締役</t>
  </si>
  <si>
    <t>株式会社イケメン</t>
  </si>
  <si>
    <t>01mw7egv2spmmx0mazh4vfhfxtnmxtz2</t>
  </si>
  <si>
    <t>01msczybw26csemdng7e9qgvj8hyn3e7</t>
  </si>
  <si>
    <t>藤山泰成</t>
  </si>
  <si>
    <t>ta@fujiyama.work</t>
  </si>
  <si>
    <t>大吉会計株式会社</t>
  </si>
  <si>
    <t>01mw7eh25f6n73ph90491mcg5rn3qewd</t>
  </si>
  <si>
    <t>川島僚介</t>
  </si>
  <si>
    <t>ure.2023@gmail.com</t>
  </si>
  <si>
    <t>株式会社Universe Solutions</t>
  </si>
  <si>
    <t>2026/2/20再送</t>
  </si>
  <si>
    <t>01mw7fm3nmrkm0wvp797hgemvx5hex5m</t>
  </si>
  <si>
    <t>伊藤圭司</t>
  </si>
  <si>
    <t>k-ito@itounso.com</t>
  </si>
  <si>
    <t>株式会社伊藤運送</t>
  </si>
  <si>
    <t>01mw7fmac7qce9jasvwnjffy2ex1wm6s</t>
  </si>
  <si>
    <t>https://www.cloudsign.jp/document/01mw7fmac7qce9jasvwnjffy2ex1wm6s/summary</t>
  </si>
  <si>
    <t>秀平健ニ</t>
  </si>
  <si>
    <t>ritsuko.hosoe@k2eng-ltd.co.jp</t>
  </si>
  <si>
    <t>ケーツーエンジニアリング株式会社</t>
  </si>
  <si>
    <t>01mw7fmf9s8ztypxwrr59ren1jt7res7</t>
  </si>
  <si>
    <t>https://www.cloudsign.jp/document/01mw7fmf9s8ztypxwrr59ren1jt7res7/summary</t>
  </si>
  <si>
    <t>丹谷聖一</t>
  </si>
  <si>
    <t>lazona2006@gmail.com</t>
  </si>
  <si>
    <t>01mw7fmmgwdmk31js7mksdt831s9pz53</t>
  </si>
  <si>
    <t>岡田一平</t>
  </si>
  <si>
    <t>okadaippei777@gmail.com</t>
  </si>
  <si>
    <t>01mw7fmvvgw3bb01qsdnkjhrj3ddk240</t>
  </si>
  <si>
    <t>01msff85n6fxwsd19gvz278nzrdqdd0g</t>
  </si>
  <si>
    <t>恒次明宏</t>
  </si>
  <si>
    <t>tsunetsugu@switch.am</t>
  </si>
  <si>
    <t>株式会社スイッチ</t>
  </si>
  <si>
    <t>01mw7fn17g9xncns5sr47665kexmem4m</t>
  </si>
  <si>
    <t>https://www.cloudsign.jp/document/01mw7fn17g9xncns5sr47665kexmem4m/summary</t>
  </si>
  <si>
    <t>角田哲平</t>
  </si>
  <si>
    <t>tsunoda@charion.jp</t>
  </si>
  <si>
    <t>CHARION</t>
  </si>
  <si>
    <t>01mw7g70pdf8gad6xr2xxjf1bf05npg2</t>
  </si>
  <si>
    <t>嵩和郎</t>
  </si>
  <si>
    <t>kazu-taka@castle.ocn.ne.jp</t>
  </si>
  <si>
    <t>有限会社旭空調設備メンテナンス</t>
  </si>
  <si>
    <t>01mw7fn9wb7dh0ekp5fzm3ff44ae4nzx</t>
  </si>
  <si>
    <t>嵩真知</t>
  </si>
  <si>
    <t>asahitcn@almond.ocn.ne.jp</t>
  </si>
  <si>
    <t>01mw7fnfxk82ha2tp9wa05737x4nzz90</t>
  </si>
  <si>
    <t>内平雅也</t>
  </si>
  <si>
    <t>uchihira.m@h-power.life</t>
  </si>
  <si>
    <t>株式会社クォリティプラス</t>
  </si>
  <si>
    <t>01mw7fnn6kq8sctrdxd9sa2cxpjsb7jf</t>
  </si>
  <si>
    <t>https://www.cloudsign.jp/document/01mw7fnn6kq8sctrdxd9sa2cxpjsb7jf/summary</t>
  </si>
  <si>
    <t>木下理恵</t>
  </si>
  <si>
    <t>kamiokikinosita@gmail.com</t>
  </si>
  <si>
    <t>01mw7fnwh7fwge4qzvd724pfx8zst3c8</t>
  </si>
  <si>
    <t>安齋光貴</t>
  </si>
  <si>
    <t>mitu6203@gmail.com</t>
  </si>
  <si>
    <t>01mw7fp2dg32m7b1txnqzj8pph479vjh</t>
  </si>
  <si>
    <t>手島康希</t>
  </si>
  <si>
    <t>franck0109@gmail.com</t>
  </si>
  <si>
    <t>01mw7fp9ew504dywtx5909a36bfasgr1</t>
  </si>
  <si>
    <t>https://www.cloudsign.jp/document/01mw7fp9ew504dywtx5909a36bfasgr1/summary</t>
  </si>
  <si>
    <t>川村圭</t>
  </si>
  <si>
    <t>3200hgl01@gmail.com</t>
  </si>
  <si>
    <t>株式会社おかし</t>
  </si>
  <si>
    <t>01mw7fpe5e2f7w4tw2m9m48xnvchf6qk</t>
  </si>
  <si>
    <t>01mst189mbdcbk2hjq9w3023mg4mdr6n</t>
  </si>
  <si>
    <t>藤田裕介</t>
  </si>
  <si>
    <t>yusuke.fujita@hd-manabi.com</t>
  </si>
  <si>
    <t>合同会社まなびコンサルティング</t>
  </si>
  <si>
    <t>01mw7fpmj0sd7g5q2wshv2p7fnh7kq1r</t>
  </si>
  <si>
    <t>01mst1g2ra71kv3t3d5dtk73szrsag5y</t>
  </si>
  <si>
    <t>井上大樹</t>
  </si>
  <si>
    <t>taiki.inoue@arboris.jp</t>
  </si>
  <si>
    <t>株式会社Arboris</t>
  </si>
  <si>
    <t>01mw7fptwb02p3vdf7p7840akmgpdbpm</t>
  </si>
  <si>
    <t>東濱優</t>
  </si>
  <si>
    <t>lesson101@iCloud.com</t>
  </si>
  <si>
    <t>01mw7fq0sg30znr0cj5z8mrvbarct4zc</t>
  </si>
  <si>
    <t>https://www.cloudsign.jp/document/01mw7fq0sg30znr0cj5z8mrvbarct4zc/summary</t>
  </si>
  <si>
    <t>井上伸悟</t>
  </si>
  <si>
    <t>shingo_i@jp.bigplanet.com</t>
  </si>
  <si>
    <t>01mw7fq5mn8rmtjrb6b6p4gz2398842q</t>
  </si>
  <si>
    <t>https://www.cloudsign.jp/document/01mw7fq5mn8rmtjrb6b6p4gz2398842q/summary</t>
  </si>
  <si>
    <t>畑中空</t>
  </si>
  <si>
    <t>hatanaka@bander.jp</t>
  </si>
  <si>
    <t>01mw7fqba8xtnbze35we3n8nmmet0c9q</t>
  </si>
  <si>
    <t>https://www.cloudsign.jp/document/01mw7fqba8xtnbze35we3n8nmmet0c9q/summary</t>
  </si>
  <si>
    <t>岡田浩人</t>
  </si>
  <si>
    <t>okada@remix-net.jp</t>
  </si>
  <si>
    <t>株式会社リミックスプロダクツ</t>
  </si>
  <si>
    <t>01mw7fqgr8z5n4fycx91pths5h0z5e53</t>
  </si>
  <si>
    <t>01mstqvb0b1fja4359g3hvv030cyq5zn</t>
  </si>
  <si>
    <t>栗原政史</t>
  </si>
  <si>
    <t>kurihara@nextjp.co.jp</t>
  </si>
  <si>
    <t>01mw7fqphetb8te4adgrnz55aewfbksa</t>
  </si>
  <si>
    <t>上利隆広</t>
  </si>
  <si>
    <t>agari2021tcu@outlook.jp</t>
  </si>
  <si>
    <t>株式会社T.C.Uコーポレーション</t>
  </si>
  <si>
    <t>01mw7fqvfkv94tb4ka0jxa1rae83gpmk</t>
  </si>
  <si>
    <t>眞邊喜世治</t>
  </si>
  <si>
    <t>k_manabe@fixia.co.jp</t>
  </si>
  <si>
    <t>株式会社　FIXIA</t>
  </si>
  <si>
    <t>01mw7fr0xr34k6027j2ssbnfd6f1xwdj</t>
  </si>
  <si>
    <t>山根弘行</t>
  </si>
  <si>
    <t>h-yamane@hrfreaks.co.jp</t>
  </si>
  <si>
    <t>01mw7fr51wzqv21xdc3g392pq9ac6wyx</t>
  </si>
  <si>
    <t>瀬田髙寛</t>
  </si>
  <si>
    <t>seta@yakushinsha.jp</t>
  </si>
  <si>
    <t>株式会社葯信社</t>
  </si>
  <si>
    <t>01mw7g76w7eqpfy2ytm2c2a9y66q37s7</t>
  </si>
  <si>
    <t>https://www.cloudsign.jp/document/01mw7g76w7eqpfy2ytm2c2a9y66q37s7/summary</t>
  </si>
  <si>
    <t>奥野剛志</t>
  </si>
  <si>
    <t>info.kfield.co@gmail.com</t>
  </si>
  <si>
    <t>株式会社K-FielD</t>
  </si>
  <si>
    <t>01mw7frdx45xbfxrydccxpk82zm9x7t4</t>
  </si>
  <si>
    <t>https://www.cloudsign.jp/document/01mw7frdx45xbfxrydccxpk82zm9x7t4/summary</t>
  </si>
  <si>
    <t xml:space="preserve">佃佳奈 </t>
  </si>
  <si>
    <t>lcana0923@gmail.com</t>
  </si>
  <si>
    <t>01mw7frkdxk2td1kfh4kf6y3gkyb5xd9</t>
  </si>
  <si>
    <t>https://www.cloudsign.jp/document/01mw7frkdxk2td1kfh4kf6y3gkyb5xd9/summary</t>
  </si>
  <si>
    <t>林大敬</t>
  </si>
  <si>
    <t>hironinaru@gmail.com</t>
  </si>
  <si>
    <t>01mw7frrx6y10j1yf4x44sfkqzh0mpgt</t>
  </si>
  <si>
    <t>https://www.cloudsign.jp/document/01mw7frrx6y10j1yf4x44sfkqzh0mpgt/summary</t>
  </si>
  <si>
    <t>上原渉</t>
  </si>
  <si>
    <t>petlove@orbitpetapp.com</t>
  </si>
  <si>
    <t>株式会社オービット</t>
  </si>
  <si>
    <t>01mwm82cewghh43v02re5ehzpbht1v76</t>
  </si>
  <si>
    <t>https://www.cloudsign.jp/document/01mwm82cewghh43v02re5ehzpbht1v76/summary</t>
  </si>
  <si>
    <t>01mt02t73fv6x42f0533xfat3y5jtc7f</t>
  </si>
  <si>
    <t>辻亮</t>
  </si>
  <si>
    <t>ryo.tsuji@main-c.co.jp</t>
  </si>
  <si>
    <t>株式会社MainC</t>
  </si>
  <si>
    <t>01mw7fs4c81hjqr8e7dvm57n0qdwketb</t>
  </si>
  <si>
    <t>https://www.cloudsign.jp/document/01mw7fs4c81hjqr8e7dvm57n0qdwketb/summary</t>
  </si>
  <si>
    <t>小竹知美</t>
  </si>
  <si>
    <t>lb.avance.mg@ezweb.ne.jp</t>
  </si>
  <si>
    <t>株式会社リトルバンブー</t>
  </si>
  <si>
    <t>01mw7fsabebxvk2sy1j1tt06wz3qcref</t>
  </si>
  <si>
    <t>早坂哲吏</t>
  </si>
  <si>
    <t>hayasaka@jcos.jp</t>
  </si>
  <si>
    <t>01mw7fsfek3g7ahkcye2p58kat4bhz7c</t>
  </si>
  <si>
    <t>https://www.cloudsign.jp/document/01mw7fsfek3g7ahkcye2p58kat4bhz7c/summary</t>
  </si>
  <si>
    <t>01mt2jxn5xp8zj3ehckdsf5qkf6266ft</t>
  </si>
  <si>
    <t>山口進</t>
  </si>
  <si>
    <t>s.yamaguchi@go-haikan.co.jp</t>
  </si>
  <si>
    <t>有限会社剛配管設備工業</t>
  </si>
  <si>
    <t>01mw7g7c3bn2az3qbex7hwh6dae08tqj</t>
  </si>
  <si>
    <t>01mt2k10p3ezrgek6a2abb614jd0kf0a</t>
  </si>
  <si>
    <t>干場香苗</t>
  </si>
  <si>
    <t>urogoida@1st-motors.gr.jp</t>
  </si>
  <si>
    <t>株式会社ファースト・モータース</t>
  </si>
  <si>
    <t>01mw7fsppdwsbtppa5g9qc0fkkqvzmra</t>
  </si>
  <si>
    <t>01mt2pbe3wvch83bd3r4ytxrx8xtej03</t>
  </si>
  <si>
    <t>上田大悟郎</t>
  </si>
  <si>
    <t>urogoida21@gmail.com</t>
  </si>
  <si>
    <t>01mw7fsw8hy90483hgp5e6nv7ptvmsy2</t>
  </si>
  <si>
    <t>01mt2pe4v5q4m0wa4ysh2vd1z4v3hxws</t>
  </si>
  <si>
    <t>川近充</t>
  </si>
  <si>
    <t>kawachika@socueus.jp</t>
  </si>
  <si>
    <t>株式会社ソキュアス</t>
  </si>
  <si>
    <t>01mw7ft2tjxe1ayejmm7g11pqcz0fp49</t>
  </si>
  <si>
    <t>https://www.cloudsign.jp/document/01mw7ft2tjxe1ayejmm7g11pqcz0fp49/summary</t>
  </si>
  <si>
    <t>小寺啓介</t>
  </si>
  <si>
    <t>kestra0826@gmail.com</t>
  </si>
  <si>
    <t>株式会社ケストラ</t>
  </si>
  <si>
    <t>01mw7ft7enz891g7bp25mt23feknccjs</t>
  </si>
  <si>
    <t>https://www.cloudsign.jp/document/01mw7ft7enz891g7bp25mt23feknccjs/summary</t>
  </si>
  <si>
    <t>田原章象</t>
  </si>
  <si>
    <t>tahara@a-agent.net</t>
  </si>
  <si>
    <t>株式会社アンビシャスエージェント</t>
  </si>
  <si>
    <t>01mw7fte3gdkfmf5a9t2481ma6kh3f8m</t>
  </si>
  <si>
    <t>01mt9tzr89rk9xbvq8hnn2jfrrzt1twn</t>
  </si>
  <si>
    <t>渡辺健史</t>
  </si>
  <si>
    <t>bynmarketing.899@gmail.com</t>
  </si>
  <si>
    <t>株式会社B.Y.Nマーケティング</t>
  </si>
  <si>
    <t>01mw7ftmb57jsak1m372075bf01j061z</t>
  </si>
  <si>
    <t>01mt9v4jxf597pyzc621vk55x05r91wj</t>
  </si>
  <si>
    <t>新里知之</t>
  </si>
  <si>
    <t>n-seihon@niizato.jp</t>
  </si>
  <si>
    <t>株式会社新里製本所</t>
  </si>
  <si>
    <t>01mw7fts2qpbxyzp61haxzn7tc4qd541</t>
  </si>
  <si>
    <t>01mtd5qf8zvn5kypk0fxvjc4tg6fwrpa</t>
  </si>
  <si>
    <t>藤間勉</t>
  </si>
  <si>
    <t>toma.tsutomu@bitqube.co.jp</t>
  </si>
  <si>
    <t>株式会社ビットキューブ</t>
  </si>
  <si>
    <t>01mw7ftyt2a8sx103bb31gxchmbtv434</t>
  </si>
  <si>
    <t>https://www.cloudsign.jp/document/01mw7ftyt2a8sx103bb31gxchmbtv434/summary</t>
  </si>
  <si>
    <t>中村準</t>
  </si>
  <si>
    <t>all-the-best@twatwa.ne.jp</t>
  </si>
  <si>
    <t>株式会社Atb</t>
  </si>
  <si>
    <t>01mw7fv4hhyjjerkvyg9w55az8kb3v3s</t>
  </si>
  <si>
    <t>01mtd62pnxyb5jtnxyactqb4p1cb2exp</t>
  </si>
  <si>
    <t>石田定</t>
  </si>
  <si>
    <t>ishida@gokosangyo.com</t>
  </si>
  <si>
    <t>五光産業株式会社</t>
  </si>
  <si>
    <t>01mw7fvb37mby3k846bz2w3sgqpxdsqj</t>
  </si>
  <si>
    <t>01mtd66g656d3afq73m41qenw2ptbfq2</t>
  </si>
  <si>
    <t>今井紀男</t>
  </si>
  <si>
    <t>sunparts@giga.ocn.ne.jp</t>
  </si>
  <si>
    <t>株式会社ヨコタオートコーポレーション</t>
  </si>
  <si>
    <t>01mw7fvgjnq3ehy2shtgtzc0wny4nhs0</t>
  </si>
  <si>
    <t>中江寿英</t>
  </si>
  <si>
    <t>copain2013.926@gmail.com</t>
  </si>
  <si>
    <t>株式会社COPAIN</t>
  </si>
  <si>
    <t>01mw7fvn9r7t090m4ww0evmrgv6c57m8</t>
  </si>
  <si>
    <t>幅﨑一亮</t>
  </si>
  <si>
    <t>grnhm810@gmail.com</t>
  </si>
  <si>
    <t>FreeFactory株式会社</t>
  </si>
  <si>
    <t>01mw7fvvs1rr3b1q0gxje83xtbny207c</t>
  </si>
  <si>
    <t>https://www.cloudsign.jp/document/01mw7fvvs1rr3b1q0gxje83xtbny207c/summary</t>
  </si>
  <si>
    <t>橘井 智美</t>
  </si>
  <si>
    <t>o9015258992free@gmail.com</t>
  </si>
  <si>
    <t>01mw7fw2afg9jf7w2ebtj2a4s0b6hn8y</t>
  </si>
  <si>
    <t>01mtd6nv1nt7jra5wrzx1pvsadr7fn7s</t>
  </si>
  <si>
    <t>佐藤靖之</t>
  </si>
  <si>
    <t>yasuyuki-sato@rissei.jp</t>
  </si>
  <si>
    <t>立生株式会社</t>
  </si>
  <si>
    <t>01mw7fw6s6m7sew68n4w6d18w2hd5fey</t>
  </si>
  <si>
    <t>https://www.cloudsign.jp/document/01mw7fw6s6m7sew68n4w6d18w2hd5fey/summary</t>
  </si>
  <si>
    <t>和田剛</t>
  </si>
  <si>
    <t>t-wada@nikomaru.com</t>
  </si>
  <si>
    <t>株式会社デイリーマーム</t>
  </si>
  <si>
    <t>01mw7fwe27g08eam5g6v7b16e6sw6s50</t>
  </si>
  <si>
    <t>01mtd6x8y6ztjsvcnqcxzzchdftkc9x4</t>
  </si>
  <si>
    <t>森優</t>
  </si>
  <si>
    <t>hawafore.pr@gmail.com</t>
  </si>
  <si>
    <t>ハワイアンフォレストSpa株式会社</t>
  </si>
  <si>
    <t>01mw7fwkbrb09ytby8nfwf4tk126gznv</t>
  </si>
  <si>
    <t>早田弘之</t>
  </si>
  <si>
    <t>hayata@cleanup-int.com</t>
  </si>
  <si>
    <t>01mw7fwsvgnhkdtzcmgfckkv69cx64r7</t>
  </si>
  <si>
    <t>吉岡伸晃</t>
  </si>
  <si>
    <t>yoshioka19910903@gmail.com</t>
  </si>
  <si>
    <t>01mw7fwzprnqv9drpp8tk0ry3gtv2zfy</t>
  </si>
  <si>
    <t>01mtd7m90q53f4y1w6pmg4bwjp95nzzv</t>
  </si>
  <si>
    <t>平野裕貴</t>
  </si>
  <si>
    <t>yukihirano0330@gmail.com</t>
  </si>
  <si>
    <t>01mw7g7jr6r86c9pjfb7r5t341he10e0</t>
  </si>
  <si>
    <t>https://www.cloudsign.jp/document/01mw7g7jr6r86c9pjfb7r5t341he10e0/summary</t>
  </si>
  <si>
    <t>01mtf2xw2zd8ybm2wmxbfge6ww4rjajb</t>
  </si>
  <si>
    <t>神伊織</t>
  </si>
  <si>
    <t>i0803baseball@gmail.com</t>
  </si>
  <si>
    <t>01mw7fx7yewd5hc1wa0cqpfn7wh8jfbz</t>
  </si>
  <si>
    <t>安田大格</t>
  </si>
  <si>
    <t>d-yasuda@kosen-kensetsu.co.jp</t>
  </si>
  <si>
    <t>コーセン建設株式会社</t>
  </si>
  <si>
    <t>01mw7g7qezjn1ecrfhferdxt2fa5h3ha</t>
  </si>
  <si>
    <t>01mtf69nhn0wtk06eg4xbz9dmdaa7jta</t>
  </si>
  <si>
    <t>末永貴春</t>
  </si>
  <si>
    <t>kouji@hokuei-inc.work</t>
  </si>
  <si>
    <t>北永工建株式会社</t>
  </si>
  <si>
    <t>01mw7fxe8t60w61zsv1hhmbb0v8ckpwy</t>
  </si>
  <si>
    <t>https://www.cloudsign.jp/document/01mw7fxe8t60w61zsv1hhmbb0v8ckpwy/summary</t>
  </si>
  <si>
    <t>01mtf6e5c2h2782bnncrrkgzqt0v4qc5</t>
  </si>
  <si>
    <t>小黒笑佳</t>
  </si>
  <si>
    <t>os@progress-inc.work</t>
  </si>
  <si>
    <t>株式会社プログレス</t>
  </si>
  <si>
    <t>01mw7fxk3ep1fzdr3jg4esyzyvf0e9pd</t>
  </si>
  <si>
    <t>https://www.cloudsign.jp/document/01mw7fxk3ep1fzdr3jg4esyzyvf0e9pd/summary</t>
  </si>
  <si>
    <t>白江誠一郎</t>
  </si>
  <si>
    <t>seiichiro13boss@gmail.com</t>
  </si>
  <si>
    <t>BOSS Group株式会社</t>
  </si>
  <si>
    <t>01mw7fxs3p4n6nnvmp4frawvdej6jfwx</t>
  </si>
  <si>
    <t>小澤満</t>
  </si>
  <si>
    <t>mozawa620@gmail.com</t>
  </si>
  <si>
    <t>01mw7fxydqfje7q72bq0rwd9yhxnn87x</t>
  </si>
  <si>
    <t>https://www.cloudsign.jp/document/01mw7fxydqfje7q72bq0rwd9yhxnn87x/summary</t>
  </si>
  <si>
    <t>上里聖</t>
  </si>
  <si>
    <t>01mw7fy4scn9d2m18q0exypgnfk7t7k3</t>
  </si>
  <si>
    <t>01mthwe06hmq378j200tr1bswm1apgs0</t>
  </si>
  <si>
    <t>https://www.cloudsign.jp/document/01mthwe06hmq378j200tr1bswm1apgs0/summary</t>
  </si>
  <si>
    <t>元嶋加奈</t>
  </si>
  <si>
    <t>mtk.2020122@gmail.com</t>
  </si>
  <si>
    <t>株式会社MTK</t>
  </si>
  <si>
    <t>01mw7fyakhhtp2f84v89h55eg8vyys4h</t>
  </si>
  <si>
    <t>01mtj1nw5e4yqth87v492kz6bst3hxej</t>
  </si>
  <si>
    <t>林弘</t>
  </si>
  <si>
    <t>headoffice@first-techno.jp</t>
  </si>
  <si>
    <t>ファーストテクノ株式会社</t>
  </si>
  <si>
    <t>01mw7fyf1kp53ry7dxz1g55a9mh19ygt</t>
  </si>
  <si>
    <t>01mtj1yf4tn0e8n2rjw9w89hgvcfsc5z</t>
  </si>
  <si>
    <t>石黒隆夫</t>
  </si>
  <si>
    <t>t.ishiguro@kikuwa.com</t>
  </si>
  <si>
    <t>株式会社　喜久和</t>
  </si>
  <si>
    <t>01mww29jyv54d6xf1chh31ez4vm2nc2f</t>
  </si>
  <si>
    <t>https://www.cloudsign.jp/document/01mww29jyv54d6xf1chh31ez4vm2nc2f/summary</t>
  </si>
  <si>
    <t>01mtj25awt0gztawn41b5e0a4jphw81s</t>
  </si>
  <si>
    <t>野村雅俊</t>
  </si>
  <si>
    <t>m.nomura@value-frontier.jp</t>
  </si>
  <si>
    <t>株式会社バリュー・フロンティア</t>
  </si>
  <si>
    <t>01mw7fytgrhw03nt3bqtd4vrgb5g7aty</t>
  </si>
  <si>
    <t>https://www.cloudsign.jp/document/01mw7fytgrhw03nt3bqtd4vrgb5g7aty/summary</t>
  </si>
  <si>
    <t>夏目冴香</t>
  </si>
  <si>
    <t>s.natsume@value-frontier.jp</t>
  </si>
  <si>
    <t>01mw7fyzz8a9x81cs3bq7k42nwj2ff36</t>
  </si>
  <si>
    <t>https://www.cloudsign.jp/document/01mw7fyzz8a9x81cs3bq7k42nwj2ff36/summary</t>
  </si>
  <si>
    <t>田村麻菜</t>
  </si>
  <si>
    <t>m.tamura@value-frontier.jp</t>
  </si>
  <si>
    <t>01mw7g7x0d1fejb1p7c96kjr1yxp2zaw</t>
  </si>
  <si>
    <t>https://www.cloudsign.jp/document/01mw7g7x0d1fejb1p7c96kjr1yxp2zaw/summary</t>
  </si>
  <si>
    <t>松嶌拓磨</t>
  </si>
  <si>
    <t>t.matsushima@value-frontier.jp</t>
  </si>
  <si>
    <t>01mw7g8168jppn3y33b8pyy73b0qvnk1</t>
  </si>
  <si>
    <t>01mtj2xacep1tpnt90t9d111khss5wy9</t>
  </si>
  <si>
    <t>https://www.cloudsign.jp/document/01mtj2xacep1tpnt90t9d111khss5wy9/summary</t>
  </si>
  <si>
    <t>岩田直樹</t>
  </si>
  <si>
    <t>n.iwata@value-frontier.jp</t>
  </si>
  <si>
    <t>01mw7h2vp17yyvg058taeyt9ehshpxt3</t>
  </si>
  <si>
    <t>01mtj32t0413wrr94e8mfjqdy3v1axcf</t>
  </si>
  <si>
    <t>https://www.cloudsign.jp/document/01mtj32t0413wrr94e8mfjqdy3v1axcf/summary</t>
  </si>
  <si>
    <t>米良唯</t>
  </si>
  <si>
    <t>y.mera@value-frontier.jp</t>
  </si>
  <si>
    <t>01mw7g8aph9s7gt3qcxvptsnnp3e32kg</t>
  </si>
  <si>
    <t>https://www.cloudsign.jp/document/01mw7g8aph9s7gt3qcxvptsnnp3e32kg/summary</t>
  </si>
  <si>
    <t>01mtj35hsse1zjaqb7px70hn7j343q5m</t>
  </si>
  <si>
    <t>https://www.cloudsign.jp/document/01mtj35hsse1zjaqb7px70hn7j343q5m/summary</t>
  </si>
  <si>
    <t>山﨑裕史</t>
  </si>
  <si>
    <t>h.yamazaki@value-frontier.jp</t>
  </si>
  <si>
    <t>01mw7g8f3929y432gy7pxhwzw1n9sqwd</t>
  </si>
  <si>
    <t>https://www.cloudsign.jp/document/01mw7g8f3929y432gy7pxhwzw1n9sqwd/summary</t>
  </si>
  <si>
    <t>01mtj38hvz2b28cnedd1z4yxz3es8sne</t>
  </si>
  <si>
    <t>https://www.cloudsign.jp/document/01mtj38hvz2b28cnedd1z4yxz3es8sne/summary</t>
  </si>
  <si>
    <t>本山由真</t>
  </si>
  <si>
    <t>y.motoyama@value-frontier.jp</t>
  </si>
  <si>
    <t>01mw7g8qtxddq2r38zc5eck18r9xbzhw</t>
  </si>
  <si>
    <t>https://www.cloudsign.jp/document/01mw7g8qtxddq2r38zc5eck18r9xbzhw/summary</t>
  </si>
  <si>
    <t>羽鳥僚</t>
  </si>
  <si>
    <t>r.hatori@value-frontier.jp</t>
  </si>
  <si>
    <t>01mw7g8vgenjf5rk583tqcswf4ybwzn2</t>
  </si>
  <si>
    <t>01mtj3j6yas8ev28p8tp9st997yq04tw</t>
  </si>
  <si>
    <t>松山華恵</t>
  </si>
  <si>
    <t>k.matsuyama@value-frontier.jp</t>
  </si>
  <si>
    <t>01mw7g91m1p4q3jy8ted0vsvbcq6zeay</t>
  </si>
  <si>
    <t>https://www.cloudsign.jp/document/01mw7g91m1p4q3jy8ted0vsvbcq6zeay/summary</t>
  </si>
  <si>
    <t>宮浦由紀子</t>
  </si>
  <si>
    <t>y.miyaura@value-frontier.jp</t>
  </si>
  <si>
    <t>01mw7g97am9brh3qjevw7bndccwnavj6</t>
  </si>
  <si>
    <t>https://www.cloudsign.jp/document/01mw7g97am9brh3qjevw7bndccwnavj6/summary</t>
  </si>
  <si>
    <t>01mtj3ssx1v1wkvv1w2yqtpjqvm6j85v</t>
  </si>
  <si>
    <t>丸山菜晴</t>
  </si>
  <si>
    <t>n.maruyama@value-frontier.jp</t>
  </si>
  <si>
    <t>01mw7g9ea0bnb5wfdyepq9xksvrpex32</t>
  </si>
  <si>
    <t>https://www.cloudsign.jp/document/01mw7g9ea0bnb5wfdyepq9xksvrpex32/summary</t>
  </si>
  <si>
    <t>西川一馬</t>
  </si>
  <si>
    <t>k.nishikawa@value-frontier.jp</t>
  </si>
  <si>
    <t>01mw7g9kceqam927ym2zgybv1brydzdg</t>
  </si>
  <si>
    <t>https://www.cloudsign.jp/document/01mw7g9kceqam927ym2zgybv1brydzdg/summary</t>
  </si>
  <si>
    <t>01mtj3zjz83xgwd48n0xs56nb9h1053p</t>
  </si>
  <si>
    <t>https://www.cloudsign.jp/document/01mtj3zjz83xgwd48n0xs56nb9h1053p/summary</t>
  </si>
  <si>
    <t>八重垣翼</t>
  </si>
  <si>
    <t>t.yaegaki@value-frontier.jp</t>
  </si>
  <si>
    <t>01mw7g9sevbggwqgc1mdhbyx1jr8ved1</t>
  </si>
  <si>
    <t>https://www.cloudsign.jp/document/01mw7g9sevbggwqgc1mdhbyx1jr8ved1/summary</t>
  </si>
  <si>
    <t>黒木美穂子</t>
  </si>
  <si>
    <t>m.kuroki@value-frontier.jp</t>
  </si>
  <si>
    <t>01mw7h31jq59d69kg1kcp9sw9pgwgkg4</t>
  </si>
  <si>
    <t>https://www.cloudsign.jp/document/01mw7h31jq59d69kg1kcp9sw9pgwgkg4/summary</t>
  </si>
  <si>
    <t>01mtj46s8zghw4awmhs6ep0fw97b5apv</t>
  </si>
  <si>
    <t>酒井聖人</t>
  </si>
  <si>
    <t>m.sakai@value-frontier.jp</t>
  </si>
  <si>
    <t>01mw7ga0zeqwym9fc4ab7ren8vp1qkw4</t>
  </si>
  <si>
    <t>https://www.cloudsign.jp/document/01mw7ga0zeqwym9fc4ab7ren8vp1qkw4/summary</t>
  </si>
  <si>
    <t>糸賀涼也</t>
  </si>
  <si>
    <t>r.itoga@value-frontier.jp</t>
  </si>
  <si>
    <t>01mw7ga6wy2bvv9hp11s8s3jb0k6xssn</t>
  </si>
  <si>
    <t>https://www.cloudsign.jp/document/01mw7ga6wy2bvv9hp11s8s3jb0k6xssn/summary</t>
  </si>
  <si>
    <t>01mtj4cv89sjrstqyhbvx1w9j5meea8t</t>
  </si>
  <si>
    <t>https://www.cloudsign.jp/document/01mtj4cv89sjrstqyhbvx1w9j5meea8t/summary</t>
  </si>
  <si>
    <t>伊藤湧亮</t>
  </si>
  <si>
    <t>y.ito@value-frontier.jp</t>
  </si>
  <si>
    <t>01mw7gab0ak40h6w2548nvf1fqg5qs53</t>
  </si>
  <si>
    <t>https://www.cloudsign.jp/document/01mw7gab0ak40h6w2548nvf1fqg5qs53/summary</t>
  </si>
  <si>
    <t>中井洸貴</t>
  </si>
  <si>
    <t>k.nakai@value-frontier.jp</t>
  </si>
  <si>
    <t>01mww80gkpxev9k9p8863ak44xgnzrgm</t>
  </si>
  <si>
    <t>https://www.cloudsign.jp/document/01mww80gkpxev9k9p8863ak44xgnzrgm/summary</t>
  </si>
  <si>
    <t>01mtj4kk3aw64sw58t37cmtedm10hn14</t>
  </si>
  <si>
    <t>長崎百花</t>
  </si>
  <si>
    <t>m.nagasaki@value-frontier.jp</t>
  </si>
  <si>
    <t>01mw7gaqza8dhtd4xq8h2gjjam8cszgx</t>
  </si>
  <si>
    <t>西﨑七海</t>
  </si>
  <si>
    <t>n.yamato@value-frontier.jp</t>
  </si>
  <si>
    <t>01mw7gawxf61zxxfjgnw24k4v1wfqx2d</t>
  </si>
  <si>
    <t>https://www.cloudsign.jp/document/01mw7gawxf61zxxfjgnw24k4v1wfqx2d/summary</t>
  </si>
  <si>
    <t>西本洋介</t>
  </si>
  <si>
    <t>nishimoto.y@nishimotoya.co.jp</t>
  </si>
  <si>
    <t>有限会社ニシモトヤ</t>
  </si>
  <si>
    <t>01mw7gb24hw496yemf8db9qf4ey3vksf</t>
  </si>
  <si>
    <t>01mtj6dteekwc3gcmkddbk9f29srrv5z</t>
  </si>
  <si>
    <t>桜井雄馬</t>
  </si>
  <si>
    <t>galaxy.inc.1101@gmail.com</t>
  </si>
  <si>
    <t>株式会社GALAXY</t>
  </si>
  <si>
    <t>01mw7gb8ys29cgdjm5jrj4h997jhyfkt</t>
  </si>
  <si>
    <t>01mtj776vx9ryv6r1e1fk41sw02tc34z</t>
  </si>
  <si>
    <t>井上祐輔</t>
  </si>
  <si>
    <t>taeko@taikochaya.jp</t>
  </si>
  <si>
    <t>株式会社YTフーズ</t>
  </si>
  <si>
    <t>01mw7gbexkf3k63qpfza0qsaxxgbvdmw</t>
  </si>
  <si>
    <t>01mtj7fpw3wxf3qg3s58597bm21dk5vf</t>
  </si>
  <si>
    <t>井上多恵子</t>
  </si>
  <si>
    <t>taeko.19821007@gmail.com</t>
  </si>
  <si>
    <t>01mw7gbjbmvwfndty9jy50jrqw14ay17</t>
  </si>
  <si>
    <t>01mtj7k71rksnkat8b4d6z4vjwdwzjqw</t>
  </si>
  <si>
    <t>円山雄介</t>
  </si>
  <si>
    <t>maruyama27@muse.ocn.ne.jp</t>
  </si>
  <si>
    <t>株式会社MARUYAMA</t>
  </si>
  <si>
    <t>01mw7gbr46em5t7wspp3j7m4k6fng2n3</t>
  </si>
  <si>
    <t>https://www.cloudsign.jp/document/01mw7gbr46em5t7wspp3j7m4k6fng2n3/summary</t>
  </si>
  <si>
    <t>中垣茜</t>
  </si>
  <si>
    <t>a.yamaguchi@value-frontier.jp</t>
  </si>
  <si>
    <t>01mw7gbyzfts90znacpvmgn3pvam09zk</t>
  </si>
  <si>
    <t>https://www.cloudsign.jp/document/01mw7gbyzfts90znacpvmgn3pvam09zk/summary</t>
  </si>
  <si>
    <t>中島瑠菜</t>
  </si>
  <si>
    <t>r.nakashima@value-frontier.jp</t>
  </si>
  <si>
    <t>01mw7gc31sag6fnb0fvqxj055xqxjdcv</t>
  </si>
  <si>
    <t>https://www.cloudsign.jp/document/01mw7gc31sag6fnb0fvqxj055xqxjdcv/summary</t>
  </si>
  <si>
    <t>堀江香穂</t>
  </si>
  <si>
    <t>k.horie@value-frontier.jp</t>
  </si>
  <si>
    <t>01mw7gcafqdc7ncc46vbr62syga48dyc</t>
  </si>
  <si>
    <t>https://www.cloudsign.jp/document/01mw7gcafqdc7ncc46vbr62syga48dyc/summary</t>
  </si>
  <si>
    <t>森永学</t>
  </si>
  <si>
    <t>manabu@fukuokadenzai.co.jp</t>
  </si>
  <si>
    <t>福岡電材株式会社</t>
  </si>
  <si>
    <t>01mw7gcftk7fzvv3ddf2mkkxjrnhbhhv</t>
  </si>
  <si>
    <t>https://www.cloudsign.jp/document/01mw7gcftk7fzvv3ddf2mkkxjrnhbhhv/summary</t>
  </si>
  <si>
    <t>丸山義明</t>
  </si>
  <si>
    <t>maruyama@freedom-sp.com</t>
  </si>
  <si>
    <t xml:space="preserve">株式会社　FREEDOM </t>
  </si>
  <si>
    <t>01mw7gcn3t0sz40jnbv63at4awza7zgk</t>
  </si>
  <si>
    <t>https://www.cloudsign.jp/document/01mw7gcn3t0sz40jnbv63at4awza7zgk/summary</t>
  </si>
  <si>
    <t>山田謙吾</t>
  </si>
  <si>
    <t>maru1@freedom-sp.com</t>
  </si>
  <si>
    <t>株式会社エフライン</t>
  </si>
  <si>
    <t>01mw7gct6knv8gztrs1kzv6esnk4p9h7</t>
  </si>
  <si>
    <t>https://www.cloudsign.jp/document/01mw7gct6knv8gztrs1kzv6esnk4p9h7/summary</t>
  </si>
  <si>
    <t>重複してるのにどちらにも契約書を送ってしまっています。</t>
  </si>
  <si>
    <t>01mw7gd0qp26wxz9761gffjgdkpzw85w</t>
  </si>
  <si>
    <t>小山善弘</t>
  </si>
  <si>
    <t>koyama.tocosie@gmail.com</t>
  </si>
  <si>
    <t>株式会社トコシエ</t>
  </si>
  <si>
    <t>01mw7gd6gfn02gy3417902q8w2zysphx</t>
  </si>
  <si>
    <t>https://www.cloudsign.jp/document/01mw7gd6gfn02gy3417902q8w2zysphx/summary</t>
  </si>
  <si>
    <t>妹尾和正</t>
  </si>
  <si>
    <t>office@sagatechno.co.jp</t>
  </si>
  <si>
    <t>株式会社サガテクノ</t>
  </si>
  <si>
    <t>01mw7gdckk6g98x62zpfjxe181cagbm6</t>
  </si>
  <si>
    <t>https://www.cloudsign.jp/document/01mw7gdckk6g98x62zpfjxe181cagbm6/summary</t>
  </si>
  <si>
    <t>妹尾希望</t>
  </si>
  <si>
    <t>nurikae1268@gmail.com</t>
  </si>
  <si>
    <t>01mw7h37mprw2bhrzv6c5397mmsqc50x</t>
  </si>
  <si>
    <t>https://www.cloudsign.jp/document/01mw7h37mprw2bhrzv6c5397mmsqc50x/summary</t>
  </si>
  <si>
    <t>01mvhjy00e7xxkb7ygk07kek1210461k</t>
  </si>
  <si>
    <t>https://www.cloudsign.jp/document/01mvhjy00e7xxkb7ygk07kek1210461k/summary</t>
  </si>
  <si>
    <t>山本宏臣</t>
  </si>
  <si>
    <t>kk.sancho1@gmail.com</t>
  </si>
  <si>
    <t>株式会社さんちょう</t>
  </si>
  <si>
    <t>01mw7h3ddhs7ny0dz266pksgb3jkk8xh</t>
  </si>
  <si>
    <t>01mtwhgera6thzmg5ew6828ekeh8pp1n</t>
  </si>
  <si>
    <t>藤村智和</t>
  </si>
  <si>
    <t>f-advance@world.ocn.ne.jp</t>
  </si>
  <si>
    <t>株式会社ロイヤル</t>
  </si>
  <si>
    <t>01mw7h3kztj729rab0v413nvxax6cpn0</t>
  </si>
  <si>
    <t>01mtwhk8q9k7q15ywyvs1fhkffg5a7nr</t>
  </si>
  <si>
    <t>小野地恒平</t>
  </si>
  <si>
    <t>k_onochi@d-research.jp</t>
  </si>
  <si>
    <t>01mw7h3r8k998e8wgxshb8x1zwgac03k</t>
  </si>
  <si>
    <t>01mtwhnr0y5kpc8dcgqzh43s61fen61j</t>
  </si>
  <si>
    <t>藤野竜太郎</t>
  </si>
  <si>
    <t>estate@fujinogumi.co.jp</t>
  </si>
  <si>
    <t>株式会社FUJINO ESTATE</t>
  </si>
  <si>
    <t>2026/3/10再送</t>
  </si>
  <si>
    <t>01mw7h3z999538y6jhpv131j3g4xcddx</t>
  </si>
  <si>
    <t>01mtz8hz0dyg68pedjck5x9frd8p25tt</t>
  </si>
  <si>
    <t>岡森詩織</t>
  </si>
  <si>
    <t>yks-okamori@zeus.eonet.ne.jp</t>
  </si>
  <si>
    <t>株式会社YKS</t>
  </si>
  <si>
    <t>01mw7h44p4gaxtesp1xqvbp3jhk84wdx</t>
  </si>
  <si>
    <t>https://www.cloudsign.jp/document/01mw7h44p4gaxtesp1xqvbp3jhk84wdx/summary</t>
  </si>
  <si>
    <t>吉田真明</t>
  </si>
  <si>
    <t>k-m.yoshida@bijoude.jp</t>
  </si>
  <si>
    <t>株式会社ジェムケリーグループホールディングス</t>
  </si>
  <si>
    <t>01mw7h4a4641av5rf598egfvh14f2c2w</t>
  </si>
  <si>
    <t>https://www.cloudsign.jp/document/01mw7h4a4641av5rf598egfvh14f2c2w/summary</t>
  </si>
  <si>
    <t>蘆谷公宜</t>
  </si>
  <si>
    <t>kimitaka.ashitani@bondassetjapan.com</t>
  </si>
  <si>
    <t>ボンドグローバルホールディングス株式会社</t>
  </si>
  <si>
    <t>01mw7h4gn07bgrcctmtr3hf44qhas6wy</t>
  </si>
  <si>
    <t>https://www.cloudsign.jp/document/01mw7h4gn07bgrcctmtr3hf44qhas6wy/summary</t>
  </si>
  <si>
    <t>01mtwj6hmgyvhfqj76pkc603qed4gf8j</t>
  </si>
  <si>
    <t>土江啓太郎</t>
  </si>
  <si>
    <t>k-tsuchie@tsurutax.com</t>
  </si>
  <si>
    <t>01mw7h4p1f1chy55r2fn1w49hw4dmq4v</t>
  </si>
  <si>
    <t>見森雅史</t>
  </si>
  <si>
    <t>m.mimori.0713@gmail.com</t>
  </si>
  <si>
    <t>01mw7h4wqg9hcrm9tsp5phyh40jhq6bw</t>
  </si>
  <si>
    <t>長野健太</t>
  </si>
  <si>
    <t>k.r22pablow@gmail.com</t>
  </si>
  <si>
    <t>01mw7h513pznjeqzrp71jwcq9jbatf8a</t>
  </si>
  <si>
    <t>https://www.cloudsign.jp/document/01mw7h513pznjeqzrp71jwcq9jbatf8a/summary</t>
  </si>
  <si>
    <t>三浦啓吾</t>
  </si>
  <si>
    <t>acka0655@gmail.com</t>
  </si>
  <si>
    <t>01mw7h57ktyv7ee5d52shr0v04efdkhe</t>
  </si>
  <si>
    <t>01mtz0c99p3a3n9hghtzq35tkzndv2hm</t>
  </si>
  <si>
    <t>谷室基章</t>
  </si>
  <si>
    <t>kiyasuya@wish.ocn.ne.jp</t>
  </si>
  <si>
    <t>有限会社キヤスヤ</t>
  </si>
  <si>
    <t>01mw7h5ee40z447xnpv9r0bhkmmt2gbs</t>
  </si>
  <si>
    <t>01mtz3b6jynpey2k0h0dj6pc79gbr1yw</t>
  </si>
  <si>
    <t>相田真平</t>
  </si>
  <si>
    <t>thanksfarm@iaa.itkeeper.ne.jp</t>
  </si>
  <si>
    <t>株式会社サンクスファーム</t>
  </si>
  <si>
    <t>01mw7h5kh8j4par2jknafzhq0dtkb805</t>
  </si>
  <si>
    <t>01mtz3h1xaj5e75ctbk5m9q5t5e51ecn</t>
  </si>
  <si>
    <t>小田公武</t>
  </si>
  <si>
    <t>k-oda@koshi-web.jp</t>
  </si>
  <si>
    <t>株式会社公司</t>
  </si>
  <si>
    <t>01mw7h5s5qrtrx6mdsfp33p9bkzezs5q</t>
  </si>
  <si>
    <t>01mtz3kttd1hvj676sesdw8d4r0een4n</t>
  </si>
  <si>
    <t>羽野浩章</t>
  </si>
  <si>
    <t>sakurabaru@cosmos.ocn.ne.jp</t>
  </si>
  <si>
    <t>ベルバンク株式会社</t>
  </si>
  <si>
    <t>01mw7h60d89ymgrnc3r0gs8tknft0sde</t>
  </si>
  <si>
    <t>https://www.cloudsign.jp/document/01mw7h60d89ymgrnc3r0gs8tknft0sde/summary</t>
  </si>
  <si>
    <t>01mtz3p9sjyz06nx6thw47t5ygjxp12t</t>
  </si>
  <si>
    <t>兼久智朗</t>
  </si>
  <si>
    <t>kanehisa@takazmi.com</t>
  </si>
  <si>
    <t>株式会社タカズミ</t>
  </si>
  <si>
    <t>01mw7h66dwqedxbtxrn2km7r64mxfw31</t>
  </si>
  <si>
    <t>https://www.cloudsign.jp/document/01mw7h66dwqedxbtxrn2km7r64mxfw31/summary</t>
  </si>
  <si>
    <t>01mtz3s1xd0rm2sp5rp47nsk8ym3kcc1</t>
  </si>
  <si>
    <t>生平良</t>
  </si>
  <si>
    <t xml:space="preserve">r.oidaira@pride-japan.com </t>
  </si>
  <si>
    <t>株式会社 Pride</t>
  </si>
  <si>
    <t>01mw7h6cjmce64zp80802fybq101d7c0</t>
  </si>
  <si>
    <t>https://www.cloudsign.jp/document/01mw7h6cjmce64zp80802fybq101d7c0/summary</t>
  </si>
  <si>
    <t>岩田学</t>
  </si>
  <si>
    <t>m-iwata@harvest-1989.co.jp</t>
  </si>
  <si>
    <t>株式会社ハーベスト</t>
  </si>
  <si>
    <t>01mw7h6j8q2hy58x42kwqh60ys3mjm8d</t>
  </si>
  <si>
    <t>高倉理花</t>
  </si>
  <si>
    <t>r.takakura@value-frontier.jp</t>
  </si>
  <si>
    <t>01mw7h6rc73336ernc7rsd5fpcht7fp1</t>
  </si>
  <si>
    <t>https://www.cloudsign.jp/document/01mw7h6rc73336ernc7rsd5fpcht7fp1/summary</t>
  </si>
  <si>
    <t>01mtz6t3wgxz7w71nrt1hzf6bgh1cpy6</t>
  </si>
  <si>
    <t>上田ひなの</t>
  </si>
  <si>
    <t>h.ueda@value-frontier.jp</t>
  </si>
  <si>
    <t>01mw7h6z1w73fezm8a2a57r297w79syy</t>
  </si>
  <si>
    <t>https://www.cloudsign.jp/document/01mw7h6z1w73fezm8a2a57r297w79syy/summary</t>
  </si>
  <si>
    <t>大崎敬二</t>
  </si>
  <si>
    <t>k.jdox0524@gmail.com</t>
  </si>
  <si>
    <t>COCOLO株式会社</t>
  </si>
  <si>
    <t>01mw7h79p5e6tz7tqr0b25p2n5g42qjq</t>
  </si>
  <si>
    <t>名和定信</t>
  </si>
  <si>
    <t>nawakentiku0823@zm.commufa.jp</t>
  </si>
  <si>
    <t>株式会社名和建築</t>
  </si>
  <si>
    <t>01mw7h7fdvady3acvqrthgg1ttt0664h</t>
  </si>
  <si>
    <t>01mtxw879m1yekyy2t2j2yn5gnynq6hx</t>
  </si>
  <si>
    <t>名和匠</t>
  </si>
  <si>
    <t>takumi.tatata@icloud.com</t>
  </si>
  <si>
    <t>01mw7h7nsjydbykz966n7h76fzbxcnv5</t>
  </si>
  <si>
    <t>01mtxwh0789e0ywme58x28vm57nbdbrm</t>
  </si>
  <si>
    <t>秘書</t>
  </si>
  <si>
    <t>Stella株式会社</t>
  </si>
  <si>
    <t>個人（法人代表・役員・従業員）</t>
  </si>
  <si>
    <t>神奈川県秦野市今泉台3－4－9</t>
  </si>
  <si>
    <t>01mw7h7t08nvhbgsx8b4st2a0m623hnh</t>
  </si>
  <si>
    <t>01mtzdzgnkwfbg12nmxhctv7w557bh2g</t>
  </si>
  <si>
    <t>https://www.cloudsign.jp/document/01mtzdzgnkwfbg12nmxhctv7w557bh2g/summary</t>
  </si>
  <si>
    <t>山崎成</t>
  </si>
  <si>
    <t>osamu.yamazaki@epkotsoftware.co.jp</t>
  </si>
  <si>
    <t>01mw7h8023k829k01c58m1bkzp4afgr6</t>
  </si>
  <si>
    <t>https://www.cloudsign.jp/document/01mw7h8023k829k01c58m1bkzp4afgr6/summary</t>
  </si>
  <si>
    <t>松本将太郎</t>
  </si>
  <si>
    <t>matsumoto@grant-c.com</t>
  </si>
  <si>
    <t>01mw7h8512ej1a1nvtchdakg0qgjqd9t</t>
  </si>
  <si>
    <t>小野翔太</t>
  </si>
  <si>
    <t>info@threways.co.jp</t>
  </si>
  <si>
    <t>01mw7h8anhnbbay7jxjgky2f1a9j5ckc</t>
  </si>
  <si>
    <t>田谷憲正</t>
  </si>
  <si>
    <t>s_oak_soumu@outlook.jp</t>
  </si>
  <si>
    <t>株式会社サニーオーク</t>
  </si>
  <si>
    <t>01mwkmn7k4q3rzcyapsj343f3scg3bhw</t>
  </si>
  <si>
    <t>01mv26dm8mvazvsn8dp0g4tyf5k5jmkx</t>
  </si>
  <si>
    <t>山副憲男</t>
  </si>
  <si>
    <t>s_oak_soumu@ymail.ne.jp</t>
  </si>
  <si>
    <t>01mwcjgqa42j4tp3vwxghjwc4xt2ej8r</t>
  </si>
  <si>
    <t>https://www.cloudsign.jp/document/01mwcjgqa42j4tp3vwxghjwc4xt2ej8r/summary</t>
  </si>
  <si>
    <t>01mv26fh5cm08v794g8gm4100545b65c</t>
  </si>
  <si>
    <t>藤谷英敏</t>
  </si>
  <si>
    <t>mirise.fujitani@gmail.com</t>
  </si>
  <si>
    <t>合同会社ミライズトラスト</t>
  </si>
  <si>
    <t>01mw7h8yf7yxv2152xa4kpxegg2mrtnm</t>
  </si>
  <si>
    <t>https://www.cloudsign.jp/document/01mw7h8yf7yxv2152xa4kpxegg2mrtnm/summary</t>
  </si>
  <si>
    <t>01mv26g6vg5hh2bw58n7bsh7v5xyehha</t>
  </si>
  <si>
    <t>https://www.cloudsign.jp/document/01mv26g6vg5hh2bw58n7bsh7v5xyehha/summary</t>
  </si>
  <si>
    <t>大村賢太郎</t>
  </si>
  <si>
    <t>oomura-ken@ja-mcf.co.jp</t>
  </si>
  <si>
    <t>宮崎くみあいチキンフーズ株式会社</t>
  </si>
  <si>
    <t>01mw7h949ppvewre93ryy8a9gfejrpcy</t>
  </si>
  <si>
    <t>https://www.cloudsign.jp/document/01mw7h949ppvewre93ryy8a9gfejrpcy/summary</t>
  </si>
  <si>
    <t>01mv26gsa21pkes3sh3rbfa3sd71rqs9</t>
  </si>
  <si>
    <t>https://www.cloudsign.jp/document/01mv26gsa21pkes3sh3rbfa3sd71rqs9/summary</t>
  </si>
  <si>
    <t>上川一弘</t>
  </si>
  <si>
    <t>kamikawa-kaz@ja-mcf.co.jp</t>
  </si>
  <si>
    <t>01mw7h9ahbnfgkwsaj5g4e28fyy1e64y</t>
  </si>
  <si>
    <t>01mv26hf0k0wz13c50pvwa99hzejw7re</t>
  </si>
  <si>
    <t>中武匠</t>
  </si>
  <si>
    <t>nakatake-tak@ja-mcf.co.jp</t>
  </si>
  <si>
    <t>法人あてに再送</t>
  </si>
  <si>
    <t>01mw9x65yjp1abrb0p6c15fdxgvkt9e9</t>
  </si>
  <si>
    <t>https://www.cloudsign.jp/document/01mw9x65yjp1abrb0p6c15fdxgvkt9e9/summary</t>
  </si>
  <si>
    <t>01mv26j397j9c7q0fvdjgk08c4canc36</t>
  </si>
  <si>
    <t>野間瑞代</t>
  </si>
  <si>
    <t>noma-miz@ja-mcf.co.jp</t>
  </si>
  <si>
    <t>01mw7h9qs6kvx97zjaxj7a1xhhynt585</t>
  </si>
  <si>
    <t>01mv26jqtn64z26sj94ew5h9pq9jgpkz</t>
  </si>
  <si>
    <t>坂元亜美</t>
  </si>
  <si>
    <t>sakamoto-ami@ja-mcf.co.jp</t>
  </si>
  <si>
    <t>01mw7h9xc3qwj7xgw6gvcsx34d2neqq0</t>
  </si>
  <si>
    <t>01mv26k93e67v8jexejcq14587dzvnqt</t>
  </si>
  <si>
    <t>下木屋駿</t>
  </si>
  <si>
    <t>shimokiya-syu@ja-mcf.co.jp</t>
  </si>
  <si>
    <t>01mw7ha3t8v9p105cf8b108xx75fmp84</t>
  </si>
  <si>
    <t>01mv26ktnwksrk4z8g0fq743zmhygtxa</t>
  </si>
  <si>
    <t>今村拓也</t>
  </si>
  <si>
    <t>zrc60tac0219@gmail.com</t>
  </si>
  <si>
    <t>桑野造船株式会社</t>
  </si>
  <si>
    <t>01mw7ha8g3aehd4d6c9mnbbbkxat4bw2</t>
  </si>
  <si>
    <t>01mv26mhyz9whgpzbjfw0mhkmav0fpd2</t>
  </si>
  <si>
    <t>福居一樹</t>
  </si>
  <si>
    <t>fukui@harvest-1989.co.jp</t>
  </si>
  <si>
    <t>01mw7hafk17wp5tpvvh0629hkppx0wb1</t>
  </si>
  <si>
    <t>01mv26n43erfn42rdg1w1qy5tjs2d3jb</t>
  </si>
  <si>
    <t>https://www.cloudsign.jp/document/01mv26n43erfn42rdg1w1qy5tjs2d3jb/summary</t>
  </si>
  <si>
    <t>中広朋子</t>
  </si>
  <si>
    <t>nakahiro@harvest-1989.co.jp</t>
  </si>
  <si>
    <t>01mw7hamkrjd5j391tm3192p83fwqkg5</t>
  </si>
  <si>
    <t>01mv26nnekgnr869bn2n2vn0sdk6hcew</t>
  </si>
  <si>
    <t>https://www.cloudsign.jp/document/01mv26nnekgnr869bn2n2vn0sdk6hcew/summary</t>
  </si>
  <si>
    <t>澤本純成</t>
  </si>
  <si>
    <t>sawamoto@hokusei-corp.com</t>
  </si>
  <si>
    <t>株式会社ホクセイ</t>
  </si>
  <si>
    <t>01mw7hav34davz9yx6kz6w72hxhhnvd0</t>
  </si>
  <si>
    <t>01mv26p8w0spvnzgrmadqfjrqeys0vd4</t>
  </si>
  <si>
    <t>https://www.cloudsign.jp/document/01mv26p8w0spvnzgrmadqfjrqeys0vd4/summary</t>
  </si>
  <si>
    <t>楠谷和弘</t>
  </si>
  <si>
    <t>kustani1111@gmail.com</t>
  </si>
  <si>
    <t>有限会社楠谷運送</t>
  </si>
  <si>
    <t>01mw7hb1yc51efep57sepckzfqajv9a6</t>
  </si>
  <si>
    <t>01mv26pv9t2gpv1bb02xy00em4xh6htd</t>
  </si>
  <si>
    <t>近藤敦郎</t>
  </si>
  <si>
    <t>kondo@anduks.com</t>
  </si>
  <si>
    <t>01mw7hb6z99ahyh8t1tmwq4n0c0h276s</t>
  </si>
  <si>
    <t>https://www.cloudsign.jp/document/01mw7hb6z99ahyh8t1tmwq4n0c0h276s/summary</t>
  </si>
  <si>
    <t>01mv4w59gafmv79cfmptmaqsj1wq6b3c</t>
  </si>
  <si>
    <t>https://www.cloudsign.jp/document/01mv4w59gafmv79cfmptmaqsj1wq6b3c/summary</t>
  </si>
  <si>
    <t>鈴木邦康</t>
  </si>
  <si>
    <t>idm.inc24@gmail.com</t>
  </si>
  <si>
    <t>01mw7hbd8930kdjwys86qjzt7cbrmd0m</t>
  </si>
  <si>
    <t>https://www.cloudsign.jp/document/01mw7hbd8930kdjwys86qjzt7cbrmd0m/summary</t>
  </si>
  <si>
    <t>01mv4w5wbc70ww67p6chxnms59b5eha7</t>
  </si>
  <si>
    <t>畑地薫</t>
  </si>
  <si>
    <t>morning.kaoru@gmail.com</t>
  </si>
  <si>
    <t>合同会社BRIGHT</t>
  </si>
  <si>
    <t>01mw7hbj6kgwhrd9rq311fq5httzc6s6</t>
  </si>
  <si>
    <t>https://www.cloudsign.jp/document/01mw7hbj6kgwhrd9rq311fq5httzc6s6/summary</t>
  </si>
  <si>
    <t>01mv4w6f8te039peh3vzgqgfgmn6p2gh</t>
  </si>
  <si>
    <t>https://www.cloudsign.jp/document/01mv4w6f8te039peh3vzgqgfgmn6p2gh/summary</t>
  </si>
  <si>
    <t>武田翼</t>
  </si>
  <si>
    <t>t.takeda@axol1201.com</t>
  </si>
  <si>
    <t>株式会社アクソル</t>
  </si>
  <si>
    <t>01mw7hbrej53m0tt5zyhs3sa9tqygc4b</t>
  </si>
  <si>
    <t>https://www.cloudsign.jp/document/01mw7hbrej53m0tt5zyhs3sa9tqygc4b/summary</t>
  </si>
  <si>
    <t>01mv4w701e7meg3zdmd671ndqgn5mrr2</t>
  </si>
  <si>
    <t>https://www.cloudsign.jp/document/01mv4w701e7meg3zdmd671ndqgn5mrr2/summary</t>
  </si>
  <si>
    <t>税田哲生</t>
  </si>
  <si>
    <t>saita@fukuokadenzai.co.jp</t>
  </si>
  <si>
    <t>01mw7hbxnrp0cyjbved33d1gnrfygmqw</t>
  </si>
  <si>
    <t>01mv4w7x6kd853d87rtfxga9zzwj1ek5</t>
  </si>
  <si>
    <t>https://www.cloudsign.jp/document/01mv4w7x6kd853d87rtfxga9zzwj1ek5/summary</t>
  </si>
  <si>
    <t>田中一朗</t>
  </si>
  <si>
    <t>ichiro@fukuokadenzai.co.jp</t>
  </si>
  <si>
    <t>01mw7hc31a9zk0aj9snnwfcmcp8p19ah</t>
  </si>
  <si>
    <t>https://www.cloudsign.jp/document/01mw7hc31a9zk0aj9snnwfcmcp8p19ah/summary</t>
  </si>
  <si>
    <t>01mv4w8ex54rv9ksa20sjjmwpfsxh4zc</t>
  </si>
  <si>
    <t>https://www.cloudsign.jp/document/01mv4w8ex54rv9ksa20sjjmwpfsxh4zc/summary</t>
  </si>
  <si>
    <t>奥野茂樹</t>
  </si>
  <si>
    <t>info.enakama@gmail.com</t>
  </si>
  <si>
    <t>株式会社ENAKAM</t>
  </si>
  <si>
    <t>01mw7hc96wgzvsry0pnsps1syk1dfwzf</t>
  </si>
  <si>
    <t>01mv4x68frbj20scnnmes1mdwh7b345y</t>
  </si>
  <si>
    <t>https://www.cloudsign.jp/document/01mv4x68frbj20scnnmes1mdwh7b345y/summary</t>
  </si>
  <si>
    <t>碓井智晴</t>
  </si>
  <si>
    <t>webmaster@usuiworks.co.jp</t>
  </si>
  <si>
    <t>usuiworks株式会社</t>
  </si>
  <si>
    <t>01mw7hcf8r0g714w7sf8h6qpdv5kmzm4</t>
  </si>
  <si>
    <t>01mv4wb1fg71k8s665rb4ryekwmfarpz</t>
  </si>
  <si>
    <t>福山智礼</t>
  </si>
  <si>
    <t>tomotomo1919418@gmail.com</t>
  </si>
  <si>
    <t>株式会社エイチツーオー</t>
  </si>
  <si>
    <t>01mw7hcnw8r6dr7f1ygft6kvtb4wzd68</t>
  </si>
  <si>
    <t>https://www.cloudsign.jp/document/01mw7hcnw8r6dr7f1ygft6kvtb4wzd68/summary</t>
  </si>
  <si>
    <t>01mv4wbjec1kra2a60ps9yy2s4xfq6rz</t>
  </si>
  <si>
    <t>https://www.cloudsign.jp/document/01mv4wbjec1kra2a60ps9yy2s4xfq6rz/summary</t>
  </si>
  <si>
    <t>河上昌平</t>
  </si>
  <si>
    <t>info@kawakami-web.co.jp</t>
  </si>
  <si>
    <t>有限会社河上商店</t>
  </si>
  <si>
    <t>01mw7hcvg7dms405kt8jzz6xc10tjtjb</t>
  </si>
  <si>
    <t>https://www.cloudsign.jp/document/01mw7hcvg7dms405kt8jzz6xc10tjtjb/summary</t>
  </si>
  <si>
    <t>01mv4wc220140bptdbj70vrrqj6adfcz</t>
  </si>
  <si>
    <t>https://www.cloudsign.jp/document/01mv4wc220140bptdbj70vrrqj6adfcz/summary</t>
  </si>
  <si>
    <t>田中誠治</t>
  </si>
  <si>
    <t>tanaka@sorico.jp</t>
  </si>
  <si>
    <t>株式会社sorico</t>
  </si>
  <si>
    <t>01mw7hd15408pdc16en3dyf5kgwmfh0x</t>
  </si>
  <si>
    <t>https://www.cloudsign.jp/document/01mw7hd15408pdc16en3dyf5kgwmfh0x/summary</t>
  </si>
  <si>
    <t>01mv4wcn5xgd967s75zj2s2ghq6hvf6q</t>
  </si>
  <si>
    <t>https://www.cloudsign.jp/document/01mv4wcn5xgd967s75zj2s2ghq6hvf6q/summary</t>
  </si>
  <si>
    <t>坂本正裕</t>
  </si>
  <si>
    <t>masa.sakamoto811@gmail.com</t>
  </si>
  <si>
    <t>株式会社マッシヴドライヴ</t>
  </si>
  <si>
    <t>代理店</t>
  </si>
  <si>
    <t>M.Sakamoto</t>
  </si>
  <si>
    <t>佐賀県唐津市刀町1515-2 精乳舎ビル4階</t>
  </si>
  <si>
    <t>堂坂さん</t>
  </si>
  <si>
    <t>01mw7hd7wz9cwb3nqyeje4e5yx7h7tmv</t>
  </si>
  <si>
    <t>01mv518nk5dd2gyhdm47khxkq90pqpwh</t>
  </si>
  <si>
    <t>https://www.cloudsign.jp/document/01mv518nk5dd2gyhdm47khxkq90pqpwh/summary</t>
  </si>
  <si>
    <t>山本佳恵</t>
  </si>
  <si>
    <t>yamamoto@lulica.co.jp</t>
  </si>
  <si>
    <t>株式会社LULICA</t>
  </si>
  <si>
    <t>愛知県豊橋市萱町14 八千代ビル2階2B</t>
  </si>
  <si>
    <t>01mw7hdc7x1kwp2n8bw1h31bh9x1cmsw</t>
  </si>
  <si>
    <t>https://www.cloudsign.jp/document/01mw7hdc7x1kwp2n8bw1h31bh9x1cmsw/summary</t>
  </si>
  <si>
    <t>01mv6ws4swg32w1qate2zgkqyyekgy1s</t>
  </si>
  <si>
    <t>https://www.cloudsign.jp/document/01mv6ws4swg32w1qate2zgkqyyekgy1s/summary</t>
  </si>
  <si>
    <t>武田　翼</t>
  </si>
  <si>
    <t>新潟市西区五十嵐1の町6368-856</t>
  </si>
  <si>
    <t>01mw7hdj171athg9fvwmx6twyzmvk7zf</t>
  </si>
  <si>
    <t>https://www.cloudsign.jp/document/01mw7hdj171athg9fvwmx6twyzmvk7zf/summary</t>
  </si>
  <si>
    <t>01mv6xqvkqzz3yshapqsxggjmwcskkq8</t>
  </si>
  <si>
    <t>https://www.cloudsign.jp/document/01mv6xqvkqzz3yshapqsxggjmwcskkq8/summary</t>
  </si>
  <si>
    <t>冨永善啓</t>
  </si>
  <si>
    <t>tominaga@bunkoukei.co.jp</t>
  </si>
  <si>
    <t>株式会社文化財構造計画</t>
  </si>
  <si>
    <t>大阪市淀川区西中島5-13-12 谷ビル9F</t>
  </si>
  <si>
    <t>01mw7hf860eqkfs6hdw774xnjnv3vg91</t>
  </si>
  <si>
    <t>01mv71t1jzfk0x073w4h450a1xrw1gxk</t>
  </si>
  <si>
    <t>アサミリョウタロウ</t>
  </si>
  <si>
    <t>a.r.c.1108w@gmail.com</t>
  </si>
  <si>
    <t>合同会社A.R.C.</t>
  </si>
  <si>
    <t>浅見亮太郎</t>
  </si>
  <si>
    <t>茨城県つくば市天久保2丁目２−３２</t>
  </si>
  <si>
    <t>天野様</t>
  </si>
  <si>
    <t>01mw7hfevkwvyt1rkx5t054r2zzt8q1j</t>
  </si>
  <si>
    <t>01mv72a2pppspszmqgj5a7wsrp966zqt</t>
  </si>
  <si>
    <t>https://www.cloudsign.jp/document/01mv72a2pppspszmqgj5a7wsrp966zqt/summary</t>
  </si>
  <si>
    <t>豊見山亮（トミヤマアキラ）</t>
  </si>
  <si>
    <t>tomiyamagumi0103@yahoo.co.jp</t>
  </si>
  <si>
    <t>株式会社豊見山組</t>
  </si>
  <si>
    <t>大阪府東大阪市小岩江3-24-20</t>
  </si>
  <si>
    <t>01mw7hfmmta361zza23pthhjdjgz7q5c</t>
  </si>
  <si>
    <t>https://www.cloudsign.jp/document/01mw7hfmmta361zza23pthhjdjgz7q5c/summary</t>
  </si>
  <si>
    <t>01mv78wewaw5mza71rncnzn5wr3xrwmb</t>
  </si>
  <si>
    <t>https://www.cloudsign.jp/document/01mv78wewaw5mza71rncnzn5wr3xrwmb/summary</t>
  </si>
  <si>
    <t>馬場崇（ババタカシ）</t>
  </si>
  <si>
    <t>baba.t@je-creer.com</t>
  </si>
  <si>
    <t>財務統括部長</t>
  </si>
  <si>
    <t>株式会社CREER</t>
  </si>
  <si>
    <t>法人担当者</t>
  </si>
  <si>
    <t>大阪府大阪市中央区城見2-1-61　ツイン21MIDタワー11階</t>
  </si>
  <si>
    <t>01mw7hft53hxpmvyptmyd0aeaaz1krb2</t>
  </si>
  <si>
    <t>https://www.cloudsign.jp/document/01mw7hft53hxpmvyptmyd0aeaaz1krb2/summary</t>
  </si>
  <si>
    <t>01mv7frnxwc4vwyczkbenyy3b03mzq9a</t>
  </si>
  <si>
    <t>https://www.cloudsign.jp/document/01mv7frnxwc4vwyczkbenyy3b03mzq9a/summary</t>
  </si>
  <si>
    <t>濵頭繁生</t>
  </si>
  <si>
    <t>pit-line2014@iaa.itkeeper.ne.jp</t>
  </si>
  <si>
    <t>株式会社ピットライン</t>
  </si>
  <si>
    <t>080-7392-1461</t>
  </si>
  <si>
    <t>大阪府堺市堺区京町通2-23</t>
  </si>
  <si>
    <t>01mw7hg0hn7ejk1jpp6ymyx9adehf7ct</t>
  </si>
  <si>
    <t>01mv7vq0h2zsrbwf4k04sxxwqhvmehhv</t>
  </si>
  <si>
    <t>袴田奨己</t>
  </si>
  <si>
    <t>shoki.h1229@gmail.com</t>
  </si>
  <si>
    <t>株式会社SAGASALE</t>
  </si>
  <si>
    <t>143-0015東京都大田区大森西3-12-17ロフティ大森町Ⅱ1階</t>
  </si>
  <si>
    <t>01mw7hg5f5rmdp1d5nj6g72y65ejr3w5</t>
  </si>
  <si>
    <t>01mve9e4rh88fcxmfvzccpbqgtp734tj</t>
  </si>
  <si>
    <t>杉本径子</t>
  </si>
  <si>
    <t>sugimoto@kspnet.jp</t>
  </si>
  <si>
    <t>株式会社ケイエスピーサービス</t>
  </si>
  <si>
    <t>北海道札幌市白石区東札幌二条6丁目5番1-701号</t>
  </si>
  <si>
    <t>01mw7hgc53cjb8stdrwjxm9m5h0nbgy0</t>
  </si>
  <si>
    <t>https://www.cloudsign.jp/document/01mw7hgc53cjb8stdrwjxm9m5h0nbgy0/summary</t>
  </si>
  <si>
    <t>01mveq95w3zndy51y09mg81htxxf33n6</t>
  </si>
  <si>
    <t>https://www.cloudsign.jp/document/01mveq95w3zndy51y09mg81htxxf33n6/summary</t>
  </si>
  <si>
    <t>常盤亮太</t>
  </si>
  <si>
    <t>tokiwa@enjin.co.jp</t>
  </si>
  <si>
    <t>株式会社エンジン</t>
  </si>
  <si>
    <t>東京都台東区東上野3-18-7上野駅前ビル3階</t>
  </si>
  <si>
    <t>01mw7hghbm0dwdagjj112ywbn17hk843</t>
  </si>
  <si>
    <t>01mvh44q3zbahzyax9h68k9fpqpy7jh7</t>
  </si>
  <si>
    <t>https://www.cloudsign.jp/document/01mvh44q3zbahzyax9h68k9fpqpy7jh7/summary</t>
  </si>
  <si>
    <t>尾関俊</t>
  </si>
  <si>
    <t>s-ozeki@is-seiha.net</t>
  </si>
  <si>
    <t>合同会社SEIHA</t>
  </si>
  <si>
    <t>愛知県豊田市本地町2-105</t>
  </si>
  <si>
    <t>01mw7hgqrqfgzwh1bt6dgsf21zrewnez</t>
  </si>
  <si>
    <t>https://www.cloudsign.jp/document/01mw7hgqrqfgzwh1bt6dgsf21zrewnez/summary</t>
  </si>
  <si>
    <t>01mvhj5whasm5321sqr2n5ks7kcbsz44</t>
  </si>
  <si>
    <t>https://www.cloudsign.jp/document/01mvhj5whasm5321sqr2n5ks7kcbsz44/summary</t>
  </si>
  <si>
    <t>京谷陽介</t>
  </si>
  <si>
    <t>kyotani@c21-base.co.jp</t>
  </si>
  <si>
    <t>株式会社ベース</t>
  </si>
  <si>
    <t>奈良県北葛城郡河合町中山台2-12-9</t>
  </si>
  <si>
    <t>01mw7hgybx7261zgdqazfx74nep1fs7m</t>
  </si>
  <si>
    <t>01mvhv99grqc73a2khv3v8kcsff00ywv</t>
  </si>
  <si>
    <t>https://www.cloudsign.jp/document/01mvhv99grqc73a2khv3v8kcsff00ywv/summary</t>
  </si>
  <si>
    <t>矢野敦子</t>
  </si>
  <si>
    <t>houmu@crossrink.co.jp</t>
  </si>
  <si>
    <t>株式会社クロスリンク</t>
  </si>
  <si>
    <t>東京都港区新橋2-16-1　ニュー新橋ビル903</t>
  </si>
  <si>
    <t>花蜜さん</t>
  </si>
  <si>
    <t>01mw7hh4hqrzrkd0ydg0vh11ja48k94a</t>
  </si>
  <si>
    <t>01mvhxpe7v9whnh05hye8ytw0k7nd09v</t>
  </si>
  <si>
    <t>https://www.cloudsign.jp/document/01mvhxpe7v9whnh05hye8ytw0k7nd09v/summary</t>
  </si>
  <si>
    <t>道中哲司</t>
  </si>
  <si>
    <t>pepushikun@gmail.com</t>
  </si>
  <si>
    <t>従業員</t>
  </si>
  <si>
    <t>株式会社道中</t>
  </si>
  <si>
    <t>道中　哲司</t>
  </si>
  <si>
    <t>山口系下関市阿弥陀寺町11-16</t>
  </si>
  <si>
    <t>神</t>
  </si>
  <si>
    <t>01mw7hha404jj4x0j6vm26n1db0c41st</t>
  </si>
  <si>
    <t>01mvhyxkcea088b9psj83a5dyctrn40e</t>
  </si>
  <si>
    <t>内藤克敏</t>
  </si>
  <si>
    <t>naitoh@kyoto-one.net</t>
  </si>
  <si>
    <t>株式会社オー・エヌ・イー</t>
  </si>
  <si>
    <t>京都市右京区嵯峨野秋街道町1-3-3</t>
  </si>
  <si>
    <t>01mw7hhgy0nqj0112tpsq7g3skzzps8z</t>
  </si>
  <si>
    <t>https://www.cloudsign.jp/document/01mw7hhgy0nqj0112tpsq7g3skzzps8z/summary</t>
  </si>
  <si>
    <t>01mvm1yn3k7zhh7edjr45r9mq8tgwvsb</t>
  </si>
  <si>
    <t>https://www.cloudsign.jp/document/01mvm1yn3k7zhh7edjr45r9mq8tgwvsb/summary</t>
  </si>
  <si>
    <t>松田謙二</t>
  </si>
  <si>
    <t>matsuda@u-matsuda.com</t>
  </si>
  <si>
    <t>有限会社マツダ</t>
  </si>
  <si>
    <t>080-9609-8303</t>
  </si>
  <si>
    <t xml:space="preserve">大阪府東大阪市御厨栄町2-13-32-302 </t>
  </si>
  <si>
    <t>01mw7hhphb1j97y5766vth9vpvxhayxg</t>
  </si>
  <si>
    <t>https://www.cloudsign.jp/document/01mw7hhphb1j97y5766vth9vpvxhayxg/summary</t>
  </si>
  <si>
    <t>01mvme1w6gnyh1b08b3n61z5tyw473n9</t>
  </si>
  <si>
    <t>https://www.cloudsign.jp/document/01mvme1w6gnyh1b08b3n61z5tyw473n9/summary</t>
  </si>
  <si>
    <t>戸田勝久</t>
  </si>
  <si>
    <t>toda@door1215.co.jp</t>
  </si>
  <si>
    <t>DooR株式会社</t>
  </si>
  <si>
    <t>埼玉県川越市脇田本町15-13 東上パールビル3階　SHARE UP KAWAGOE</t>
  </si>
  <si>
    <t>01mw7hhvvsemnt7jqqwherpta7v03mqq</t>
  </si>
  <si>
    <t>https://www.cloudsign.jp/document/01mw7hhvvsemnt7jqqwherpta7v03mqq/summary</t>
  </si>
  <si>
    <t>01mvme6jqa0c1enx72e1fc1rndv9a3x7</t>
  </si>
  <si>
    <t>豊福公平</t>
  </si>
  <si>
    <t>toyofuku@gyl.jp</t>
  </si>
  <si>
    <t>GiftYourLife株式会社</t>
  </si>
  <si>
    <t>中央区銀座3-13-19-6階</t>
  </si>
  <si>
    <t>アモーレ石上さん</t>
  </si>
  <si>
    <t>01mw7hj1k86zb4jrrke4hwwv6bymtjhs</t>
  </si>
  <si>
    <t>01mvmerq81vmbqr9hnfptqjjb7fea8pf</t>
  </si>
  <si>
    <t>吉川崇司</t>
  </si>
  <si>
    <t>t.yoshikawa.prs@gmail.com</t>
  </si>
  <si>
    <t>株式会社Precious</t>
  </si>
  <si>
    <t>080-6197-0610</t>
  </si>
  <si>
    <t>大阪府大阪市西区新町3-6-11BADGE長堀BLD5F</t>
  </si>
  <si>
    <t>01mw7hj6zdbaqvqzw59mzqta5zavrcbs</t>
  </si>
  <si>
    <t>01mvmf7337h49dh2yz3bw30g8mcv5p03</t>
  </si>
  <si>
    <t>https://www.cloudsign.jp/document/01mvmf7337h49dh2yz3bw30g8mcv5p03/summary</t>
  </si>
  <si>
    <t>脇坂尚幸</t>
  </si>
  <si>
    <t>enn.wakisaka@gmail.com</t>
  </si>
  <si>
    <t>FT BANK JAPAN 株式会社</t>
  </si>
  <si>
    <t>中央区日本橋浜町２－５５－１－１００３</t>
  </si>
  <si>
    <t>01mw7hjcatvagt7wjrvyfm5kyrs4z6h1</t>
  </si>
  <si>
    <t>https://www.cloudsign.jp/document/01mw7hjcatvagt7wjrvyfm5kyrs4z6h1/summary</t>
  </si>
  <si>
    <t>01mvmfy5za67hkdn1wqfgw1wv70n6swp</t>
  </si>
  <si>
    <t>https://www.cloudsign.jp/document/01mvmfy5za67hkdn1wqfgw1wv70n6swp/summary</t>
  </si>
  <si>
    <t>泉谷　政司</t>
  </si>
  <si>
    <t>izutani@growmates.com</t>
  </si>
  <si>
    <t>株式会社スプリングハウス</t>
  </si>
  <si>
    <t>泉谷</t>
  </si>
  <si>
    <t>０８０３７９４２３４０</t>
  </si>
  <si>
    <t>大阪市中央区東心斎橋1-8-11-1207</t>
  </si>
  <si>
    <t>角田様</t>
  </si>
  <si>
    <t>01mw7hjjbd8266ty37b39kdxkcbgvgxn</t>
  </si>
  <si>
    <t>01mvmjb6zr9z4tfhhms18fyad0jf1vqw</t>
  </si>
  <si>
    <t>https://www.cloudsign.jp/document/01mvmjb6zr9z4tfhhms18fyad0jf1vqw/summary</t>
  </si>
  <si>
    <t>安藤暢彦</t>
  </si>
  <si>
    <t>ando@makepoint.jp</t>
  </si>
  <si>
    <t>MAKEPOINT株式会社</t>
  </si>
  <si>
    <t>ando</t>
  </si>
  <si>
    <t>東京都千代田区丸の内1-11-1 パシフィックセンチュリープレイス8階</t>
  </si>
  <si>
    <t>角田社長</t>
  </si>
  <si>
    <t>01mw7hjr84tpsqm0he17qf047z9anwe4</t>
  </si>
  <si>
    <t>https://www.cloudsign.jp/document/01mw7hjr84tpsqm0he17qf047z9anwe4/summary</t>
  </si>
  <si>
    <t>01mvpzchs67qpagjvtj80war2b6fs6d3</t>
  </si>
  <si>
    <t>山田高裕</t>
  </si>
  <si>
    <t>t.aqua.triad@icloud.com</t>
  </si>
  <si>
    <t>アースエコサービス株式会社</t>
  </si>
  <si>
    <t>愛知県あま市中萱津九反所50</t>
  </si>
  <si>
    <t>飯塚</t>
  </si>
  <si>
    <t>01mw7hjxxm1wtjjxvwgcg5yg750ya743</t>
  </si>
  <si>
    <t>https://www.cloudsign.jp/document/01mw7hjxxm1wtjjxvwgcg5yg750ya743/summary</t>
  </si>
  <si>
    <t>01mvq5gxnc2fk92tj76y6q7v2eg8qqwb</t>
  </si>
  <si>
    <t>https://www.cloudsign.jp/document/01mvq5gxnc2fk92tj76y6q7v2eg8qqwb/summary</t>
  </si>
  <si>
    <t>冨永　善啓</t>
  </si>
  <si>
    <t>01mw7hk41ksxppkj3aecg6383brvvgfm</t>
  </si>
  <si>
    <t>https://www.cloudsign.jp/document/01mw7hk41ksxppkj3aecg6383brvvgfm/summary</t>
  </si>
  <si>
    <t>01mvqdxny50rbb1g59qqqnz66vareqhk</t>
  </si>
  <si>
    <t>https://www.cloudsign.jp/document/01mvqdxny50rbb1g59qqqnz66vareqhk/summary</t>
  </si>
  <si>
    <t>金城健二</t>
  </si>
  <si>
    <t>kinjo@yu-ken-k.com</t>
  </si>
  <si>
    <t>株式会社優健工業</t>
  </si>
  <si>
    <t>東京都江戸川区中葛西2-4-39</t>
  </si>
  <si>
    <t>なし</t>
  </si>
  <si>
    <t>01mw4ffw7m1t54w4cz2md5j82t8kk3pz</t>
  </si>
  <si>
    <t>小林大喜</t>
  </si>
  <si>
    <t>k.l.f.2022.06.10@gmail.com</t>
  </si>
  <si>
    <t>株式会社K.L.F</t>
  </si>
  <si>
    <t>神奈川県川崎市宮前区有馬7丁目9番27号</t>
  </si>
  <si>
    <t>01mw4fgt4z5fxmjr48k21tct0xvxj4dz</t>
  </si>
  <si>
    <t>https://www.cloudsign.jp/document/01mw4fgt4z5fxmjr48k21tct0xvxj4dz/summary</t>
  </si>
  <si>
    <t>080-6320-4940</t>
  </si>
  <si>
    <t>01mw7eh7q2mjpdr5zyygmk1k0dr9j5p7</t>
  </si>
  <si>
    <t>東　孝昭</t>
  </si>
  <si>
    <t>azuma@upgrade-h.net</t>
  </si>
  <si>
    <t>株式会社アップ・グレイド</t>
  </si>
  <si>
    <t>広島市西区楠木町1丁目13-4</t>
  </si>
  <si>
    <t>01mw4fj131tr9dt0jv4knmj7pwpnbh47</t>
  </si>
  <si>
    <t>https://www.cloudsign.jp/document/01mw4fj131tr9dt0jv4knmj7pwpnbh47/summary</t>
  </si>
  <si>
    <t>shizuka.dr02.23@gmail.com</t>
  </si>
  <si>
    <t xml:space="preserve">神奈川県川崎市宮前区有馬７丁目９番２７号	</t>
  </si>
  <si>
    <t>先ほど登録したが、契約書が届かないため、別メールアドレスにて登録</t>
  </si>
  <si>
    <t>01mw4fjyc628wscdkxv8nx53bpfgxpr1</t>
  </si>
  <si>
    <t>矢口修陛</t>
  </si>
  <si>
    <t>yaguchi@door1215.co.jp</t>
  </si>
  <si>
    <t>営業担当</t>
  </si>
  <si>
    <t>080-9699-1868</t>
  </si>
  <si>
    <t>埼玉県川越市脇田本町15-13 東上パークビル3階</t>
  </si>
  <si>
    <t>01mw4fkskk6nb2t6y8rx3t5939rgz8ng</t>
  </si>
  <si>
    <t>https://www.cloudsign.jp/document/01mw4fkskk6nb2t6y8rx3t5939rgz8ng/summary</t>
  </si>
  <si>
    <t>武井祐輝</t>
  </si>
  <si>
    <t>shinki.takei@gmail.com</t>
  </si>
  <si>
    <t>SHINKI工業株式会社</t>
  </si>
  <si>
    <t>大阪府大阪市城東区今福東3-6-21 カーサマール1号</t>
  </si>
  <si>
    <t>01mw4fmew3ctfc8yz3gjtd45q20jj3my</t>
  </si>
  <si>
    <t>秦野市今泉台3-4-9</t>
  </si>
  <si>
    <t>01mw21j9kj2dra2n17q3dg2bmf26pdvg</t>
  </si>
  <si>
    <t>近藤寛朗</t>
  </si>
  <si>
    <t>kondo@door1215.co.jp</t>
  </si>
  <si>
    <t>執行役員</t>
  </si>
  <si>
    <t>埼玉県川越市脇田本町15-13 東上パールビルヂング3F</t>
  </si>
  <si>
    <t>01mw3ydrgs3qc572th11v7fqr1v28ema</t>
  </si>
  <si>
    <t>https://www.cloudsign.jp/document/01mw3ydrgs3qc572th11v7fqr1v28ema/summary</t>
  </si>
  <si>
    <t>志水浩輔</t>
  </si>
  <si>
    <t>shimizu@exedge.co.jp</t>
  </si>
  <si>
    <t>エクスエッジ株式会社</t>
  </si>
  <si>
    <t>090-3922-8198</t>
  </si>
  <si>
    <t>大阪府東大阪市中新開1-6-13</t>
  </si>
  <si>
    <t>01mw3yjw4mskkbem0nz785cns6pc5w3q</t>
  </si>
  <si>
    <t>中澤和史</t>
  </si>
  <si>
    <t>nk19840821@gmail.com</t>
  </si>
  <si>
    <t>株式会社長屋門</t>
  </si>
  <si>
    <t>群馬県渋川市八木原1037-1</t>
  </si>
  <si>
    <t>01mw4gazwsgrk8vsx0c3sp4fkfxhm0k9</t>
  </si>
  <si>
    <t>平間雄一朗</t>
  </si>
  <si>
    <t>hirama.yuichiro@tasuki-funeral.com</t>
  </si>
  <si>
    <t>株式会社FlatCentral</t>
  </si>
  <si>
    <t>01mw6rze8dym1hc2ke81tjdgabd7q44k</t>
  </si>
  <si>
    <t>https://www.cloudsign.jp/document/01mw6rze8dym1hc2ke81tjdgabd7q44k/summary</t>
  </si>
  <si>
    <t>北城雅照</t>
  </si>
  <si>
    <t>m.kitashiro@adachikeiyu.com</t>
  </si>
  <si>
    <t>理事長</t>
  </si>
  <si>
    <t>医療法人社団円徳</t>
  </si>
  <si>
    <t>120-0015 東京都足立区足立1-12-12</t>
  </si>
  <si>
    <t>01mw75bdk8vekv1ke2j4rk6b6sfx3ae2</t>
  </si>
  <si>
    <t>https://www.cloudsign.jp/document/01mw75bdk8vekv1ke2j4rk6b6sfx3ae2/summary</t>
  </si>
  <si>
    <t>高野将人</t>
  </si>
  <si>
    <t>takanomasato2004@gmail.com</t>
  </si>
  <si>
    <t>株式会社高野</t>
  </si>
  <si>
    <t>東京都港区麻布十番2-8-8エル麻布ビル302</t>
  </si>
  <si>
    <t>01mw9p3exkrfcz2fkjd4g26w8cda7hc0</t>
  </si>
  <si>
    <t>https://www.cloudsign.jp/document/01mw9p3exkrfcz2fkjd4g26w8cda7hc0/summary</t>
  </si>
  <si>
    <t>松本絵里奈</t>
  </si>
  <si>
    <t>erina.momidokoro@gmail.com</t>
  </si>
  <si>
    <t>専務取締役</t>
  </si>
  <si>
    <t>株式会社もみ処癒し屋</t>
  </si>
  <si>
    <t>福岡県北九州市小倉北区吉野町10-19　パークプラザ三萩野　2F</t>
  </si>
  <si>
    <t>01mw9pdj6zdgmjsqsvf21wxv94sxshwg</t>
  </si>
  <si>
    <t>吉永健路</t>
  </si>
  <si>
    <t>info.newpowers@gmail.com</t>
  </si>
  <si>
    <t>01mw9pja7f4dtfdt97b7sxmmjjqb67qb</t>
  </si>
  <si>
    <t>吉川奨</t>
  </si>
  <si>
    <t>yoshikawa1119@gmail.com</t>
  </si>
  <si>
    <t>株式会社Regista</t>
  </si>
  <si>
    <t>sho yoshikawa</t>
  </si>
  <si>
    <t>090-9280-6170</t>
  </si>
  <si>
    <t>大阪府八尾市萱振町4-38-16</t>
  </si>
  <si>
    <t>01mw9pxwj14qp690dkmetb0rdve73e9p</t>
  </si>
  <si>
    <t>https://www.cloudsign.jp/document/01mw9pxwj14qp690dkmetb0rdve73e9p/summary</t>
  </si>
  <si>
    <t>佐伯美智子</t>
  </si>
  <si>
    <t>saiki@muku-llc.com</t>
  </si>
  <si>
    <t>合同会社MUKU</t>
  </si>
  <si>
    <t>佐賀県唐津市浜玉町大江49-1</t>
  </si>
  <si>
    <t>01mw9pyqkymgqjtc26t9kzskwev4b0r7</t>
  </si>
  <si>
    <t>https://www.cloudsign.jp/document/01mw9pyqkymgqjtc26t9kzskwev4b0r7/summary</t>
  </si>
  <si>
    <t>すやまひろふみ</t>
  </si>
  <si>
    <t>zakuro01@yahoo.co.jp</t>
  </si>
  <si>
    <t>株式会社須山液化ガス</t>
  </si>
  <si>
    <t>須山裕史</t>
  </si>
  <si>
    <t>栃木県宇都宮市塙田3-1-16</t>
  </si>
  <si>
    <t>石上</t>
  </si>
  <si>
    <t>01mw9txxeg4w3z9gv1v4wq4mqxrar1px</t>
  </si>
  <si>
    <t>平嶋和男</t>
  </si>
  <si>
    <t>hiracy9162@icloud.com</t>
  </si>
  <si>
    <t>株式会社和</t>
  </si>
  <si>
    <t>埼玉県比企郡鳩山町大豆戸184ー56</t>
  </si>
  <si>
    <t>石上さん</t>
  </si>
  <si>
    <t>01mwa1nvjx3zbvpqz51a9f2wjem456re</t>
  </si>
  <si>
    <t>https://www.cloudsign.jp/document/01mwa1nvjx3zbvpqz51a9f2wjem456re/summary</t>
  </si>
  <si>
    <t>伊藤正人</t>
  </si>
  <si>
    <t>sakuraseijyukai626221@gmail.com</t>
  </si>
  <si>
    <t>施設長</t>
  </si>
  <si>
    <t>株式会社さくら静寿会</t>
  </si>
  <si>
    <t>鹿児島県姶良市加治木町木田909-1</t>
  </si>
  <si>
    <t>01mwa1td1mgwf5e309e9yee6vc0kr6gj</t>
  </si>
  <si>
    <t>https://www.cloudsign.jp/document/01mwa1td1mgwf5e309e9yee6vc0kr6gj/summary</t>
  </si>
  <si>
    <t>黒木俊穂</t>
  </si>
  <si>
    <t>toshio.kuroki69@gmail.com</t>
  </si>
  <si>
    <t>担当</t>
  </si>
  <si>
    <t>東京都港区麻布十番２-8-8 エル麻布ビル302</t>
  </si>
  <si>
    <t>01mwbwt630hhpd3abm7j935bnvaf0trb</t>
  </si>
  <si>
    <t>https://www.cloudsign.jp/document/01mwbwt630hhpd3abm7j935bnvaf0trb/summary</t>
  </si>
  <si>
    <t>村本将誠</t>
  </si>
  <si>
    <t>koujuen5010@gmail.com</t>
  </si>
  <si>
    <t>事務長</t>
  </si>
  <si>
    <t>合同会社　楽嬉活</t>
  </si>
  <si>
    <t>福岡県福岡市東区唐原5-8-17</t>
  </si>
  <si>
    <t>01mwbxhchcqhh6ma0ypxz510mhnag3fb</t>
  </si>
  <si>
    <t>HS</t>
  </si>
  <si>
    <t>01mwcbb6py35zbkgc6az035mqt8q5n46</t>
  </si>
  <si>
    <t>https://www.cloudsign.jp/document/01mwcbb6py35zbkgc6az035mqt8q5n46/summary</t>
  </si>
  <si>
    <t>高見勇士</t>
  </si>
  <si>
    <t>yurinosakubasyo@webhosting-jp.com</t>
  </si>
  <si>
    <t>有限会社</t>
  </si>
  <si>
    <t>石川県小松市吉竹町4丁目403番地</t>
  </si>
  <si>
    <t>01mwce0c3vv8pdfkzps6y28fkn6y6yga</t>
  </si>
  <si>
    <t>株式会社</t>
  </si>
  <si>
    <t>石川県小松市城北町258番地</t>
  </si>
  <si>
    <t>01mwce1mxg6mex4vnw5s7smza70p6faq</t>
  </si>
  <si>
    <t>相談役</t>
  </si>
  <si>
    <t>北陽エンヂニアリング株式会社</t>
  </si>
  <si>
    <t>石川県小松市園町ホ123-1</t>
  </si>
  <si>
    <t>01mwce5eefka0pzmpcfdqjjmkj7c50gq</t>
  </si>
  <si>
    <t>有限会社陽だまり</t>
  </si>
  <si>
    <t>01mwchmdhqyq18zyvr94701cy9tnsfkd</t>
  </si>
  <si>
    <t>株式会社ここから</t>
  </si>
  <si>
    <t>01mwchnz32h39mk4erpeksqp6k9c4995</t>
  </si>
  <si>
    <t>https://www.cloudsign.jp/document/01mwchnz32h39mk4erpeksqp6k9c4995/summary</t>
  </si>
  <si>
    <t>古屋玲</t>
  </si>
  <si>
    <t>rei.furuya@ream-hr.com</t>
  </si>
  <si>
    <t>株式会社ReAM</t>
  </si>
  <si>
    <t>東京都新宿区西新宿3-7-30フロンティアグラン西新宿402号</t>
  </si>
  <si>
    <t>01mwcpd4s8k6k22fs12q6r56rqvdagaf</t>
  </si>
  <si>
    <t>https://www.cloudsign.jp/document/01mwcpd4s8k6k22fs12q6r56rqvdagaf/summary</t>
  </si>
  <si>
    <t>高基浩</t>
  </si>
  <si>
    <t>kou@glh.co.jp</t>
  </si>
  <si>
    <t>株式会社グローバルホールディングス</t>
  </si>
  <si>
    <t>東京都中央区新川2-13-10 新川ビル4F</t>
  </si>
  <si>
    <t>尾崎さん</t>
  </si>
  <si>
    <t>01mwh7spdpknhb9eh8pz7d2z6rf6968d</t>
  </si>
  <si>
    <t>高橋翔</t>
  </si>
  <si>
    <t>info@soarllc.jp</t>
  </si>
  <si>
    <t>代表社員</t>
  </si>
  <si>
    <t>合同会社Soar</t>
  </si>
  <si>
    <t>東京都目黒区鷹番3-5-10-201</t>
  </si>
  <si>
    <t>01mwhfzsa45qwcays5f22455px13d87x</t>
  </si>
  <si>
    <t>甲能知樹</t>
  </si>
  <si>
    <t>kono@kono-office.com</t>
  </si>
  <si>
    <t>顧問税理士</t>
  </si>
  <si>
    <t>大阪市淀川区西中島４丁目２番８号YS新大阪ビル７階</t>
  </si>
  <si>
    <t>01mwkg0xw5aq322bba0d5pjf58vac4nj</t>
  </si>
  <si>
    <t>https://www.cloudsign.jp/document/01mwkg0xw5aq322bba0d5pjf58vac4nj/summary</t>
  </si>
  <si>
    <t>中山英樹</t>
  </si>
  <si>
    <t>s-ozeki@ks-planning.net</t>
  </si>
  <si>
    <t>社外取締役</t>
  </si>
  <si>
    <t>090-8075-5110</t>
  </si>
  <si>
    <t>〒4710848愛知県 豊田市本地町2-105</t>
  </si>
  <si>
    <t>01mwkj261k19t4hxq691k03pnevkbfdh</t>
  </si>
  <si>
    <t>https://www.cloudsign.jp/document/01mwkj261k19t4hxq691k03pnevkbfdh/summary</t>
  </si>
  <si>
    <t>中島一也</t>
  </si>
  <si>
    <t>mymission.k@gmail.com</t>
  </si>
  <si>
    <t>経理担当</t>
  </si>
  <si>
    <t>合同会社マイミッションコンサルティング</t>
  </si>
  <si>
    <t>石川県金沢市材木町15-47</t>
  </si>
  <si>
    <t>01mwkjnkn4717c1qfm33xx3hy7qz02zf</t>
  </si>
  <si>
    <t>https://www.cloudsign.jp/document/01mwkjnkn4717c1qfm33xx3hy7qz02zf/summary</t>
  </si>
  <si>
    <t>田口絢</t>
  </si>
  <si>
    <t>yasuda-jun@hotmail.co.jp</t>
  </si>
  <si>
    <t>安田建設株式会社</t>
  </si>
  <si>
    <t>090-7435-6695</t>
  </si>
  <si>
    <t>〒5091113
岐阜県 加茂郡
白川町三川1236-4</t>
  </si>
  <si>
    <t>01mwkm5mx2mfext7sy6bh3etqcbgm3ss</t>
  </si>
  <si>
    <t>https://www.cloudsign.jp/document/01mwkm5mx2mfext7sy6bh3etqcbgm3ss/summary</t>
  </si>
  <si>
    <t>川出明</t>
  </si>
  <si>
    <t>kawade@chubu-ss.co.jp</t>
  </si>
  <si>
    <t>中部消防設備株式会社</t>
  </si>
  <si>
    <t>090-6617-4567</t>
  </si>
  <si>
    <t>〒4630090
愛知県 名古屋市守山区
瀬古東1-1234</t>
  </si>
  <si>
    <t>01mwkmemc04tn9eptx8hp1xafz6k86tw</t>
  </si>
  <si>
    <t>長町喜光</t>
  </si>
  <si>
    <t>houei14@violin.ocn.ne.jp</t>
  </si>
  <si>
    <t>豊栄水産株式会社</t>
  </si>
  <si>
    <t>090-8983-6887</t>
  </si>
  <si>
    <t>大阪府大阪市東住吉区今林1-2-68</t>
  </si>
  <si>
    <t>01mwkndcdmv0fqctftc7qb29vj581z8q</t>
  </si>
  <si>
    <t>櫻井元</t>
  </si>
  <si>
    <t>sakurai@tamamizuki.jp</t>
  </si>
  <si>
    <t>特定非営利活動法人たまみずき北海道</t>
  </si>
  <si>
    <t>北海道檜山郡上ノ国町字大留１４７番地１６</t>
  </si>
  <si>
    <t>01mwknztj9yv6n4d9fcr6xh35vvrkvg6</t>
  </si>
  <si>
    <t>https://www.cloudsign.jp/document/01mwknztj9yv6n4d9fcr6xh35vvrkvg6/summary</t>
  </si>
  <si>
    <t>株式会社雄学舎</t>
  </si>
  <si>
    <t>埼玉県朝霞市本町1-8-2カーサモア朝霞2F</t>
  </si>
  <si>
    <t>01mwkp2hr8pcdf738efnx9fnca42dxbm</t>
  </si>
  <si>
    <t>https://www.cloudsign.jp/document/01mwkp2hr8pcdf738efnx9fnca42dxbm/summary</t>
  </si>
  <si>
    <t>tabata_yoshimasa@joy.ocn.ne.jp</t>
  </si>
  <si>
    <t>ナガマチヨシミツ</t>
  </si>
  <si>
    <t>大阪府大阪市東淀川区今林1-2-68</t>
  </si>
  <si>
    <t>01mwkpa8yrmhvhcym93wbdfvtfcxfnde</t>
  </si>
  <si>
    <t>p_up315p_up@docomo.ne.jp</t>
  </si>
  <si>
    <t>株式会社豊栄水産</t>
  </si>
  <si>
    <t>01mwkpnbj3zy87jqaab2xr5dvwh2r1vq</t>
  </si>
  <si>
    <t>yoshimitsunatci@gmail.com</t>
  </si>
  <si>
    <t>01mwkq2ww0x3ep7bjrfs3ew6whhkwkv3</t>
  </si>
  <si>
    <t>yoshimitsunatchi@gmail.com</t>
  </si>
  <si>
    <t>01mwkq9zgb4k5bkj1xp5380nbf71jyh0</t>
  </si>
  <si>
    <t>https://www.cloudsign.jp/document/01mwkq9zgb4k5bkj1xp5380nbf71jyh0/summary</t>
  </si>
  <si>
    <t>SHIAWASE株式会社/COCOLO株式会社</t>
  </si>
  <si>
    <t>〒5008345
岐阜県 岐阜市
菊地町2-6-1キャピタルプラザ1階</t>
  </si>
  <si>
    <t>01mwkt3r370va5kbfpp3nq569gtpwf2t</t>
  </si>
  <si>
    <t>https://www.cloudsign.jp/document/01mwkt3r370va5kbfpp3nq569gtpwf2t/summary</t>
  </si>
  <si>
    <t>役員</t>
  </si>
  <si>
    <t>岐阜県岐阜市茜部野瀬3-200</t>
  </si>
  <si>
    <t>01mwktbwnnrsd877e7gna3ntp00kh6nn</t>
  </si>
  <si>
    <t>https://www.cloudsign.jp/document/01mwktbwnnrsd877e7gna3ntp00kh6nn/summary</t>
  </si>
  <si>
    <t>鬼武　美穂</t>
  </si>
  <si>
    <t>twinkle.023434@gmail.com</t>
  </si>
  <si>
    <t xml:space="preserve">株式会社PRIORITY </t>
  </si>
  <si>
    <t>大分県日田市北友田2丁目2123-1</t>
  </si>
  <si>
    <t>01mwkw0e27mjxqxv96tz8pavc5z4jhpg</t>
  </si>
  <si>
    <t>寺島裕人</t>
  </si>
  <si>
    <t>y-terashima@omorooooo.co.jp</t>
  </si>
  <si>
    <t>株式会社オモロー</t>
  </si>
  <si>
    <t>東京都</t>
  </si>
  <si>
    <t>01mwkw2txw07q0p1ywzpfm41bvwhma1k</t>
  </si>
  <si>
    <t>https://www.cloudsign.jp/document/01mwkw2txw07q0p1ywzpfm41bvwhma1k/summary</t>
  </si>
  <si>
    <t>総務</t>
  </si>
  <si>
    <t>株式会社OTOGINO</t>
  </si>
  <si>
    <t>090-1970-7633</t>
  </si>
  <si>
    <t>01mwkw4mhc1hckbnb6cbe3avvj2aqca5</t>
  </si>
  <si>
    <t>https://www.cloudsign.jp/document/01mwkw4mhc1hckbnb6cbe3avvj2aqca5/summary</t>
  </si>
  <si>
    <t>愛知県名古屋市中区丸の内２丁目１８番１１号</t>
  </si>
  <si>
    <t>01mwkx770z91cm6np3rk8f19jt0zb8df</t>
  </si>
  <si>
    <t xml:space="preserve">村本正誠　</t>
  </si>
  <si>
    <t>lucky9959@i.softbank.jp</t>
  </si>
  <si>
    <t>合同会社楽嬉活</t>
  </si>
  <si>
    <t>090-4778-5554</t>
  </si>
  <si>
    <t>福岡県</t>
  </si>
  <si>
    <t>01mwm2y06mm9pjqmmmfbqtcgbf3jsgqe</t>
  </si>
  <si>
    <t>080-5272-1579</t>
  </si>
  <si>
    <t>01mwm2zs6vj5f3k3y8253vjz89kh4sc7</t>
  </si>
  <si>
    <t>https://www.cloudsign.jp/document/01mwm2zs6vj5f3k3y8253vjz89kh4sc7/summary</t>
  </si>
  <si>
    <t>二神綾子</t>
  </si>
  <si>
    <t>futatgami@bunkoukei.co.jp</t>
  </si>
  <si>
    <t>06-4862-5651</t>
  </si>
  <si>
    <t>大阪市淀川区西中島5-13-12　谷ビル9F</t>
  </si>
  <si>
    <t>01mwm8tfpbgyvmnca8hvfw690pzjxhs7</t>
  </si>
  <si>
    <t>新井章介</t>
  </si>
  <si>
    <t>arai@ethos-corp.co.jp</t>
  </si>
  <si>
    <t>株式会社エトスコーポレーション</t>
  </si>
  <si>
    <t>大阪市北区堂山町3-3 日本生命梅田ビル4階</t>
  </si>
  <si>
    <t>01mwma4kgva8xq3pynez5bqpgsgrzn7z</t>
  </si>
  <si>
    <t>立花正幸</t>
  </si>
  <si>
    <t>amedlo2000@gmail.com</t>
  </si>
  <si>
    <t>株式会社CNDA</t>
  </si>
  <si>
    <t>menz-ag</t>
  </si>
  <si>
    <t>中央区銀座1
22-11-201</t>
  </si>
  <si>
    <t>01mwmjn075qqd32ywpj9zjsvnzzzgcsn</t>
  </si>
  <si>
    <t>https://www.cloudsign.jp/document/01mwmjn075qqd32ywpj9zjsvnzzzgcsn/summary</t>
  </si>
  <si>
    <t>堀江三和子</t>
  </si>
  <si>
    <t>horie@tamamizuki.jp</t>
  </si>
  <si>
    <t>080-4130-9608</t>
  </si>
  <si>
    <t>351-0011 埼玉県朝霞市本町１－８－２　カーサモア朝霞2階</t>
  </si>
  <si>
    <t>01mwp8q8j1fr6ysenpqgqwrbda5qcxtg</t>
  </si>
  <si>
    <t>https://www.cloudsign.jp/document/01mwp8q8j1fr6ysenpqgqwrbda5qcxtg/summary</t>
  </si>
  <si>
    <t>海老名慶太</t>
  </si>
  <si>
    <t>briller-inc@outlook.jp</t>
  </si>
  <si>
    <t>株式会社Briller</t>
  </si>
  <si>
    <t>えび</t>
  </si>
  <si>
    <t>静岡県静岡市葵区瀬名五丁目8番33号</t>
  </si>
  <si>
    <t>菊池さん</t>
  </si>
  <si>
    <t>01mwpevp8tr74g235cd2bnbj590742zp</t>
  </si>
  <si>
    <t>https://www.cloudsign.jp/document/01mwpevp8tr74g235cd2bnbj590742zp/summary</t>
  </si>
  <si>
    <t>伊藤浩一</t>
  </si>
  <si>
    <t>ito-ss@tees.jp</t>
  </si>
  <si>
    <t>有限会社伊藤設備サービス</t>
  </si>
  <si>
    <t>愛知県豊橋市富士見台3-25-27</t>
  </si>
  <si>
    <t>01mwph1feth9kk1y0wxpm0yqe7d30h6k</t>
  </si>
  <si>
    <t>https://www.cloudsign.jp/document/01mwph1feth9kk1y0wxpm0yqe7d30h6k/summary</t>
  </si>
  <si>
    <t>佐々木哲也</t>
  </si>
  <si>
    <t>sasaki-t@smarty.co.jp</t>
  </si>
  <si>
    <t>株式会社スマーティ</t>
  </si>
  <si>
    <t>0178-21-6612</t>
  </si>
  <si>
    <t>青森県八戸市下長4丁目１９－３　オフィス河原木10号</t>
  </si>
  <si>
    <t>01mwpw8r6337xyx9qs25131whpzpct7p</t>
  </si>
  <si>
    <t>https://www.cloudsign.jp/document/01mwpw8r6337xyx9qs25131whpzpct7p/summary</t>
  </si>
  <si>
    <t>川嶋絵美子</t>
  </si>
  <si>
    <t>kawashima@tamamizuki.jp</t>
  </si>
  <si>
    <t>管理者</t>
  </si>
  <si>
    <t>0139-56-1203</t>
  </si>
  <si>
    <t>北海道檜山郡上ノ国町字豊田412-1</t>
  </si>
  <si>
    <t>01mwq0w6wd8v3vga30e7hp1p65rdbv5w</t>
  </si>
  <si>
    <t>https://www.cloudsign.jp/document/01mwq0w6wd8v3vga30e7hp1p65rdbv5w/summary</t>
  </si>
  <si>
    <t>松倉雅</t>
  </si>
  <si>
    <t>matsukura@bunkoukei.co.jp</t>
  </si>
  <si>
    <t>主任</t>
  </si>
  <si>
    <t>大阪市淀川区西中島5丁目13-12　谷ビル9階</t>
  </si>
  <si>
    <t>01mwq11xbqpg6bfgs7yvjje428s6zb7p</t>
  </si>
  <si>
    <t>https://www.cloudsign.jp/document/01mwq11xbqpg6bfgs7yvjje428s6zb7p/summary</t>
  </si>
  <si>
    <t>上戸満輝</t>
  </si>
  <si>
    <t>m.kamito@growing-2020.com</t>
  </si>
  <si>
    <t>080-3930-7359</t>
  </si>
  <si>
    <t>東京都品川区西五反田2-10-8 ドルミ五反田ドゥメゾン412</t>
  </si>
  <si>
    <t>01mwrx9brm7thvpp72myvg56ep5d1wxy</t>
  </si>
  <si>
    <t>https://www.cloudsign.jp/document/01mwrx9brm7thvpp72myvg56ep5d1wxy/summary</t>
  </si>
  <si>
    <t>大川隼人</t>
  </si>
  <si>
    <t>hayato14112719@yahoo.co.jp</t>
  </si>
  <si>
    <t>株式会社Merge</t>
  </si>
  <si>
    <t>石川県野々市市御経塚三丁目224番地</t>
  </si>
  <si>
    <t>01mwrve3x4s4mcx1cw3te3ktc0p9052h</t>
  </si>
  <si>
    <t>菊池賢一郎</t>
  </si>
  <si>
    <t>sakura-kikuchi@aioros.ocn.ne.jp</t>
  </si>
  <si>
    <t>株式会社サクラメディカル</t>
  </si>
  <si>
    <t>01mwrx1dg09v68j50gg4awxvb8gxqa8y</t>
  </si>
  <si>
    <t>https://www.cloudsign.jp/document/01mwrx1dg09v68j50gg4awxvb8gxqa8y/summary</t>
  </si>
  <si>
    <t>加藤宏和</t>
  </si>
  <si>
    <t>katou.sakura260301@gmail.com</t>
  </si>
  <si>
    <t>01mwrx34k5a94thr0e6062dxa51wcy18</t>
  </si>
  <si>
    <t>https://www.cloudsign.jp/document/01mwrx34k5a94thr0e6062dxa51wcy18/summary</t>
  </si>
  <si>
    <t>鬼武公洋</t>
  </si>
  <si>
    <t xml:space="preserve">onitaketan@gmail.com  </t>
  </si>
  <si>
    <t>090-1166-9642</t>
  </si>
  <si>
    <t>大分県</t>
  </si>
  <si>
    <t>01mwry9hq8tg8bk7syqfdea1vgcmy5bg</t>
  </si>
  <si>
    <t>https://www.cloudsign.jp/document/01mwry9hq8tg8bk7syqfdea1vgcmy5bg/summary</t>
  </si>
  <si>
    <t>源 良友</t>
  </si>
  <si>
    <t>minamotono@fig-g.com</t>
  </si>
  <si>
    <t>常務理事</t>
  </si>
  <si>
    <t>社会福祉法人FIG福祉会</t>
  </si>
  <si>
    <t>広島県安芸郡府中町柳ケ丘20-2</t>
  </si>
  <si>
    <t>01mwrzkm0d9zcn3bj555a0qeh7spnxa5</t>
  </si>
  <si>
    <t>https://www.cloudsign.jp/document/01mwrzkm0d9zcn3bj555a0qeh7spnxa5/summary</t>
  </si>
  <si>
    <t>瀧口明生</t>
  </si>
  <si>
    <t>at0907aaa@yahoo.co.jp</t>
  </si>
  <si>
    <t>株式会社三年目ほーるでんぐす</t>
  </si>
  <si>
    <t>東京都八丈島八丈町三根1895-1</t>
  </si>
  <si>
    <t>01mws5pvqwzp2qhy6thbyp4qrhpxm83j</t>
  </si>
  <si>
    <t>https://www.cloudsign.jp/document/01mws5pvqwzp2qhy6thbyp4qrhpxm83j/summary</t>
  </si>
  <si>
    <t>浅川佳祐</t>
  </si>
  <si>
    <t>k-asakawa@fitness-aim.com</t>
  </si>
  <si>
    <t>株式会社エイムインタービジョン</t>
  </si>
  <si>
    <t>石川県野々市市御経塚4-10</t>
  </si>
  <si>
    <t>01mws6w6v9bz16dwbkbzpf5kka7y1zqt</t>
  </si>
  <si>
    <t>https://www.cloudsign.jp/document/01mws6w6v9bz16dwbkbzpf5kka7y1zqt/summary</t>
  </si>
  <si>
    <t>村本正誠</t>
  </si>
  <si>
    <t>社員</t>
  </si>
  <si>
    <t>01mws6zm7rqeq7qn4z0s2mfhx0bcwg23</t>
  </si>
  <si>
    <t>https://www.cloudsign.jp/document/01mws6zm7rqeq7qn4z0s2mfhx0bcwg23/summary</t>
  </si>
  <si>
    <t>義城達寿</t>
  </si>
  <si>
    <t>gijo.tatsuji@gmail.com</t>
  </si>
  <si>
    <t>株式会社グロース</t>
  </si>
  <si>
    <t>090-4441-0375</t>
  </si>
  <si>
    <t>〒4418016
愛知県 豊橋市
新栄町字南小向86-1-2B</t>
  </si>
  <si>
    <t>01mwsjfqm3ksxrvdfe06m2qpwjjfhwcg</t>
  </si>
  <si>
    <t>https://www.cloudsign.jp/document/01mwsjfqm3ksxrvdfe06m2qpwjjfhwcg/summary</t>
  </si>
  <si>
    <t>小寺芳幸</t>
  </si>
  <si>
    <t>contact@ignisgate.co.jp</t>
  </si>
  <si>
    <t>株式会社IGNIS GATE</t>
  </si>
  <si>
    <t>〒150-0002 東京都渋谷区渋谷１丁目１７−１４ 全国婦人会館・ちふれ化粧品共同ビル 2階</t>
  </si>
  <si>
    <t>岩崎さん</t>
  </si>
  <si>
    <t>01mwsktnv8vy9rr42pzg6mhnmpj96w72</t>
  </si>
  <si>
    <t>https://www.cloudsign.jp/document/01mwsktnv8vy9rr42pzg6mhnmpj96w72/summary</t>
  </si>
  <si>
    <t>井上伸吾</t>
  </si>
  <si>
    <t>s-inoue@inouegiken.net</t>
  </si>
  <si>
    <t>株式会社 井上技研</t>
  </si>
  <si>
    <t>イノウエ</t>
  </si>
  <si>
    <t>03-5697-9230</t>
  </si>
  <si>
    <t>東京都足立区中川3-14-9 三和コーポ</t>
  </si>
  <si>
    <t>01mwsm51y6z4w1sx76mh3de7ad2y5g1e</t>
  </si>
  <si>
    <t>https://www.cloudsign.jp/document/01mwsm51y6z4w1sx76mh3de7ad2y5g1e/summary</t>
  </si>
  <si>
    <t>中村一貴</t>
  </si>
  <si>
    <t>magazzino38@gmeli.jp</t>
  </si>
  <si>
    <t>magazzino株式会社</t>
  </si>
  <si>
    <t>金沢市長土塀2-18-26</t>
  </si>
  <si>
    <t>藤田兼門</t>
  </si>
  <si>
    <t>kentofujita@ones--life.com</t>
  </si>
  <si>
    <t>One's Life.株式会社</t>
  </si>
  <si>
    <t>東京都西新宿３丁目９番６号 NOVELWORK Shinjuku WEST 9階</t>
  </si>
  <si>
    <t>01mwsx9sr0ghq2f6t6hczsn8aeykb1gk</t>
  </si>
  <si>
    <t>https://www.cloudsign.jp/document/01mwsx9sr0ghq2f6t6hczsn8aeykb1gk/summary</t>
  </si>
  <si>
    <t>武石彰</t>
  </si>
  <si>
    <t>takeworldstaff@gmail.com</t>
  </si>
  <si>
    <t>セルコム株式会社</t>
  </si>
  <si>
    <t>福岡市東区多の津1-4-6</t>
  </si>
  <si>
    <t>01mwtyrwdf727f6gpzkbdwvgkpet4spw</t>
  </si>
  <si>
    <t>https://www.cloudsign.jp/document/01mwtyrwdf727f6gpzkbdwvgkpet4spw/summary</t>
  </si>
  <si>
    <t>星野光治</t>
  </si>
  <si>
    <t>koji@hoshiyu.co.jp</t>
  </si>
  <si>
    <t>株式会社　ほしゆう</t>
  </si>
  <si>
    <t>新潟県燕市吉田東栄町7番8号</t>
  </si>
  <si>
    <t>01mwvbpcratz6hkk9k57dsz3wapf8htk</t>
  </si>
  <si>
    <t>小山陽介</t>
  </si>
  <si>
    <t>y.koyama@sekken.co.jp</t>
  </si>
  <si>
    <t>株式会社Sekken</t>
  </si>
  <si>
    <t>千葉県船橋市本町4-41-10 SADOYA Up Court 4F</t>
  </si>
  <si>
    <t>01mwvpe1sqjrs1eb6chryanrc4ge9j4p</t>
  </si>
  <si>
    <t>篠塚美美</t>
  </si>
  <si>
    <t>y.shinotsuka@g-w-j.co.jp</t>
  </si>
  <si>
    <t>株式会社GoodWorkJapan</t>
  </si>
  <si>
    <t>GWJ篠塚</t>
  </si>
  <si>
    <t>080-4123-5917</t>
  </si>
  <si>
    <t>東京都港区芝大門2-1-17</t>
  </si>
  <si>
    <t>不明</t>
  </si>
  <si>
    <t>01mwvph7as8eft283ckkfwdyab3wx786</t>
  </si>
  <si>
    <t>三好衣美</t>
  </si>
  <si>
    <t>emarge0902@gmail.com</t>
  </si>
  <si>
    <t>株式会社EMARGE</t>
  </si>
  <si>
    <t>東京都新宿区歌舞伎町2丁目22番8号第8金嶋ビル402</t>
  </si>
  <si>
    <t>01mww43cmv7s5mcvrnfr6bmcs2tjt5ar</t>
  </si>
  <si>
    <t>https://www.cloudsign.jp/document/01mww43cmv7s5mcvrnfr6bmcs2tjt5ar/summary</t>
  </si>
  <si>
    <t>上野慎一郎</t>
  </si>
  <si>
    <t>ueno@ag-f.co.jp</t>
  </si>
  <si>
    <t>株式会社カスケード</t>
  </si>
  <si>
    <t>福岡県糸島市志摩新町550-16</t>
  </si>
  <si>
    <t>01mww7dwzy1yah5zq653gsyk6yh8k30n</t>
  </si>
  <si>
    <t>https://www.cloudsign.jp/document/01mww7dwzy1yah5zq653gsyk6yh8k30n/summary</t>
  </si>
  <si>
    <t>№</t>
  </si>
  <si>
    <t>企業名</t>
  </si>
  <si>
    <t>日付</t>
  </si>
  <si>
    <t>代理店％</t>
  </si>
  <si>
    <t>木原</t>
  </si>
  <si>
    <t>尾崎</t>
  </si>
  <si>
    <t>1％</t>
  </si>
  <si>
    <t>面談実施</t>
  </si>
  <si>
    <t>高畑</t>
  </si>
  <si>
    <t>手塚</t>
  </si>
  <si>
    <t>創作さん</t>
  </si>
  <si>
    <t>お見送り</t>
  </si>
  <si>
    <t>新沼</t>
  </si>
  <si>
    <t>概算お渡し済み</t>
  </si>
  <si>
    <t>川添</t>
  </si>
  <si>
    <t>COARIS</t>
  </si>
  <si>
    <t>渡邊</t>
  </si>
  <si>
    <t>kotonoha</t>
  </si>
  <si>
    <t>今川</t>
  </si>
  <si>
    <t>花蜜</t>
  </si>
  <si>
    <t>平均給与</t>
  </si>
  <si>
    <t>目標</t>
  </si>
  <si>
    <t>人数</t>
  </si>
  <si>
    <t>1人当たり</t>
  </si>
  <si>
    <t>１人あたりの導入金額</t>
  </si>
  <si>
    <t>初期費用</t>
  </si>
  <si>
    <t>既存の社会保険料/月</t>
  </si>
  <si>
    <t>削減金額/月</t>
  </si>
  <si>
    <t>削減額合計</t>
  </si>
  <si>
    <t>月額利用料/人</t>
  </si>
  <si>
    <t>月額利用料総額</t>
  </si>
  <si>
    <t>回収まで</t>
  </si>
  <si>
    <t>ヶ月</t>
  </si>
  <si>
    <t>契約書名</t>
  </si>
  <si>
    <t>ドライブURL</t>
  </si>
  <si>
    <t>組合員契約書</t>
  </si>
  <si>
    <r>
      <rPr>
        <color rgb="FF1155CC"/>
        <u/>
      </rPr>
      <t>★一般社団法人_公的制度教育推進協会組合員契約書_修正_0321YS.docx - Google ドキュメント</t>
    </r>
  </si>
  <si>
    <t>リーガルチェック済</t>
  </si>
  <si>
    <t>組合規定書</t>
  </si>
  <si>
    <r>
      <rPr>
        <color rgb="FF1155CC"/>
        <u/>
      </rPr>
      <t>★一般社団法人_公的制度教育推進協会組合規定書_修正_0321YS.docx - Google ドキュメント</t>
    </r>
  </si>
  <si>
    <t>受託開発契約書　開発企業×企業</t>
  </si>
  <si>
    <r>
      <rPr>
        <color rgb="FF1155CC"/>
        <u/>
      </rPr>
      <t>★受託開発契約書＿開発会社×企業_0324YS.docx - Google ドキュメント</t>
    </r>
  </si>
  <si>
    <t>修正中</t>
  </si>
  <si>
    <t>給与評価制度適正化支援契約書　一般社団法人×企業</t>
  </si>
  <si>
    <r>
      <rPr>
        <color rgb="FF1155CC"/>
        <u/>
      </rPr>
      <t>★給与評価制度適正化支援契約書＿一般社団法人×企業_0324YS.docx - Google ドキュメント</t>
    </r>
  </si>
  <si>
    <t>代理店契約書　開発会社×代理店</t>
  </si>
  <si>
    <r>
      <rPr>
        <color rgb="FF1155CC"/>
        <u/>
      </rPr>
      <t>★代理店契約書＿開発会社×代理店_0324YS.docx - Google ドキュメント</t>
    </r>
  </si>
  <si>
    <t>組合契約書　法人用</t>
  </si>
  <si>
    <r>
      <rPr>
        <color rgb="FF1155CC"/>
        <u/>
      </rPr>
      <t>★一般社団法人_公的制度教育推進協会組合契約書_修正_法人用 - Google ドキュメント</t>
    </r>
  </si>
  <si>
    <t>組合規定書　法人用</t>
  </si>
  <si>
    <r>
      <rPr>
        <color rgb="FF1155CC"/>
        <u/>
      </rPr>
      <t>★一般社団法人_公的制度教育推進協会組合規定書_修正_法人用.docx - Google ドキュメント</t>
    </r>
  </si>
  <si>
    <t>企業研修</t>
  </si>
  <si>
    <t>システム販売契約書</t>
  </si>
  <si>
    <r>
      <rPr>
        <color rgb="FF1155CC"/>
        <u/>
      </rPr>
      <t>システム販売・導入契約書 - Google ドキュメント</t>
    </r>
  </si>
  <si>
    <t>作成中</t>
  </si>
  <si>
    <t>システム仕様書</t>
  </si>
  <si>
    <r>
      <rPr>
        <color rgb="FF1155CC"/>
        <u/>
      </rPr>
      <t>職能評価システム 仕様書（テンプレ） - Google ドキュメント</t>
    </r>
  </si>
  <si>
    <t>今後の代理店契約書</t>
  </si>
  <si>
    <t>回答用_メインフォーム</t>
  </si>
  <si>
    <t>https://forms.gle/zftF5VZPxHCRYtrCA</t>
  </si>
  <si>
    <t>編集用_メインフォーム</t>
  </si>
  <si>
    <t>https://docs.google.com/forms/d/1aGe_IjCSVTHPEwQ5okrSzLf0ddRNFOKZG8qZ0zNkUGU/edit</t>
  </si>
  <si>
    <t>VF専用_回答用_メインフォーム</t>
  </si>
  <si>
    <t>https://forms.gle/yHVUY6hzuTyuUWde6</t>
  </si>
  <si>
    <t>VF専用_編集用_メインフォーム</t>
  </si>
  <si>
    <t>https://docs.google.com/forms/d/1brpnY6VBoPnuO735oC0RhDV8gI_uTWB0_HCI6Q_lQKY/edit</t>
  </si>
  <si>
    <t>VF中間シート</t>
  </si>
  <si>
    <t>https://docs.google.com/spreadsheets/d/1C6NymtxuBqP1vLMswJTxDnX0SxvtIdsO8BoHSH5eOrs/edit?usp=sharing</t>
  </si>
  <si>
    <t>VF側シート</t>
  </si>
  <si>
    <t>https://docs.google.com/spreadsheets/d/1qjNACHsS6r82qBPFERNrDExtIhi9m3iv/edit?gid=380300159#gid=380300159</t>
  </si>
  <si>
    <t>案件番号</t>
  </si>
  <si>
    <t>案件起票日</t>
  </si>
  <si>
    <t>年金事務所への電話</t>
  </si>
  <si>
    <t>AS担当者</t>
  </si>
  <si>
    <t>顧客区分</t>
  </si>
  <si>
    <t>都道府県</t>
  </si>
  <si>
    <t>管轄の年金事務所</t>
  </si>
  <si>
    <t>年金事務所担当者名</t>
  </si>
  <si>
    <t>算定基礎届・源泉徴収簿</t>
  </si>
  <si>
    <t>代表者名</t>
  </si>
  <si>
    <t>業種</t>
  </si>
  <si>
    <t>概算見積リンク</t>
  </si>
  <si>
    <t>希望者名簿</t>
  </si>
  <si>
    <t>最大申請人数</t>
  </si>
  <si>
    <t>想定申請人数</t>
  </si>
  <si>
    <t>想定最大還付額</t>
  </si>
  <si>
    <t>想定還付金額</t>
  </si>
  <si>
    <t>確定還付金額</t>
  </si>
  <si>
    <t>弊社想定売上(※開発費)</t>
  </si>
  <si>
    <t>確定想定売上(※開発費)</t>
  </si>
  <si>
    <t>想定代理店報酬</t>
  </si>
  <si>
    <t>確定代理店売上</t>
  </si>
  <si>
    <t>次のアクション</t>
  </si>
  <si>
    <t>次に連絡する日</t>
  </si>
  <si>
    <t>初回商談日</t>
  </si>
  <si>
    <t>想定申請日</t>
  </si>
  <si>
    <t>確定申請日</t>
  </si>
  <si>
    <t>想定充当通知日</t>
  </si>
  <si>
    <t>確定充当通知日</t>
  </si>
  <si>
    <t>想定還付日</t>
  </si>
  <si>
    <t>確定還付日</t>
  </si>
  <si>
    <t>想定伊藤先生報酬額</t>
  </si>
  <si>
    <t>想定伊藤先生支払日</t>
  </si>
  <si>
    <t>確定伊藤先生報酬額</t>
  </si>
  <si>
    <t>確定伊藤先生支払日</t>
  </si>
  <si>
    <t>想定弊社報酬額</t>
  </si>
  <si>
    <t>想定弊社支払日</t>
  </si>
  <si>
    <t>確定弊社報酬額</t>
  </si>
  <si>
    <t>確定弊社支払日</t>
  </si>
  <si>
    <t>東京</t>
  </si>
  <si>
    <t>港年金事務所</t>
  </si>
  <si>
    <t>岩下さん</t>
  </si>
  <si>
    <t>鈴木</t>
  </si>
  <si>
    <t>クライアント</t>
  </si>
  <si>
    <t>大阪</t>
  </si>
  <si>
    <t>八尾年金事務所</t>
  </si>
  <si>
    <t>株式会社 アポロホールディングス</t>
  </si>
  <si>
    <t>https://drive.google.com/drive/folders/1KPrf6Fev_4qbIKuUJrqsfUrmJd_7cC26?usp=sharing</t>
  </si>
  <si>
    <t>美容業</t>
  </si>
  <si>
    <t>概算提案フェーズ</t>
  </si>
  <si>
    <t>大手前年金事務所</t>
  </si>
  <si>
    <t>株式会社 アポロプランニング</t>
  </si>
  <si>
    <t>観光業</t>
  </si>
  <si>
    <t>待ち</t>
  </si>
  <si>
    <t>神奈川</t>
  </si>
  <si>
    <t>小田原年金事務所</t>
  </si>
  <si>
    <t>株式会社 琴美建設</t>
  </si>
  <si>
    <t>https://drive.google.com/drive/folders/1OyTAtQzaBoJZMhqieuT8p-uww35EvR_s?usp=sharing</t>
  </si>
  <si>
    <t>望月さん</t>
  </si>
  <si>
    <t>建設業</t>
  </si>
  <si>
    <t>株式会社美琴建設</t>
  </si>
  <si>
    <t>足立年金事務所</t>
  </si>
  <si>
    <t>株式会社RISE様</t>
  </si>
  <si>
    <t>https://drive.google.com/drive/folders/1dwakvflY9pOgv_Mp840by1MsEE3Bql6Q?usp=sharing</t>
  </si>
  <si>
    <t>小室立</t>
  </si>
  <si>
    <t>直</t>
  </si>
  <si>
    <t>output_株式会社RISE</t>
  </si>
  <si>
    <t>新宿年金事務所</t>
  </si>
  <si>
    <t>株式会社ＭａｉｎＣ様</t>
  </si>
  <si>
    <t>https://drive.google.com/drive/folders/1V3kxanVQkv1LMgU2Y1ynsv8QwceoN9ud?usp=sharing</t>
  </si>
  <si>
    <t>飲食業</t>
  </si>
  <si>
    <t>output_株式会社MainC</t>
  </si>
  <si>
    <t>淀川年金事務所</t>
  </si>
  <si>
    <t>株式会社バリューフロンティア</t>
  </si>
  <si>
    <t>https://drive.google.com/drive/folders/1RXvJ0YVUGTVlXtPxy0UZ7raPoaBBH7e9?usp=sharing</t>
  </si>
  <si>
    <t>申請フェーズ</t>
  </si>
  <si>
    <t>佐原年金事務所</t>
  </si>
  <si>
    <t>https://drive.google.com/drive/folders/15YhdKX2gbnH2pfEgAsIysrjnsHQGT6zz?usp=sharing</t>
  </si>
  <si>
    <t>吉田さん</t>
  </si>
  <si>
    <t>創作</t>
  </si>
  <si>
    <t>人材業</t>
  </si>
  <si>
    <t>ファイルサイズが大きい為別途送付可能</t>
  </si>
  <si>
    <t>渋谷年金事務所</t>
  </si>
  <si>
    <t>リアンクリニック（一般社団法人LIEN）</t>
  </si>
  <si>
    <t>https://drive.google.com/drive/folders/1s-xQ5KPC2BhuPd28epESClY0K-KYu2yQ?usp=sharing</t>
  </si>
  <si>
    <t>美容クリニック</t>
  </si>
  <si>
    <t>output_一般社団法人LIEN</t>
  </si>
  <si>
    <t>クライアント/代理店</t>
  </si>
  <si>
    <t>愛知</t>
  </si>
  <si>
    <t>鶴舞年金事務所</t>
  </si>
  <si>
    <t>ジェイシップセントラル</t>
  </si>
  <si>
    <t>https://drive.google.com/drive/folders/1Ry1wQBQ7QC52-TJOOZvp6S-q6rshBXtH?usp=sharing</t>
  </si>
  <si>
    <t>人材採用</t>
  </si>
  <si>
    <t>ジェイシップセントラル㈱</t>
  </si>
  <si>
    <t>宮崎年金事務所</t>
  </si>
  <si>
    <t>https://drive.google.com/drive/folders/1zDPa_Z9wF6SkvOoi0WWV0R0nvTCzNhZG?usp=sharing</t>
  </si>
  <si>
    <t>花田 誉宜</t>
  </si>
  <si>
    <t>健康経営支援</t>
  </si>
  <si>
    <t>output_株式会社aspo.xlsx</t>
  </si>
  <si>
    <t>株式会社NEXT（旧: 株式会社ADOLOGI）</t>
  </si>
  <si>
    <t>https://drive.google.com/drive/folders/1g-8xtcXR4_Tt2ASFOMCsirDkrM7joNgF</t>
  </si>
  <si>
    <t>三好さん</t>
  </si>
  <si>
    <t>IT</t>
  </si>
  <si>
    <t>output_株式会社NEXT (1)</t>
  </si>
  <si>
    <r>
      <rPr>
        <color rgb="FF1155CC"/>
        <u/>
      </rPr>
      <t>希望者名簿＿output_株式会社NEXT（修正版）.xlsx - Google スプレッドシート</t>
    </r>
  </si>
  <si>
    <t>板橋年金事務所</t>
  </si>
  <si>
    <t>https://drive.google.com/drive/folders/1z25XIjyDhllINrsKEYVlWiFHFjuKTjdx?usp=sharing</t>
  </si>
  <si>
    <t>新沼 直哉</t>
  </si>
  <si>
    <t>医療機器メーカー</t>
  </si>
  <si>
    <t>株式会社HRfreaks</t>
  </si>
  <si>
    <t>https://drive.google.com/drive/folders/1FILKYriYaYciipHV1X14tll5bVwtijI0?usp=sharing</t>
  </si>
  <si>
    <t>山根 弘行</t>
  </si>
  <si>
    <t>田中</t>
  </si>
  <si>
    <t>採用コンサルティング</t>
  </si>
  <si>
    <t>書類取得フェーズ</t>
  </si>
  <si>
    <t>鶴見年金事務所</t>
  </si>
  <si>
    <t>ハワイアンフォレスト株式会社</t>
  </si>
  <si>
    <t>https://drive.google.com/drive/folders/1moDm_27z9F5Df0bKLgvQ-FyInvXg3kQW?usp=sharing</t>
  </si>
  <si>
    <t>宮崎優</t>
  </si>
  <si>
    <t>マッサージサロン</t>
  </si>
  <si>
    <t>output_ハワイアンフォレストSpa株式会社</t>
  </si>
  <si>
    <t>リラク＆ビューティー株式会社</t>
  </si>
  <si>
    <t>output_リラク＆ビューティー株式会社</t>
  </si>
  <si>
    <t>池袋年金事務所</t>
  </si>
  <si>
    <t>エプコットソフトウェア</t>
  </si>
  <si>
    <t>https://drive.google.com/drive/folders/1_BYKwCfLzaW61QFGv4AVMJc_qvrWbG4q?usp=drive_link</t>
  </si>
  <si>
    <t>山崎由介</t>
  </si>
  <si>
    <t>松本</t>
  </si>
  <si>
    <t>システム開発</t>
  </si>
  <si>
    <t>株式会社エプコットソフトウェア</t>
  </si>
  <si>
    <t>岡山</t>
  </si>
  <si>
    <t>岡山西年金事務所</t>
  </si>
  <si>
    <t>https://drive.google.com/drive/folders/1yFeFBOmzW7cbEi38oeYwKPM37bzStCNL</t>
  </si>
  <si>
    <t>web制作</t>
  </si>
  <si>
    <t>奈良</t>
  </si>
  <si>
    <t>奈良年金事務所</t>
  </si>
  <si>
    <t>株式会社ENAKAMA</t>
  </si>
  <si>
    <t>https://drive.google.com/drive/folders/17Ak1ZGq5iBWwGVZRatkc0wYuIddfBXsh</t>
  </si>
  <si>
    <t>奥野 茂樹</t>
  </si>
  <si>
    <t>児童発達支援</t>
  </si>
  <si>
    <t>https://drive.google.com/drive/folders/1ZINJ3Ntsz76KgZfYTxRROuVQqPDiDgKE</t>
  </si>
  <si>
    <t>兼利太樹</t>
  </si>
  <si>
    <t>不動産</t>
  </si>
  <si>
    <t>石川</t>
  </si>
  <si>
    <t>小松年金事務所</t>
  </si>
  <si>
    <t>https://drive.google.com/drive/folders/1Tu5OX6Nr0jwgUh1CS2X2ay0iCAcWtjLO</t>
  </si>
  <si>
    <t>白江 誠一郎</t>
  </si>
  <si>
    <t>飲食</t>
  </si>
  <si>
    <t>大和高田年金事務所</t>
  </si>
  <si>
    <t>11.株式会社ベース</t>
  </si>
  <si>
    <t>https://drive.google.com/drive/folders/1xgSQpBfLYppF_z3elh05ibp5lPRCxdaN?usp=drive_link</t>
  </si>
  <si>
    <t>広島</t>
  </si>
  <si>
    <t>広島東年金事務所</t>
  </si>
  <si>
    <t>4.株式会社クォリティプラス</t>
  </si>
  <si>
    <t>https://drive.google.com/drive/folders/1hWGWdqkHnUXHAzTh5dGcq7SH8YvybVAy?usp=drive_link</t>
  </si>
  <si>
    <t>内平 雅也</t>
  </si>
  <si>
    <t>太陽光など</t>
  </si>
  <si>
    <t>東大阪年金事務所</t>
  </si>
  <si>
    <t>15.株式会社豊見山組</t>
  </si>
  <si>
    <t>https://drive.google.com/drive/folders/1cXR78HzITlsbCk4NUDemNWree9LErynY?usp=drive_link</t>
  </si>
  <si>
    <t>豊見山亮</t>
  </si>
  <si>
    <t>左官工事</t>
  </si>
  <si>
    <t>14.株式会社エイチツーオー</t>
  </si>
  <si>
    <t>https://drive.google.com/drive/folders/1bk7reKFZYjMxSKlhvlzkCDb7ou5_oiiL?usp=drive_link</t>
  </si>
  <si>
    <t>建設工事</t>
  </si>
  <si>
    <t>13.豊栄水産株式会社</t>
  </si>
  <si>
    <t>https://drive.google.com/drive/folders/1RxnBuGzvivC2ZTnZfG6c-kJTmem7zZFY?usp=drive_link</t>
  </si>
  <si>
    <t>水産業</t>
  </si>
  <si>
    <t>京都</t>
  </si>
  <si>
    <t>中京年金事務所</t>
  </si>
  <si>
    <t>5.立生株式会社</t>
  </si>
  <si>
    <t>https://drive.google.com/drive/folders/1MRd7KSTj-nsIhhljgU8xLMREQ4uL9JHk?usp=drive_link</t>
  </si>
  <si>
    <t>HP制作</t>
  </si>
  <si>
    <t>八王子年金事務所</t>
  </si>
  <si>
    <t>12.株式会社ソキュアス</t>
  </si>
  <si>
    <t>https://drive.google.com/drive/folders/1Hfm4-9Q4AEkcDGGJQoJ2SnOiwMxzrY_n?usp=drive_link</t>
  </si>
  <si>
    <t>帽子通販</t>
  </si>
  <si>
    <t>京都南年金事務所</t>
  </si>
  <si>
    <t>10.株式会社YKS</t>
  </si>
  <si>
    <t>https://drive.google.com/drive/folders/1Af3KOefEMgCGg-hU2Cu7GmT6kXa5dDBD?usp=drive_link</t>
  </si>
  <si>
    <t>小嶋康彦</t>
  </si>
  <si>
    <t>防水・止水工事など</t>
  </si>
  <si>
    <t>平野年金事務所</t>
  </si>
  <si>
    <t>2.ケーツーエンジニアリング株式会社</t>
  </si>
  <si>
    <t>https://drive.google.com/drive/folders/1ASlDv9YUUPXl7NTzt22lLJrP5K5MH3SS?usp=drive_link</t>
  </si>
  <si>
    <t>秀平健二</t>
  </si>
  <si>
    <t>オフィス機器導入</t>
  </si>
  <si>
    <t>9.株式会社Sun.Assist</t>
  </si>
  <si>
    <t>https://drive.google.com/drive/folders/10RpyeMHTZFskyfzgWY3rER-7xQyNPw6L?usp=drive_link</t>
  </si>
  <si>
    <t>株式会社Fit Founder</t>
  </si>
  <si>
    <t>回収中</t>
  </si>
  <si>
    <t>八賀 晋太朗</t>
  </si>
  <si>
    <t>角田</t>
  </si>
  <si>
    <t>名前</t>
  </si>
  <si>
    <t>想定代理店売上</t>
  </si>
  <si>
    <t>サンプル</t>
  </si>
  <si>
    <t>宮原</t>
  </si>
  <si>
    <t>サンプル株式会社</t>
  </si>
  <si>
    <t>申請可能人数(申請人数)</t>
  </si>
  <si>
    <t>株式会社ＮＥＸＴ</t>
  </si>
  <si>
    <t>三好様</t>
  </si>
  <si>
    <t>物販</t>
  </si>
  <si>
    <t>ジェイシップセントラル株式会社</t>
  </si>
  <si>
    <t>一般社団法人LIEN</t>
  </si>
  <si>
    <t>植倉様</t>
  </si>
  <si>
    <t>記載日</t>
  </si>
  <si>
    <t>質問日</t>
  </si>
  <si>
    <t>質問</t>
  </si>
  <si>
    <t>回答</t>
  </si>
  <si>
    <t>外国人労働者も対象なのか</t>
  </si>
  <si>
    <t>可能
源泉所得税を20%→10%に下げられる</t>
  </si>
  <si>
    <t>雇用契約と業務委託の契約を明確にしていくロジックだが役員や社長分が還付されるのはどんな内容か</t>
  </si>
  <si>
    <t>テレグラムに移行して良いか</t>
  </si>
  <si>
    <t>従業員の同意書</t>
  </si>
  <si>
    <t>/同意書/意識表明書</t>
  </si>
  <si>
    <t>企業と伊藤先生が結ぶ契約書　どゆこと？</t>
  </si>
  <si>
    <t>業務委託報酬/職能別の資料作成費用</t>
  </si>
  <si>
    <t>報酬を20%もらうと思うのですが、人事制度見直しを例えばバリューがstellaに依頼する場合の契約書が必要だと思うのですがどうですか</t>
  </si>
  <si>
    <t>源泉所得税と支払っている金額は、本来取りすぎているので、社員が確定申告後、還付もしくは追加徴税は発生しますか？
→これを聞かれた際の対応を明確にする</t>
  </si>
  <si>
    <t>・すでに年金もらってる方達が給料見直しするとどうなるのか？
→現在もらっている年金に影響があるのか？</t>
  </si>
  <si>
    <t>概算を出した後の業務の明確化</t>
  </si>
  <si>
    <t>今後、給与+報酬の従業員の確定申告の必要性とその場合の対応方法は</t>
  </si>
  <si>
    <t>合意書を最適化させるにあたってのポイント</t>
  </si>
  <si>
    <t>未来の業務委託費用の支払いは同一企業で問題ないのか。</t>
  </si>
  <si>
    <t>ご質問の件ですが、在留資格「技術・人文知識・国際業務（いわゆる技人国）」につきましては、原則として業務委託契約での就業は認められておりません。
技人国は「雇用契約」を前提とした在留資格であり、指揮命令下での業務・安定的な給与支払いが要件となるため、業務委託（成果報酬・裁量労働）との併用、いわゆる**「一部社員・一部業務委託」という形態も、実務上は認められない扱い**となります。
なお、業務委託が可能なのは永住者、日本人の配偶者等、定住者などの身分系在留資格に限られます。
そのため、技人国の方を起用する場合は、雇用契約（社員・契約社員等）に一本化する形が安全となります。</t>
  </si>
  <si>
    <t>基本給を減額することにより標準報酬月額が下がるので産休手当も必然的に下がると思いますが、その場合昨年度の基本給だけ下げない方法も可能でしょうか。</t>
  </si>
  <si>
    <t>名目</t>
  </si>
  <si>
    <t>金額</t>
  </si>
  <si>
    <t>03plus契約料</t>
  </si>
  <si>
    <t>尾崎さんの楽天銀行で振り込み
※法人登記後変更する</t>
  </si>
  <si>
    <t>クラウドサイン</t>
  </si>
  <si>
    <t>初期費用：0円 
　月額費用：10,000円（税込 11,000円）
　年額費用：120,000円（税込　132,000円）
　書類送信費用：1件あたり200円（税込 220円）
　※毎月、月額費用と当該月の送信件数に応じた書類送信費用をお支払いいただきます</t>
  </si>
  <si>
    <t>一般社団法人設立サポート費用</t>
  </si>
  <si>
    <t>【明細】
■ 報酬額
・一般社団法人設立登記費用（司法書士）
　数量：1　単価：90,000円　金額：90,000円
・値引き（顧問契約分）
　数量：1　単価：-90,000円　金額：-90,000円
・定款作成費用
　数量：1　単価：0円　金額：0円
■ 登録免許税又は印紙等費用
・一般社団法人設立登録免許税
　数量：1　単価：60,000円　金額：60,000円
・定款印紙代
　数量：1　単価：40,000円　金額：40,000円
・電子定款による値引き
　数量：1　単価：-40,000円　金額：-40,000円
・定款認証費用（公証役場）
　数量：1　単価：52,000円　金額：52,000円
・登記事項証明書（1通）
　数量：1　単価：500円　金額：500円
・印鑑証明書（1通）
　数量：1　単価：500円　金額：500円
■ その他費用
・郵送費
　数量：1　単価：2,150円　金額：2,150円
・法人印鑑作成費用（代表印・銀行印・角印・ケース）
　数量：1　単価：5,860円　金額：5,860円</t>
  </si>
  <si>
    <t>クラウドサイン送信費用</t>
  </si>
  <si>
    <t>送信合計 59 ×220円</t>
  </si>
  <si>
    <t>03plus1月分費用</t>
  </si>
  <si>
    <t>従業員動画作成費用(外注費用)</t>
  </si>
  <si>
    <t>60,000円</t>
  </si>
  <si>
    <t>大村に正確な数字を確認する</t>
  </si>
  <si>
    <t>📦 スターターキット完全一覧</t>
  </si>
  <si>
    <t>事業スタートに必要な全ての書類・ツール・資料を完全網羅</t>
  </si>
  <si>
    <t>現状14項目 → 提案82項目（合計）</t>
  </si>
  <si>
    <t>カテゴリ</t>
  </si>
  <si>
    <t>項目名</t>
  </si>
  <si>
    <t>形式</t>
  </si>
  <si>
    <t>重要度</t>
  </si>
  <si>
    <t>【現状の項目】14項目</t>
  </si>
  <si>
    <t>Webサイト</t>
  </si>
  <si>
    <t>1</t>
  </si>
  <si>
    <t>会社HP</t>
  </si>
  <si>
    <t>Web</t>
  </si>
  <si>
    <t>★★★</t>
  </si>
  <si>
    <t>□</t>
  </si>
  <si>
    <t>契約・法務書類（7項目）</t>
  </si>
  <si>
    <t>2</t>
  </si>
  <si>
    <t>Word/PDF</t>
  </si>
  <si>
    <t>弁護士チェック必須</t>
  </si>
  <si>
    <t>https://docs.google.com/document/d/10-VrAL2LJeN1zCDoCIbBPoYFEctPAaMmkyVrnG474dk/edit?tab=t.0</t>
  </si>
  <si>
    <t>https://docs.google.com/document/d/1iPK2y4dy5PZvpkpI3fK8S4_A0RbQg3WYXCTIzGvqRJc/edit?usp=sharing</t>
  </si>
  <si>
    <t>3</t>
  </si>
  <si>
    <t>組合規定</t>
  </si>
  <si>
    <t>https://docs.google.com/document/d/1ktuLrfRa47YU0trBCXB_K1QkfWXXlmhGN0Co245UtGE/edit?tab=t.0</t>
  </si>
  <si>
    <t>4</t>
  </si>
  <si>
    <t>代理店契約書</t>
  </si>
  <si>
    <t>バリュー社3%条件含む</t>
  </si>
  <si>
    <t>https://docs.google.com/document/d/1FgSSlzyvZcQ2Zw8jPO869CIqX9X4KhHyJU2luncwQqo/edit?usp=sharing</t>
  </si>
  <si>
    <t>5</t>
  </si>
  <si>
    <t>機密情報および個人情報の取扱いに関する同意書</t>
  </si>
  <si>
    <t>https://docs.google.com/document/d/1PmYDTBTh2e0Qb7kZtHiWXCQZluRcKGcn3B_cuJY5qms/edit?usp=sharing</t>
  </si>
  <si>
    <t>6</t>
  </si>
  <si>
    <t>反社会的勢力の排除に関する誓約書</t>
  </si>
  <si>
    <t>https://docs.google.com/document/d/1SJdWNy1dzF9gIQoPVrMiZ2o6FjfPcZItKQpubZCWVuQ/edit?usp=sharing</t>
  </si>
  <si>
    <t>7</t>
  </si>
  <si>
    <t>業務委託契約書</t>
  </si>
  <si>
    <t>従業員用</t>
  </si>
  <si>
    <t>https://docs.google.com/document/d/17HRwAb2JJMneLaPYGED_-ZfcxzHG5ddRTvHVYje4D9Q/edit?tab=t.0</t>
  </si>
  <si>
    <t>8</t>
  </si>
  <si>
    <t>従業員同意書</t>
  </si>
  <si>
    <t>人事労務評価制度への同意</t>
  </si>
  <si>
    <t>https://docs.google.com/document/d/1Ml6mlJ0yM4VNEMLQ66PGF_EO_5ruKDx41LtUK6s3jkI/edit?tab=t.0</t>
  </si>
  <si>
    <t>教育・説明資料（4項目）</t>
  </si>
  <si>
    <t>9</t>
  </si>
  <si>
    <t>従業員説明動画(LLS)</t>
  </si>
  <si>
    <t>MP4</t>
  </si>
  <si>
    <t>LMSで自動生成</t>
  </si>
  <si>
    <t>10</t>
  </si>
  <si>
    <t>営業資料(組合入会前)</t>
  </si>
  <si>
    <t>PPT/PDF</t>
  </si>
  <si>
    <t>https://www.canva.com/design/DAG-esrNdQo/pa4F3wjPArqqaN8-T72ZTA/view?utm_content=DAG-esrNdQo&amp;utm_campaign=designshare&amp;utm_medium=link2&amp;utm_source=uniquelinks&amp;utlId=h115d8fd5a7</t>
  </si>
  <si>
    <t>11</t>
  </si>
  <si>
    <t>トークスクリプト</t>
  </si>
  <si>
    <t>12</t>
  </si>
  <si>
    <t>概要説明資料</t>
  </si>
  <si>
    <t>https://www.canva.com/design/DAG-D0UMy1s/Gt3ICNEMs3JH1-oaBb4v2A/view?utm_content=DAG-D0UMy1s&amp;utm_campaign=designshare&amp;utm_medium=link2&amp;utm_source=uniquelinks&amp;utlId=hec288880b9</t>
  </si>
  <si>
    <t>業務書類（2項目）</t>
  </si>
  <si>
    <t>13</t>
  </si>
  <si>
    <t>還付金請求書</t>
  </si>
  <si>
    <t>Excel/PDF</t>
  </si>
  <si>
    <t>14</t>
  </si>
  <si>
    <t>必要書類提出フォーム</t>
  </si>
  <si>
    <t>Excel/Web</t>
  </si>
  <si>
    <t>Googleフォーム等</t>
  </si>
  <si>
    <t>https://yjpv5pf0p3pj.jp.larksuite.com/share/base/form/shrjp1ksluRzpVbtKSG0VwOaTYe</t>
  </si>
  <si>
    <t>【追加提案項目】68項目</t>
  </si>
  <si>
    <t>1. 年金事務所申請関連書類（6項目）</t>
  </si>
  <si>
    <t>15</t>
  </si>
  <si>
    <t>過誤申立書フォーマット</t>
  </si>
  <si>
    <t>Word/Excel</t>
  </si>
  <si>
    <t>年金事務所提出用</t>
  </si>
  <si>
    <t>16</t>
  </si>
  <si>
    <t>人事評価制度変更届出書</t>
  </si>
  <si>
    <t>17</t>
  </si>
  <si>
    <t>弁護士意見書ひな形</t>
  </si>
  <si>
    <t>伊藤先生</t>
  </si>
  <si>
    <t>18</t>
  </si>
  <si>
    <t>新旧制度比較表フォーマット</t>
  </si>
  <si>
    <t>Excel/Word</t>
  </si>
  <si>
    <t>19</t>
  </si>
  <si>
    <t>業務実態を示す資料フォーマット</t>
  </si>
  <si>
    <t>20</t>
  </si>
  <si>
    <t>年金事務所提出書類チェックリスト</t>
  </si>
  <si>
    <t>Excel</t>
  </si>
  <si>
    <t>2. シミュレーション・試算ツール（5項目）</t>
  </si>
  <si>
    <t>21</t>
  </si>
  <si>
    <t>簡易シミュレーター（Excel）</t>
  </si>
  <si>
    <t>営業用</t>
  </si>
  <si>
    <t>https://st022187.static.jp/d/social-insurance-simulator/</t>
  </si>
  <si>
    <t>22</t>
  </si>
  <si>
    <t>詳細シミュレーター（Excel）</t>
  </si>
  <si>
    <t>精密試算用</t>
  </si>
  <si>
    <t>https://docs.google.com/spreadsheets/d/1mE2582OK3Sy8POqKTShjK9eSLI3cc2gB4zhqkf-syFI/edit?usp=sharing</t>
  </si>
  <si>
    <t>23</t>
  </si>
  <si>
    <t>個別従業員シミュレーション資料</t>
  </si>
  <si>
    <t>従業員説明会用</t>
  </si>
  <si>
    <t>24</t>
  </si>
  <si>
    <t>還付金グラフ自動生成ツール</t>
  </si>
  <si>
    <t>★★</t>
  </si>
  <si>
    <t>グラフ自動作成</t>
  </si>
  <si>
    <t>25</t>
  </si>
  <si>
    <t>見積書自動生成ツール</t>
  </si>
  <si>
    <t>今週中必須</t>
  </si>
  <si>
    <t>3. 営業支援ツール（9項目）</t>
  </si>
  <si>
    <t>26</t>
  </si>
  <si>
    <t>LINE公式アカウント設定ガイド</t>
  </si>
  <si>
    <t>PDF</t>
  </si>
  <si>
    <t>27</t>
  </si>
  <si>
    <t>プロライン導線設定マニュアル</t>
  </si>
  <si>
    <t>28</t>
  </si>
  <si>
    <t>初回面談用プレゼン資料（PPT）</t>
  </si>
  <si>
    <t>PPT</t>
  </si>
  <si>
    <t>29</t>
  </si>
  <si>
    <t>営業用パンフレット（PDF）</t>
  </si>
  <si>
    <t>Figmaで作成</t>
  </si>
  <si>
    <t>30</t>
  </si>
  <si>
    <t>サービス紹介動画（3分）</t>
  </si>
  <si>
    <t>YouTube掲載</t>
  </si>
  <si>
    <t>31</t>
  </si>
  <si>
    <t>導入事例集</t>
  </si>
  <si>
    <t>建設業・介護福祉業</t>
  </si>
  <si>
    <t>32</t>
  </si>
  <si>
    <t>FAQ資料（100問）</t>
  </si>
  <si>
    <t>PDF/Word</t>
  </si>
  <si>
    <t>33</t>
  </si>
  <si>
    <t>料金表</t>
  </si>
  <si>
    <t>シンプル版</t>
  </si>
  <si>
    <t>34</t>
  </si>
  <si>
    <t>競合比較資料</t>
  </si>
  <si>
    <t>差別化ポイント明記</t>
  </si>
  <si>
    <t>4. 顧客管理・業務フロー（6項目）</t>
  </si>
  <si>
    <t>35</t>
  </si>
  <si>
    <t>CRM顧客管理テンプレート</t>
  </si>
  <si>
    <t>Salesforce等</t>
  </si>
  <si>
    <t>36</t>
  </si>
  <si>
    <t>案件管理シート（Excel）</t>
  </si>
  <si>
    <t>37</t>
  </si>
  <si>
    <t>9ステップ進捗管理シート</t>
  </si>
  <si>
    <t>38</t>
  </si>
  <si>
    <t>業務フローチャート</t>
  </si>
  <si>
    <t>Visio/PDF</t>
  </si>
  <si>
    <t>39</t>
  </si>
  <si>
    <t>タスク管理チェックリスト</t>
  </si>
  <si>
    <t>40</t>
  </si>
  <si>
    <t>顧客対応履歴テンプレート</t>
  </si>
  <si>
    <t>5. 従業員説明会関連（6項目）</t>
  </si>
  <si>
    <t>41</t>
  </si>
  <si>
    <t>従業員説明会用プレゼン資料（PPT）</t>
  </si>
  <si>
    <t>42</t>
  </si>
  <si>
    <t>従業員向けQ&amp;A資料</t>
  </si>
  <si>
    <t>43</t>
  </si>
  <si>
    <t>従業員向け制度説明動画（10分）</t>
  </si>
  <si>
    <t>44</t>
  </si>
  <si>
    <t>DC（確定拠出年金）説明資料</t>
  </si>
  <si>
    <t>4,000万円→9,274万円</t>
  </si>
  <si>
    <t>45</t>
  </si>
  <si>
    <t>年金シミュレーション比較資料</t>
  </si>
  <si>
    <t>国民年金 vs DC</t>
  </si>
  <si>
    <t>46</t>
  </si>
  <si>
    <t>同意書回収チェックリスト</t>
  </si>
  <si>
    <t>6. 内部管理・マニュアル（6項目）</t>
  </si>
  <si>
    <t>47</t>
  </si>
  <si>
    <t>業務マニュアル（全体版）</t>
  </si>
  <si>
    <t>100ページ超</t>
  </si>
  <si>
    <t>48</t>
  </si>
  <si>
    <t>CS対応マニュアル</t>
  </si>
  <si>
    <t>飯塚作成</t>
  </si>
  <si>
    <t>49</t>
  </si>
  <si>
    <t>年金事務所対応マニュアル（一課vs三課）</t>
  </si>
  <si>
    <t>必読</t>
  </si>
  <si>
    <t>50</t>
  </si>
  <si>
    <t>税務調査対応マニュアル</t>
  </si>
  <si>
    <t>売上否認されない論理</t>
  </si>
  <si>
    <t>51</t>
  </si>
  <si>
    <t>トラブルシューティングガイド</t>
  </si>
  <si>
    <t>52</t>
  </si>
  <si>
    <t>緊急時対応フローチャート</t>
  </si>
  <si>
    <t>7. クロスセル関連資料（5項目）</t>
  </si>
  <si>
    <t>53</t>
  </si>
  <si>
    <t>DC（確定拠出年金）提案資料</t>
  </si>
  <si>
    <t>2倍の運用成果</t>
  </si>
  <si>
    <t>54</t>
  </si>
  <si>
    <t>生命保険提案資料</t>
  </si>
  <si>
    <t>90%紹介料</t>
  </si>
  <si>
    <t>55</t>
  </si>
  <si>
    <t>節税商材一覧</t>
  </si>
  <si>
    <t>還付金の使途</t>
  </si>
  <si>
    <t>56</t>
  </si>
  <si>
    <t>採用ブースト事業説明資料</t>
  </si>
  <si>
    <t>7-8分の1単価</t>
  </si>
  <si>
    <t>57</t>
  </si>
  <si>
    <t>助成金・研修サービス案内</t>
  </si>
  <si>
    <t>★</t>
  </si>
  <si>
    <t>8. コンプライアンス・リスク管理（5項目）</t>
  </si>
  <si>
    <t>58</t>
  </si>
  <si>
    <t>コンプライアンスチェックリスト</t>
  </si>
  <si>
    <t>59</t>
  </si>
  <si>
    <t>情報セキュリティ管理規程</t>
  </si>
  <si>
    <t>Google Drive禁止</t>
  </si>
  <si>
    <t>60</t>
  </si>
  <si>
    <t>個人情報管理台帳</t>
  </si>
  <si>
    <t>61</t>
  </si>
  <si>
    <t>リスク管理チェックリスト</t>
  </si>
  <si>
    <t>62</t>
  </si>
  <si>
    <t>法改正モニタリングシート</t>
  </si>
  <si>
    <t>2年以内が勝負</t>
  </si>
  <si>
    <t>9. 報告・精算関連書類（6項目）</t>
  </si>
  <si>
    <t>63</t>
  </si>
  <si>
    <t>月次報告書フォーマット</t>
  </si>
  <si>
    <t>64</t>
  </si>
  <si>
    <t>還付金受領報告書</t>
  </si>
  <si>
    <t>65</t>
  </si>
  <si>
    <t>成果報酬請求書</t>
  </si>
  <si>
    <t>20%</t>
  </si>
  <si>
    <t>66</t>
  </si>
  <si>
    <t>領収書フォーマット</t>
  </si>
  <si>
    <t>67</t>
  </si>
  <si>
    <t>精算明細書</t>
  </si>
  <si>
    <t>68</t>
  </si>
  <si>
    <t>従業員配分計算シート</t>
  </si>
  <si>
    <t>10. 代理店支援ツール（5項目）</t>
  </si>
  <si>
    <t>69</t>
  </si>
  <si>
    <t>代理店向け説明資料</t>
  </si>
  <si>
    <t>70</t>
  </si>
  <si>
    <t>代理店契約条件一覧（機密）</t>
  </si>
  <si>
    <t>バリュー社3%等</t>
  </si>
  <si>
    <t>71</t>
  </si>
  <si>
    <t>代理店教育プログラム</t>
  </si>
  <si>
    <t>72</t>
  </si>
  <si>
    <t>代理店向けロールプレイング台本</t>
  </si>
  <si>
    <t>73</t>
  </si>
  <si>
    <t>代理店向け月次報告フォーマット</t>
  </si>
  <si>
    <t>11. システム・データ管理（4項目）</t>
  </si>
  <si>
    <t>74</t>
  </si>
  <si>
    <t>書類管理台帳（Excel）</t>
  </si>
  <si>
    <t>75</t>
  </si>
  <si>
    <t>データバックアップ手順書</t>
  </si>
  <si>
    <t>76</t>
  </si>
  <si>
    <t>パスワード管理ルール</t>
  </si>
  <si>
    <t>77</t>
  </si>
  <si>
    <t>クラウドストレージ運用ガイド</t>
  </si>
  <si>
    <t>Google Drive以外</t>
  </si>
  <si>
    <t>12. ブランディング・デザイン（5項目）</t>
  </si>
  <si>
    <t>78</t>
  </si>
  <si>
    <t>ロゴデータ（AI/PNG/SVG）</t>
  </si>
  <si>
    <t>AI/PNG/SVG</t>
  </si>
  <si>
    <t>79</t>
  </si>
  <si>
    <t>名刺デザインテンプレート</t>
  </si>
  <si>
    <t>AI/PDF</t>
  </si>
  <si>
    <t>80</t>
  </si>
  <si>
    <t>プレゼン資料用パワポテンプレート</t>
  </si>
  <si>
    <t>PPTX</t>
  </si>
  <si>
    <t>統一感</t>
  </si>
  <si>
    <t>81</t>
  </si>
  <si>
    <t>Word文書用テンプレート</t>
  </si>
  <si>
    <t>DOCX</t>
  </si>
  <si>
    <t>82</t>
  </si>
  <si>
    <t>Excel資料用テンプレート</t>
  </si>
  <si>
    <t>XLSX</t>
  </si>
  <si>
    <t>【サマリー】</t>
  </si>
  <si>
    <t>現状の項目</t>
  </si>
  <si>
    <t>14項目</t>
  </si>
  <si>
    <t>追加提案項目</t>
  </si>
  <si>
    <t>68項目</t>
  </si>
  <si>
    <t>合計</t>
  </si>
  <si>
    <t>82項目</t>
  </si>
  <si>
    <t>✅ 社会保険料適正化サービス BizDev チェックリスト</t>
  </si>
  <si>
    <t>このチェックリストは、社会保険料適正化サービスの事業健全性を189項目で評価します。</t>
  </si>
  <si>
    <t>サブカテゴリ</t>
  </si>
  <si>
    <t>チェック項目</t>
  </si>
  <si>
    <t>説明・基準</t>
  </si>
  <si>
    <t>優先度</t>
  </si>
  <si>
    <t>確認頻度</t>
  </si>
  <si>
    <t>担当/責任</t>
  </si>
  <si>
    <t>完了</t>
  </si>
  <si>
    <t>ガバナンス・組織</t>
  </si>
  <si>
    <t>コンプラ</t>
  </si>
  <si>
    <t>反社チェックフローがあるか</t>
  </si>
  <si>
    <t>顧客・パートナーの反社チェックを実施</t>
  </si>
  <si>
    <t>S</t>
  </si>
  <si>
    <t>月次</t>
  </si>
  <si>
    <t>管理部</t>
  </si>
  <si>
    <t>社会保険労務士との顧問契約があるか</t>
  </si>
  <si>
    <t>適正化サービスの法的妥当性を常時確認</t>
  </si>
  <si>
    <t>契約中</t>
  </si>
  <si>
    <t>経営層</t>
  </si>
  <si>
    <t>税理士との顧問契約があるか</t>
  </si>
  <si>
    <t>税務面での適法性を常時確認</t>
  </si>
  <si>
    <t>内部統制</t>
  </si>
  <si>
    <t>稟議・承認が電子化されているか</t>
  </si>
  <si>
    <t>契約承認フローの透明性確保</t>
  </si>
  <si>
    <t>A</t>
  </si>
  <si>
    <t>内部通報/ホットラインの仕組みがあるか</t>
  </si>
  <si>
    <t>不正防止の仕組み</t>
  </si>
  <si>
    <t>四半期</t>
  </si>
  <si>
    <t>情報共有</t>
  </si>
  <si>
    <t>経営数値が幹部に共有されているか</t>
  </si>
  <si>
    <t>売上・契約数・還付額などKGI/KPI</t>
  </si>
  <si>
    <t>週次</t>
  </si>
  <si>
    <t>議事録・決定事項がアーカイブされているか</t>
  </si>
  <si>
    <t>経営会議・営業会議の記録保存</t>
  </si>
  <si>
    <t>意思決定</t>
  </si>
  <si>
    <t>経営会議の開催頻度と議題が固定されているか</t>
  </si>
  <si>
    <t>週次または月次で定例化</t>
  </si>
  <si>
    <t>重要決裁の権限規程があるか</t>
  </si>
  <si>
    <t>契約金額・割引率などの決裁ライン</t>
  </si>
  <si>
    <t>組織設計</t>
  </si>
  <si>
    <t>RACIで責任所在が明確か</t>
  </si>
  <si>
    <t>営業・CS・伊藤先生側・税理士の役割明確化</t>
  </si>
  <si>
    <t>組織図と役割が最新化されているか</t>
  </si>
  <si>
    <t>営業5名→20名への拡大計画と連動</t>
  </si>
  <si>
    <t>人事</t>
  </si>
  <si>
    <t>KPI設計</t>
  </si>
  <si>
    <t>KPIを週次/月次でモニタリングする場があるか</t>
  </si>
  <si>
    <t>商談数・成約数・還付実行数など</t>
  </si>
  <si>
    <t>営業部長</t>
  </si>
  <si>
    <t>事業KGI→事業KPI→現場KPIがピラミッドでつながっているか</t>
  </si>
  <si>
    <t>売上3億→契約30社→商談150社</t>
  </si>
  <si>
    <t>ミッション/ビジョン</t>
  </si>
  <si>
    <t>存在意義（Why）が一文で定義されているか</t>
  </si>
  <si>
    <t>例: 企業と従業員の両方を豊かにする</t>
  </si>
  <si>
    <t>年次</t>
  </si>
  <si>
    <t>中小企業が“知らないことで損をし続ける構造”を、仕組みで改善する</t>
  </si>
  <si>
    <t>3年ビジョンを数値とストーリーで示しているか</t>
  </si>
  <si>
    <t>3年後: 売上10億円、契約100社など</t>
  </si>
  <si>
    <t>1年後：売上25.2億、粗利12,6億、契約420社</t>
  </si>
  <si>
    <t>MVVが組織に共有・浸透しているか</t>
  </si>
  <si>
    <t>採用・評価・研修に連動しているか</t>
  </si>
  <si>
    <t>半期</t>
  </si>
  <si>
    <t>市場・ポジショニング</t>
  </si>
  <si>
    <t>主要市場の定義が明確か（業界・エリア・顧客規模）</t>
  </si>
  <si>
    <t>従業員10-50名、年間給与総額5000万円以上</t>
  </si>
  <si>
    <t>日本全体の社会保険料収入80.1兆</t>
  </si>
  <si>
    <t>競合マップを四象限で描けるか</t>
  </si>
  <si>
    <t>遡及期間×成果報酬率で競合分析</t>
  </si>
  <si>
    <t>自社の差別化ポイント（USP）が3つ以内で話せるか</t>
  </si>
  <si>
    <t>①5年遡及 ②初期費用0円 ③実態構築支援</t>
  </si>
  <si>
    <t>営業・マーケティング</t>
  </si>
  <si>
    <t>リード獲得</t>
  </si>
  <si>
    <t>無料診断の提供体制があるか</t>
  </si>
  <si>
    <t>算定基礎届から還付見込額を無料試算</t>
  </si>
  <si>
    <t>毎日</t>
  </si>
  <si>
    <t>紹介営業の仕組みがあるか</t>
  </si>
  <si>
    <t>税理士・伊藤先生側・既存顧客からの紹介</t>
  </si>
  <si>
    <t>セミナー・説明会を定期開催しているか</t>
  </si>
  <si>
    <t>経営者向け社会保険料削減セミナー</t>
  </si>
  <si>
    <t>Web広告（Google/Facebook）を運用しているか</t>
  </si>
  <si>
    <t>「社会保険料 削減」などのキーワード</t>
  </si>
  <si>
    <t>B</t>
  </si>
  <si>
    <t>マーケ</t>
  </si>
  <si>
    <t>営業プロセス</t>
  </si>
  <si>
    <t>営業トークスクリプトが整備されているか</t>
  </si>
  <si>
    <t>5シーン別の台本を全員が暗記</t>
  </si>
  <si>
    <t>還付金シミュレーターを商談で使っているか</t>
  </si>
  <si>
    <t>Excel使用、リアルタイム計算</t>
  </si>
  <si>
    <t>提案書テンプレートがあるか</t>
  </si>
  <si>
    <t>還付見込額・配分・スケジュールを記載</t>
  </si>
  <si>
    <t>月次更新</t>
  </si>
  <si>
    <t>成約後の手続きフローが明文化されているか</t>
  </si>
  <si>
    <t>契約→資料収集→伊藤先生側連携→実行</t>
  </si>
  <si>
    <t>CS</t>
  </si>
  <si>
    <t>クロージング時の価格交渉ルールがあるか</t>
  </si>
  <si>
    <t>成果報酬15-20%の裁量範囲を明確化</t>
  </si>
  <si>
    <t>案件管理</t>
  </si>
  <si>
    <t>CRMで案件進捗を管理しているか</t>
  </si>
  <si>
    <t>リード→商談→成約→実行の各段階</t>
  </si>
  <si>
    <t>失注理由を分析・共有しているか</t>
  </si>
  <si>
    <t>価格・信頼性・競合など理由別集計</t>
  </si>
  <si>
    <t>商談から成約までの平均リードタイムを把握しているか</t>
  </si>
  <si>
    <t>目標: 初回商談から30日以内成約</t>
  </si>
  <si>
    <t>法務・コンプライアンス</t>
  </si>
  <si>
    <t>契約書</t>
  </si>
  <si>
    <t>顧問契約書のひな型があるか</t>
  </si>
  <si>
    <t>成果報酬・組合費・解約条件を明記</t>
  </si>
  <si>
    <t>年次見直し</t>
  </si>
  <si>
    <t>法務</t>
  </si>
  <si>
    <t>業務委託契約書のひな型があるか</t>
  </si>
  <si>
    <t>実態構築用の委託契約テンプレート</t>
  </si>
  <si>
    <t>組合規約が整備されているか</t>
  </si>
  <si>
    <t>組合員の権利義務を明文化</t>
  </si>
  <si>
    <t>秘密保持契約（NDA）があるか</t>
  </si>
  <si>
    <t>算定基礎届など機密情報の取扱い</t>
  </si>
  <si>
    <t>個別締結</t>
  </si>
  <si>
    <t>実態構築</t>
  </si>
  <si>
    <t>業務委託の実態基準が文書化されているか</t>
  </si>
  <si>
    <t>月○回の業務実施、報告書作成など</t>
  </si>
  <si>
    <t>伊藤先生側</t>
  </si>
  <si>
    <t>業務日報・報告書のテンプレートがあるか</t>
  </si>
  <si>
    <t>実態の証跡として保管</t>
  </si>
  <si>
    <t>毎月</t>
  </si>
  <si>
    <t>業務実施の写真・動画を記録しているか</t>
  </si>
  <si>
    <t>調査時の証拠として活用</t>
  </si>
  <si>
    <t>実態構築チェックリストがあるか</t>
  </si>
  <si>
    <t>10項目以上の確認項目</t>
  </si>
  <si>
    <t>案件ごと</t>
  </si>
  <si>
    <t>調査対応</t>
  </si>
  <si>
    <t>年金事務所調査への対応マニュアルがあるか</t>
  </si>
  <si>
    <t>調査時の説明・資料提出フロー</t>
  </si>
  <si>
    <t>税務調査への対応マニュアルがあるか</t>
  </si>
  <si>
    <t>給与所得vs事業所得の説明準備</t>
  </si>
  <si>
    <t>税理士</t>
  </si>
  <si>
    <t>調査時の立会い体制があるか</t>
  </si>
  <si>
    <t>伊藤先生側・税理士が必ず同席</t>
  </si>
  <si>
    <t>随時</t>
  </si>
  <si>
    <t>伊藤先生側・税理士</t>
  </si>
  <si>
    <t>過去の調査事例をデータベース化しているか</t>
  </si>
  <si>
    <t>指摘事項と対応策を蓄積</t>
  </si>
  <si>
    <t>随時更新</t>
  </si>
  <si>
    <t>オペレーション</t>
  </si>
  <si>
    <t>資料収集</t>
  </si>
  <si>
    <t>顧客から収集する資料リストがあるか</t>
  </si>
  <si>
    <t>算定基礎届・給与台帳・就業規則など</t>
  </si>
  <si>
    <t>資料の電子化・保管ルールがあるか</t>
  </si>
  <si>
    <t>PDF化、顧客別フォルダ管理</t>
  </si>
  <si>
    <t>資料収集の平均所要日数を把握しているか</t>
  </si>
  <si>
    <t>目標: 依頼から7日以内に完了</t>
  </si>
  <si>
    <t>還付申請</t>
  </si>
  <si>
    <t>申請書類のひな型があるか</t>
  </si>
  <si>
    <t>訂正届・遡及変更の申請様式</t>
  </si>
  <si>
    <t>年次更新</t>
  </si>
  <si>
    <t>申請から還付までの標準日数を把握しているか</t>
  </si>
  <si>
    <t>年金事務所の処理期間含む</t>
  </si>
  <si>
    <t>申請却下時の再申請フローがあるか</t>
  </si>
  <si>
    <t>理由分析→追加資料→再提出</t>
  </si>
  <si>
    <t>複数案件を並行処理する体制があるか</t>
  </si>
  <si>
    <t>月10件以上の申請処理能力</t>
  </si>
  <si>
    <t>還付金配分</t>
  </si>
  <si>
    <t>還付金の入金確認フローがあるか</t>
  </si>
  <si>
    <t>顧客口座への入金を即座に確認</t>
  </si>
  <si>
    <t>経理</t>
  </si>
  <si>
    <t>従業員への配分計算が自動化されているか</t>
  </si>
  <si>
    <t>Excel or システムで自動計算</t>
  </si>
  <si>
    <t>成果報酬の請求書発行が自動化されているか</t>
  </si>
  <si>
    <t>入金確認後、即座に請求書送付</t>
  </si>
  <si>
    <t>配分完了までの平均日数を把握しているか</t>
  </si>
  <si>
    <t>目標: 入金から30日以内に配分完了</t>
  </si>
  <si>
    <t>カスタマーサクセス</t>
  </si>
  <si>
    <t>オンボーディング</t>
  </si>
  <si>
    <t>契約後のキックオフMTGを実施しているか</t>
  </si>
  <si>
    <t>全体スケジュール・必要書類を説明</t>
  </si>
  <si>
    <t>従業員説明会の支援をしているか</t>
  </si>
  <si>
    <t>スライド提供・同席サポート</t>
  </si>
  <si>
    <t>契約から還付完了までの進捗を共有しているか</t>
  </si>
  <si>
    <t>週次or月次の進捗レポート</t>
  </si>
  <si>
    <t>継続サポート</t>
  </si>
  <si>
    <t>組合員向けの定期セミナーを実施しているか</t>
  </si>
  <si>
    <t>給与再設計・節税など関連テーマ</t>
  </si>
  <si>
    <t>年度更新（算定基礎届）のリマインドをしているか</t>
  </si>
  <si>
    <t>毎年4-7月に継続最適化を提案</t>
  </si>
  <si>
    <t>新入社員の社会保険加入サポートをしているか</t>
  </si>
  <si>
    <t>最初から最適化した加入を支援</t>
  </si>
  <si>
    <t>満足度管理</t>
  </si>
  <si>
    <t>還付完了後にアンケートを実施しているか</t>
  </si>
  <si>
    <t>NPS・満足度・改善点を聴取</t>
  </si>
  <si>
    <t>不満・クレームの対応フローがあるか</t>
  </si>
  <si>
    <t>24時間以内に初回対応</t>
  </si>
  <si>
    <t>紹介依頼のタイミングを設定しているか</t>
  </si>
  <si>
    <t>還付完了後、満足度が高い時点</t>
  </si>
  <si>
    <t>人事・採用</t>
  </si>
  <si>
    <t>採用</t>
  </si>
  <si>
    <t>営業職の採用基準が明確か</t>
  </si>
  <si>
    <t>必須: 法人営業経験2年以上など</t>
  </si>
  <si>
    <t>伊藤先生側・税理士の採用/業務委託ルートがあるか</t>
  </si>
  <si>
    <t>専門家ネットワークの拡充</t>
  </si>
  <si>
    <t>営業5名→20名の採用計画があるか</t>
  </si>
  <si>
    <t>四半期ごとの採用目標を設定</t>
  </si>
  <si>
    <t>育成</t>
  </si>
  <si>
    <t>営業研修カリキュラム（4時間）があるか</t>
  </si>
  <si>
    <t>サービス概要・営業トーク・コンプラ</t>
  </si>
  <si>
    <t>入社時</t>
  </si>
  <si>
    <t>認定テスト（合格率80%以上）があるか</t>
  </si>
  <si>
    <t>5問20点、16点以上で合格</t>
  </si>
  <si>
    <t>研修後</t>
  </si>
  <si>
    <t>OJT（先輩同行）の期間が設定されているか</t>
  </si>
  <si>
    <t>最低5商談は同行必須</t>
  </si>
  <si>
    <t>ロールプレイングを定期実施しているか</t>
  </si>
  <si>
    <t>月1回、商談シナリオで練習</t>
  </si>
  <si>
    <t>評価・報酬</t>
  </si>
  <si>
    <t>営業のインセンティブ制度があるか</t>
  </si>
  <si>
    <t>成約件数・契約金額に応じた歩合</t>
  </si>
  <si>
    <t>評価基準（KPI）が明確か</t>
  </si>
  <si>
    <t>商談数・成約率・顧客満足度など</t>
  </si>
  <si>
    <t>財務・経理</t>
  </si>
  <si>
    <t>会計</t>
  </si>
  <si>
    <t>売上計上基準が明確か</t>
  </si>
  <si>
    <t>還付金入金時 or 成果報酬請求時</t>
  </si>
  <si>
    <t>組合費の収益認識基準が明確か</t>
  </si>
  <si>
    <t>月次課金、前受金処理など</t>
  </si>
  <si>
    <t>伊藤先生側・税理士への支払い基準が明確か</t>
  </si>
  <si>
    <t>成果報酬の一部を配分</t>
  </si>
  <si>
    <t>資金繰り</t>
  </si>
  <si>
    <t>3ヶ月先の資金繰り表があるか</t>
  </si>
  <si>
    <t>成果報酬の入金タイミングに注意</t>
  </si>
  <si>
    <t>還付金入金前の運転資金が確保されているか</t>
  </si>
  <si>
    <t>人件費・固定費の6ヶ月分</t>
  </si>
  <si>
    <t>CFO</t>
  </si>
  <si>
    <t>入金サイクルの平均日数を把握しているか</t>
  </si>
  <si>
    <t>申請→還付→成果報酬入金</t>
  </si>
  <si>
    <t>予算管理</t>
  </si>
  <si>
    <t>月次予算と実績の差異分析をしているか</t>
  </si>
  <si>
    <t>売上・費用・利益の予実管理</t>
  </si>
  <si>
    <t>年間売上目標25億円の進捗を可視化しているか</t>
  </si>
  <si>
    <t>ダッシュボードで四半期ごと確認</t>
  </si>
  <si>
    <t>リスク・BCP</t>
  </si>
  <si>
    <t>リスク管理</t>
  </si>
  <si>
    <t>法改正の情報収集体制があるか</t>
  </si>
  <si>
    <t>社会保険料率・制度変更の監視</t>
  </si>
  <si>
    <t>顧客の倒産リスクを評価しているか</t>
  </si>
  <si>
    <t>与信チェック、前払い回避</t>
  </si>
  <si>
    <t>契約前</t>
  </si>
  <si>
    <t>伊藤先生側・税理士の契約解除リスクに備えているか</t>
  </si>
  <si>
    <t>複数の専門家と契約</t>
  </si>
  <si>
    <t>BCP</t>
  </si>
  <si>
    <t>顧客データのバックアップがあるか</t>
  </si>
  <si>
    <t>毎日、クラウドに自動保存</t>
  </si>
  <si>
    <t>主要メンバー不在時の代替体制があるか</t>
  </si>
  <si>
    <t>営業部長・伊藤先生側の代替者を明確化</t>
  </si>
  <si>
    <t>保険</t>
  </si>
  <si>
    <t>賠償責任保険に加入しているか</t>
  </si>
  <si>
    <t>誤案内による損害に備える</t>
  </si>
  <si>
    <t>IT・システム</t>
  </si>
  <si>
    <t>CRM</t>
  </si>
  <si>
    <t>CRM/SFAで案件管理をしているか</t>
  </si>
  <si>
    <t>Salesforce, HubSpot等</t>
  </si>
  <si>
    <t>還付金シミュレーターがCRMと連携しているか</t>
  </si>
  <si>
    <t>見積結果を自動記録</t>
  </si>
  <si>
    <t>セキュリティ</t>
  </si>
  <si>
    <t>顧客情報の暗号化がされているか</t>
  </si>
  <si>
    <t>SSL/TLS、データベース暗号化</t>
  </si>
  <si>
    <t>常時</t>
  </si>
  <si>
    <t>アクセス権限が役割別に設定されているか</t>
  </si>
  <si>
    <t>営業・CS・経理で閲覧範囲を制限</t>
  </si>
  <si>
    <t>2要素認証を導入しているか</t>
  </si>
  <si>
    <t>Google Authenticator等</t>
  </si>
  <si>
    <t>ツール</t>
  </si>
  <si>
    <t>オンライン商談ツールがあるか</t>
  </si>
  <si>
    <t>Zoom, Google Meet等</t>
  </si>
  <si>
    <t>契約書の電子署名ツールがあるか</t>
  </si>
  <si>
    <t>DocuSign, クラウドサイン等</t>
  </si>
  <si>
    <t>契約ごと</t>
  </si>
  <si>
    <t>請求書発行システムがあるか</t>
  </si>
  <si>
    <t>Misoca, freee等</t>
  </si>
  <si>
    <t>パートナー連携</t>
  </si>
  <si>
    <t>伊藤先生側と週次MTGを実施しているか</t>
  </si>
  <si>
    <t>案件進捗・法改正情報を共有</t>
  </si>
  <si>
    <t>伊藤先生側への報酬体系が明確か</t>
  </si>
  <si>
    <t>固定顧問料 + 成果報酬</t>
  </si>
  <si>
    <t>複数の伊藤先生側と契約しているか</t>
  </si>
  <si>
    <t>リスク分散、処理能力向上</t>
  </si>
  <si>
    <t>顧問税理士と月次MTGを実施しているか</t>
  </si>
  <si>
    <t>税務リスク・節税策を相談</t>
  </si>
  <si>
    <t>税理士からの顧客紹介ルートがあるか</t>
  </si>
  <si>
    <t>紹介手数料の設定</t>
  </si>
  <si>
    <t>提携先</t>
  </si>
  <si>
    <t>他士業（弁護士・司法書士）とのネットワークがあるか</t>
  </si>
  <si>
    <t>法的トラブル時の連携</t>
  </si>
  <si>
    <t>金融機関との提携関係があるか</t>
  </si>
  <si>
    <t>融資・紹介での連携</t>
  </si>
  <si>
    <t>C</t>
  </si>
  <si>
    <t>広報・ブランディング</t>
  </si>
  <si>
    <t>コーポレートサイトがあるか</t>
  </si>
  <si>
    <t>サービス内容・実績・料金を明示</t>
  </si>
  <si>
    <t>成功事例（ケーススタディ）を掲載しているか</t>
  </si>
  <si>
    <t>還付金額・顧客の声を公開</t>
  </si>
  <si>
    <t>四半期更新</t>
  </si>
  <si>
    <t>よくある質問（FAQ）を掲載しているか</t>
  </si>
  <si>
    <t>10問以上、検索最適化</t>
  </si>
  <si>
    <t>コンテンツ</t>
  </si>
  <si>
    <t>ブログ・記事を定期発信しているか</t>
  </si>
  <si>
    <t>社会保険料の節税ノウハウ等</t>
  </si>
  <si>
    <t>ホワイトペーパー（資料DL）があるか</t>
  </si>
  <si>
    <t>リード獲得用の無料資料</t>
  </si>
  <si>
    <t>SNS</t>
  </si>
  <si>
    <t>LinkedIn/Twitterで情報発信しているか</t>
  </si>
  <si>
    <t>法改正情報・成功事例を投稿</t>
  </si>
  <si>
    <t>データ分析・改善</t>
  </si>
  <si>
    <t>KPI分析</t>
  </si>
  <si>
    <t>商談数・成約率を週次で分析しているか</t>
  </si>
  <si>
    <t>目標: 成約率60%以上</t>
  </si>
  <si>
    <t>営業担当者別の成約率を把握しているか</t>
  </si>
  <si>
    <t>低い人へのフォロー・研修実施</t>
  </si>
  <si>
    <t>還付金額の平均値・中央値を把握しているか</t>
  </si>
  <si>
    <t>提案時の目安として活用</t>
  </si>
  <si>
    <t>顧客の業種別成約率を分析しているか</t>
  </si>
  <si>
    <t>注力業種の選定</t>
  </si>
  <si>
    <t>従業員規模別の成約率を分析しているか</t>
  </si>
  <si>
    <t>10-20名、20-50名など</t>
  </si>
  <si>
    <t>紹介元別の成約率を分析しているか</t>
  </si>
  <si>
    <t>税理士、伊藤先生側、既存顧客など</t>
  </si>
  <si>
    <t>改善活動</t>
  </si>
  <si>
    <t>営業会議で改善アクションを決定しているか</t>
  </si>
  <si>
    <t>週次会議でPDCAを回す</t>
  </si>
  <si>
    <t>ベストプラクティスを共有しているか</t>
  </si>
  <si>
    <t>トップ営業の商談録画を教材化</t>
  </si>
  <si>
    <t>四半期レビューで戦略を見直しているか</t>
  </si>
  <si>
    <t>市場動向・競合状況を再評価</t>
  </si>
  <si>
    <t>失注案件のフォローアップをしているか</t>
  </si>
  <si>
    <t>3ヶ月後・6ヶ月後に再アプローチ</t>
  </si>
  <si>
    <t>顧客管理・CRM</t>
  </si>
  <si>
    <t>顧客情報</t>
  </si>
  <si>
    <t>顧客基本情報（会社名・所在地・業種）を登録しているか</t>
  </si>
  <si>
    <t>CRMで一元管理</t>
  </si>
  <si>
    <t>契約時</t>
  </si>
  <si>
    <t>担当者情報（氏名・役職・連絡先）を登録しているか</t>
  </si>
  <si>
    <t>決裁者・経理担当者・人事担当者</t>
  </si>
  <si>
    <t>給与総額・従業員数を記録しているか</t>
  </si>
  <si>
    <t>還付見込額の算出に使用</t>
  </si>
  <si>
    <t>契約日・契約内容を記録しているか</t>
  </si>
  <si>
    <t>成果報酬率・組合費などの条件</t>
  </si>
  <si>
    <t>コミュニケーション履歴</t>
  </si>
  <si>
    <t>商談履歴を記録しているか</t>
  </si>
  <si>
    <t>日時・内容・次回アクションを記載</t>
  </si>
  <si>
    <t>商談ごと</t>
  </si>
  <si>
    <t>メール・電話の履歴を記録しているか</t>
  </si>
  <si>
    <t>CRMで自動連携</t>
  </si>
  <si>
    <t>顧客からの問い合わせを記録しているか</t>
  </si>
  <si>
    <t>質問内容と回答をFAQに反映</t>
  </si>
  <si>
    <t>タグ・分類</t>
  </si>
  <si>
    <t>顧客を成約確度でセグメントしているか</t>
  </si>
  <si>
    <t>Hot/Warm/Coldの3段階</t>
  </si>
  <si>
    <t>契約ステータスでセグメントしているか</t>
  </si>
  <si>
    <t>見込み・商談中・成約・完了</t>
  </si>
  <si>
    <t>紹介元でタグ付けしているか</t>
  </si>
  <si>
    <t>紹介者へのお礼・報告に活用</t>
  </si>
  <si>
    <t>品質管理</t>
  </si>
  <si>
    <t>還付計算</t>
  </si>
  <si>
    <t>還付金額の計算をダブルチェックしているか</t>
  </si>
  <si>
    <t>伊藤先生側と営業の2名で確認</t>
  </si>
  <si>
    <t>計算根拠を顧客に説明しているか</t>
  </si>
  <si>
    <t>シミュレーターの結果を共有</t>
  </si>
  <si>
    <t>計算ミス時の対応フローがあるか</t>
  </si>
  <si>
    <t>再計算・顧客への説明・補償</t>
  </si>
  <si>
    <t>書類作成</t>
  </si>
  <si>
    <t>申請書類の誤記入チェックをしているか</t>
  </si>
  <si>
    <t>伊藤先生側が最終確認</t>
  </si>
  <si>
    <t>申請ごと</t>
  </si>
  <si>
    <t>提出前に書類のコピーを保管しているか</t>
  </si>
  <si>
    <t>PDF化して顧客フォルダに保存</t>
  </si>
  <si>
    <t>顧客対応</t>
  </si>
  <si>
    <t>問い合わせへの回答期限を設定しているか</t>
  </si>
  <si>
    <t>24時間以内に初回返信</t>
  </si>
  <si>
    <t>対応品質の社内レビューをしているか</t>
  </si>
  <si>
    <t>月次でクレーム・満足度を分析</t>
  </si>
  <si>
    <t>エスカレーションルールがあるか</t>
  </si>
  <si>
    <t>重要案件は即座に部長・経営層へ</t>
  </si>
  <si>
    <t>知識管理</t>
  </si>
  <si>
    <t>ドキュメント</t>
  </si>
  <si>
    <t>社会保険制度の最新情報を更新しているか</t>
  </si>
  <si>
    <t>料率・法改正を四半期ごと確認</t>
  </si>
  <si>
    <t>業務マニュアルが整備されているか</t>
  </si>
  <si>
    <t>営業・CS・申請の全フロー</t>
  </si>
  <si>
    <t>半期更新</t>
  </si>
  <si>
    <t>よくある質問（FAQ）を更新しているか</t>
  </si>
  <si>
    <t>顧客からの質問を随時追加</t>
  </si>
  <si>
    <t>成功事例集を作成しているか</t>
  </si>
  <si>
    <t>業種別・従業員規模別の実例</t>
  </si>
  <si>
    <t>ナレッジ共有</t>
  </si>
  <si>
    <t>社内Wikiやナレッジベースがあるか</t>
  </si>
  <si>
    <t>Notion、Confluenceなど</t>
  </si>
  <si>
    <t>営業ノウハウを言語化しているか</t>
  </si>
  <si>
    <t>トップ営業の手法を文書化</t>
  </si>
  <si>
    <t>トラブル対応事例を蓄積しているか</t>
  </si>
  <si>
    <t>問題と解決策をデータベース化</t>
  </si>
  <si>
    <t>規制対応</t>
  </si>
  <si>
    <t>個人情報保護</t>
  </si>
  <si>
    <t>プライバシーポリシーを掲載しているか</t>
  </si>
  <si>
    <t>Webサイトに明記</t>
  </si>
  <si>
    <t>個人情報の取扱い同意を取得しているか</t>
  </si>
  <si>
    <t>契約時に書面で同意</t>
  </si>
  <si>
    <t>従業員の個人情報を適切に管理しているか</t>
  </si>
  <si>
    <t>給与・標準報酬月額など</t>
  </si>
  <si>
    <t>個人情報の削除依頼に対応できるか</t>
  </si>
  <si>
    <t>顧客からの要請に即座対応</t>
  </si>
  <si>
    <t>労働法規</t>
  </si>
  <si>
    <t>業務委託の定義を理解しているか</t>
  </si>
  <si>
    <t>雇用と委託の違いを明確化</t>
  </si>
  <si>
    <t>年次確認</t>
  </si>
  <si>
    <t>最低賃金法との整合性を確認しているか</t>
  </si>
  <si>
    <t>委託報酬が最低賃金を下回らない</t>
  </si>
  <si>
    <t>労働基準監督署の調査に備えているか</t>
  </si>
  <si>
    <t>実態の証拠を整備</t>
  </si>
  <si>
    <t>税務</t>
  </si>
  <si>
    <t>源泉徴収の要否を確認しているか</t>
  </si>
  <si>
    <t>業務委託報酬の源泉徴収</t>
  </si>
  <si>
    <t>消費税の処理を適切に行っているか</t>
  </si>
  <si>
    <t>課税・非課税の区分</t>
  </si>
  <si>
    <t>税務調査時の説明資料を準備しているか</t>
  </si>
  <si>
    <t>実態証明の資料一式</t>
  </si>
  <si>
    <t>事業継続・拡大</t>
  </si>
  <si>
    <t>新サービス</t>
  </si>
  <si>
    <t>給与再設計事業との連携があるか</t>
  </si>
  <si>
    <t>8.64億円事業とのクロスセル</t>
  </si>
  <si>
    <t>他の節税・助成金サービスを検討しているか</t>
  </si>
  <si>
    <t>ワンストップサービス化</t>
  </si>
  <si>
    <t>顧客のニーズ調査をしているか</t>
  </si>
  <si>
    <t>アンケート・ヒアリングで新サービス発掘</t>
  </si>
  <si>
    <t>地域展開</t>
  </si>
  <si>
    <t>東京以外の都道府県に対応できるか</t>
  </si>
  <si>
    <t>各地の料率・伊藤先生側ネットワーク</t>
  </si>
  <si>
    <t>地方の伊藤先生側ネットワークがあるか</t>
  </si>
  <si>
    <t>全国展開に向けた準備</t>
  </si>
  <si>
    <t>規模拡大</t>
  </si>
  <si>
    <t>従業員50名超の企業にも対応できるか</t>
  </si>
  <si>
    <t>大企業向けの体制整備</t>
  </si>
  <si>
    <t>月間処理件数の上限を把握しているか</t>
  </si>
  <si>
    <t>伊藤先生側のキャパシティ管理</t>
  </si>
  <si>
    <t>営業組織の拡大計画があるか</t>
  </si>
  <si>
    <t>5名→20名の段階的採用</t>
  </si>
  <si>
    <t>競合分析</t>
  </si>
  <si>
    <t>競合調査</t>
  </si>
  <si>
    <t>競合他社のサービス内容を把握しているか</t>
  </si>
  <si>
    <t>料金・遡及期間・実績など</t>
  </si>
  <si>
    <t>競合との差別化ポイントを明確にしているか</t>
  </si>
  <si>
    <t>5年遡及・実態構築支援</t>
  </si>
  <si>
    <t>失注時の競合理由を記録しているか</t>
  </si>
  <si>
    <t>価格・信頼性・サービス内容</t>
  </si>
  <si>
    <t>競合からの乗り換え顧客を分析しているか</t>
  </si>
  <si>
    <t>乗り換え理由を営業に活用</t>
  </si>
  <si>
    <t>ポジショニング</t>
  </si>
  <si>
    <t>価格帯別のポジショニングマップがあるか</t>
  </si>
  <si>
    <t>成果報酬率×サービス品質</t>
  </si>
  <si>
    <t>自社の強みを3つ以内で説明できるか</t>
  </si>
  <si>
    <t>営業全員が暗記</t>
  </si>
  <si>
    <t>月次確認</t>
  </si>
  <si>
    <t>顧客ロイヤルティ</t>
  </si>
  <si>
    <t>満足度</t>
  </si>
  <si>
    <t>NPS（ネットプロモータースコア）を測定しているか</t>
  </si>
  <si>
    <t>目標: 50以上</t>
  </si>
  <si>
    <t>還付完了後のアンケート回収率が高いか</t>
  </si>
  <si>
    <t>目標: 80%以上</t>
  </si>
  <si>
    <t>低評価の顧客にフォローアップしているか</t>
  </si>
  <si>
    <t>原因究明・改善提案</t>
  </si>
  <si>
    <t>紹介促進</t>
  </si>
  <si>
    <t>紹介キャンペーンを実施しているか</t>
  </si>
  <si>
    <t>紹介者・被紹介者への特典</t>
  </si>
  <si>
    <t>紹介依頼のタイミングをルール化しているか</t>
  </si>
  <si>
    <t>還付完了後1週間以内</t>
  </si>
  <si>
    <t>紹介数の目標を設定しているか</t>
  </si>
  <si>
    <t>顧客1社あたり年1件の紹介</t>
  </si>
  <si>
    <t>リテンション</t>
  </si>
  <si>
    <t>組合員の継続率を測定しているか</t>
  </si>
  <si>
    <t>目標: 年間チャーン率10%以下</t>
  </si>
  <si>
    <t>解約理由を分析しているか</t>
  </si>
  <si>
    <t>組合費・不満・競合など</t>
  </si>
  <si>
    <t>解約防止のアクションプランがあるか</t>
  </si>
  <si>
    <t>満足度低下の早期検知</t>
  </si>
  <si>
    <t>コミュニケーション</t>
  </si>
  <si>
    <t>社内</t>
  </si>
  <si>
    <t>Slackやチャットツールで情報共有しているか</t>
  </si>
  <si>
    <t>案件情報・ノウハウの迅速共有</t>
  </si>
  <si>
    <t>全員</t>
  </si>
  <si>
    <t>朝会・夕会で進捗を共有しているか</t>
  </si>
  <si>
    <t>15分の短時間ミーティング</t>
  </si>
  <si>
    <t>部門横断のMTGを定期開催しているか</t>
  </si>
  <si>
    <t>営業・CS・伊藤先生側の連携強化</t>
  </si>
  <si>
    <t>顧客向け</t>
  </si>
  <si>
    <t>ニュースレターを配信しているか</t>
  </si>
  <si>
    <t>法改正情報・節税ノウハウ</t>
  </si>
  <si>
    <t>年度末に感謝状・レポートを送付しているか</t>
  </si>
  <si>
    <t>削減額レポート・今後の提案</t>
  </si>
  <si>
    <t>パートナー</t>
  </si>
  <si>
    <t>伊藤先生側・税理士との定例MTGがあるか</t>
  </si>
  <si>
    <t>週次または月次で情報交換</t>
  </si>
  <si>
    <t>紹介パートナーへの報告会を実施しているか</t>
  </si>
  <si>
    <t>紹介案件の進捗・成果報告</t>
  </si>
  <si>
    <t>イノベーション</t>
  </si>
  <si>
    <t>業務改善</t>
  </si>
  <si>
    <t>業務プロセスの改善提案制度があるか</t>
  </si>
  <si>
    <t>現場からの改善案を募集</t>
  </si>
  <si>
    <t>RPA/自動化を検討しているか</t>
  </si>
  <si>
    <t>データ入力・書類作成の自動化</t>
  </si>
  <si>
    <t>業務効率化の目標を設定しているか</t>
  </si>
  <si>
    <t>処理時間・コスト削減の数値目標</t>
  </si>
  <si>
    <t>AI活用</t>
  </si>
  <si>
    <t>ChatGPTなどAIツールを活用しているか</t>
  </si>
  <si>
    <t>提案書作成・FAQ回答など</t>
  </si>
  <si>
    <t>還付金計算の自動化を検討しているか</t>
  </si>
  <si>
    <t>AI/システムによる計算効率化</t>
  </si>
  <si>
    <t>新技術</t>
  </si>
  <si>
    <t>ブロックチェーンなど新技術を研究しているか</t>
  </si>
  <si>
    <t>業務委託の証跡管理など</t>
  </si>
  <si>
    <t>最新の社会保険制度動向を追跡しているか</t>
  </si>
  <si>
    <t>マイナンバー連携・デジタル化など</t>
  </si>
  <si>
    <t>月</t>
  </si>
  <si>
    <t>月間獲得件数</t>
  </si>
  <si>
    <t>累計獲得件数</t>
  </si>
  <si>
    <t>日間獲得数</t>
  </si>
  <si>
    <t>1月</t>
  </si>
  <si>
    <t>2月</t>
  </si>
  <si>
    <t>3月</t>
  </si>
  <si>
    <t>4月</t>
  </si>
  <si>
    <t>5月</t>
  </si>
  <si>
    <t>6月</t>
  </si>
  <si>
    <t>7月</t>
  </si>
  <si>
    <t>8月</t>
  </si>
  <si>
    <t>9月</t>
  </si>
  <si>
    <t>10月</t>
  </si>
  <si>
    <t>11月</t>
  </si>
  <si>
    <t>12月</t>
  </si>
  <si>
    <t>あなたは、公的資金（補助金・助成金・行政連携案件）における</t>
  </si>
  <si>
    <t>システム開発要件定義書の作成を専門とするITコンサルタント兼PMです。</t>
  </si>
  <si>
    <t>以下の【簡易要件定義】をもとに、</t>
  </si>
  <si>
    <t>「公的資金開発に耐えうる正式な要件定義書」を作成してください。</t>
  </si>
  <si>
    <t>■ 要求水準</t>
  </si>
  <si>
    <t>- 開発会社にそのまま見積・設計依頼ができるレベル</t>
  </si>
  <si>
    <t>- 補助金・公的資金の審査で指摘されない論理性・網羅性</t>
  </si>
  <si>
    <t>- 業務要件／機能要件／非機能要件を明確に分離</t>
  </si>
  <si>
    <t>- 曖昧な表現は避け、誰が読んでも同じ解釈になること</t>
  </si>
  <si>
    <t>- 「やること／やらないこと（スコープ）」を明確にすること</t>
  </si>
  <si>
    <t>■ アウトプット形式</t>
  </si>
  <si>
    <t>以下の章立てで、**日本語・テキスト形式**で作成してください。</t>
  </si>
  <si>
    <t>1. プロジェクト概要</t>
  </si>
  <si>
    <t>2. 背景・目的</t>
  </si>
  <si>
    <t>3. 対象ユーザー定義</t>
  </si>
  <si>
    <t>4. 現行業務（As-Is）</t>
  </si>
  <si>
    <t>5. 新業務フロー（To-Be）</t>
  </si>
  <si>
    <t>6. システム全体構成概要</t>
  </si>
  <si>
    <t>7. 機能要件</t>
  </si>
  <si>
    <t>- 公式LINE導線・リッチメニュー機能</t>
  </si>
  <si>
    <t>- 組合入会・契約管理機能</t>
  </si>
  <si>
    <t>- 面談予約・Zoom連携機能</t>
  </si>
  <si>
    <t>- 書類提出・管理機能</t>
  </si>
  <si>
    <t>- 紹介（リファラル）管理機能</t>
  </si>
  <si>
    <t>- 人事制度設計AI（自動読取・算出）</t>
  </si>
  <si>
    <t>- 従業員同意取得（LMS）機能</t>
  </si>
  <si>
    <t>- 評価制度設計AI機能</t>
  </si>
  <si>
    <t>8. 非機能要件</t>
  </si>
  <si>
    <t>- セキュリティ</t>
  </si>
  <si>
    <t>- 可用性</t>
  </si>
  <si>
    <t>- 保守性</t>
  </si>
  <si>
    <t>- ログ管理</t>
  </si>
  <si>
    <t>- 法令・個人情報保護対応</t>
  </si>
  <si>
    <t>9. 外部サービス・API連携要件</t>
  </si>
  <si>
    <t>10. データ管理・保存要件</t>
  </si>
  <si>
    <t>11. 制約条件・前提条件</t>
  </si>
  <si>
    <t>12. スコープ定義（対象／対象外）</t>
  </si>
  <si>
    <t>13. 受入条件・完了定義</t>
  </si>
  <si>
    <t>---</t>
  </si>
  <si>
    <t>## 【簡易要件定義（インプット）】</t>
  </si>
  <si>
    <t>■ 公式LINE リッチメニュー項目</t>
  </si>
  <si>
    <t>- 営業資料（組合入会前用）</t>
  </si>
  <si>
    <t>- 組合入会</t>
  </si>
  <si>
    <t>- 面談予約</t>
  </si>
  <si>
    <t>- 書類提出</t>
  </si>
  <si>
    <t>- ご紹介</t>
  </si>
  <si>
    <t>■ 営業資料</t>
  </si>
  <si>
    <t>- Canvaで作成</t>
  </si>
  <si>
    <t>- スクリーンショット・ダウンロード不可</t>
  </si>
  <si>
    <t>- 裏側で更新すると閲覧内容が自動更新される仕組み</t>
  </si>
  <si>
    <t>■ 組合入会〜書類提出フロー</t>
  </si>
  <si>
    <t>① 組合入会</t>
  </si>
  <si>
    <t>・公式LINEから必要情報とメールアドレスを送信</t>
  </si>
  <si>
    <t>・クラウドサインより</t>
  </si>
  <si>
    <t>「組合員契約書」「組合規定書」を自動送付</t>
  </si>
  <si>
    <t>② 契約書締結</t>
  </si>
  <si>
    <t>・返送された契約書に対して反社チェックを実施</t>
  </si>
  <si>
    <t>・問題なければ組合員名簿に登録</t>
  </si>
  <si>
    <t>・契約書類は自動管理</t>
  </si>
  <si>
    <t>③ 組合入会後</t>
  </si>
  <si>
    <t>・リッチメニューで概要説明資料の閲覧が可能</t>
  </si>
  <si>
    <t>・Canvaを使用しDL・スクショ不可</t>
  </si>
  <si>
    <t>③-2 面談概要案内</t>
  </si>
  <si>
    <t>・面談予約機能</t>
  </si>
  <si>
    <t>・Zoom URL自動発行</t>
  </si>
  <si>
    <t>・担当者のカレンダーに自動反映</t>
  </si>
  <si>
    <t>④ 人事制度見直しシミュレーション</t>
  </si>
  <si>
    <t>・面談終了後、書類提出が可能</t>
  </si>
  <si>
    <t>・提出書類：算定基礎届、源泉徴収簿（最大過去5年分）</t>
  </si>
  <si>
    <t>・提出方法：Lark &gt; Docs &gt; フォーム</t>
  </si>
  <si>
    <t>■ ご紹介機能（プロLINE）</t>
  </si>
  <si>
    <t>- 紹介URLの発行</t>
  </si>
  <si>
    <t>- 紹介者と被紹介者の紐付け管理</t>
  </si>
  <si>
    <t>■ 人事制度設計AI（自動書類読取）</t>
  </si>
  <si>
    <t>- 提出された算定基礎届・源泉徴収簿を自動読取</t>
  </si>
  <si>
    <t>- 給与設計および誤納した社会保険料の還付金額を算出</t>
  </si>
  <si>
    <t>■ 従業員同意取得</t>
  </si>
  <si>
    <t>- LMSを活用</t>
  </si>
  <si>
    <t>- 従業員ごとにID発行</t>
  </si>
  <si>
    <t>- 給与制度見直し説明動画を視聴</t>
  </si>
  <si>
    <t>- 視聴完了後、同意／否認を選択</t>
  </si>
  <si>
    <t>- 閲覧・同意ログを保存</t>
  </si>
  <si>
    <t>- 動画：AI音声／台本あり</t>
  </si>
  <si>
    <t>- 台本URL：</t>
  </si>
  <si>
    <t>https://docs.google.com/document/d/1Gp0FHn5IcjWwPpf4G71qpxKWaVSx2av8ENS7ja50Niw/edit</t>
  </si>
  <si>
    <t>■ 評価制度設計AI</t>
  </si>
  <si>
    <t>- 厚生労働省、人事院、人事評価基準導入マニュアルを基に</t>
  </si>
  <si>
    <t>- 人事制度見直し後の給与・評価制度をAIで自動算出</t>
  </si>
  <si>
    <t>■ 注意事項</t>
  </si>
  <si>
    <t>- 法令（個人情報保護法・労働関連法）への配慮を明記すること</t>
  </si>
  <si>
    <t>- 「AI算出結果は助言であり最終判断は人が行う」旨を要件に含めること</t>
  </si>
  <si>
    <t>- 公的資金案件として説明責任が果たせる文章にすること</t>
  </si>
  <si>
    <t>📋 社会保険料適正化サービス 完全統合版 v23</t>
  </si>
  <si>
    <t>〜 実務で即使える完全マニュアル 〜</t>
  </si>
  <si>
    <t>【v23の特徴】</t>
  </si>
  <si>
    <t>✓ 全ナレッジを完全統合（情報欠落ゼロ）</t>
  </si>
  <si>
    <t>✓ 実務フロー重視の構成</t>
  </si>
  <si>
    <t>✓ 役割別最適化</t>
  </si>
  <si>
    <t>✓ 視認性を最大化</t>
  </si>
  <si>
    <t>✓ 9シートで完結</t>
  </si>
  <si>
    <t>シート名</t>
  </si>
  <si>
    <t>内容</t>
  </si>
  <si>
    <t>対象者</t>
  </si>
  <si>
    <t>00</t>
  </si>
  <si>
    <t>マスター目次</t>
  </si>
  <si>
    <t>ナビゲーション・クイックスタート</t>
  </si>
  <si>
    <t>01</t>
  </si>
  <si>
    <t>事業コンセプト完全理解</t>
  </si>
  <si>
    <t>成立理由・1顧客7収入・2年計画・市場</t>
  </si>
  <si>
    <t>経営者・営業</t>
  </si>
  <si>
    <t>02</t>
  </si>
  <si>
    <t>法的基盤と防御戦略</t>
  </si>
  <si>
    <t>使用従属性・4層防御・伊藤先生・リスク</t>
  </si>
  <si>
    <t>03</t>
  </si>
  <si>
    <t>営業完全マニュアル</t>
  </si>
  <si>
    <t>9ステップ・トーク・反論処理50</t>
  </si>
  <si>
    <t>営業・代理店</t>
  </si>
  <si>
    <t>04</t>
  </si>
  <si>
    <t>シミュレーター＆ツール</t>
  </si>
  <si>
    <t>簡易版・詳細版・グラフ・計算式</t>
  </si>
  <si>
    <t>営業・CS</t>
  </si>
  <si>
    <t>05</t>
  </si>
  <si>
    <t>CS実務ガイド</t>
  </si>
  <si>
    <t>オンボーディング・案件管理・品質</t>
  </si>
  <si>
    <t>06</t>
  </si>
  <si>
    <t>書類・契約テンプレート</t>
  </si>
  <si>
    <t>契約書・申請書・同意書・説明資料</t>
  </si>
  <si>
    <t>CS・バックオフィス</t>
  </si>
  <si>
    <t>07</t>
  </si>
  <si>
    <t>組織運営・拡大戦略</t>
  </si>
  <si>
    <t>代理店・KPI・協会運営・研修</t>
  </si>
  <si>
    <t>経営者・管理者</t>
  </si>
  <si>
    <t>08</t>
  </si>
  <si>
    <t>リファレンス</t>
  </si>
  <si>
    <t>用語・法律・FAQ・連絡先・履歴</t>
  </si>
  <si>
    <t>【5秒でスタート】</t>
  </si>
  <si>
    <t>🎯 経営者の方</t>
  </si>
  <si>
    <t>→ 01 → 02 → 07</t>
  </si>
  <si>
    <t>事業理解・法的基盤・組織戦略</t>
  </si>
  <si>
    <t>💼 営業担当の方</t>
  </si>
  <si>
    <t>→ 01 → 03 → 04</t>
  </si>
  <si>
    <t>コンセプト・営業術・ツール使用</t>
  </si>
  <si>
    <t>🎧 CS担当の方</t>
  </si>
  <si>
    <t>→ 05 → 04 → 06</t>
  </si>
  <si>
    <t>実務手順・ツール・書類管理</t>
  </si>
  <si>
    <t>📊 バックオフィスの方</t>
  </si>
  <si>
    <t>→ 06 → 07</t>
  </si>
  <si>
    <t>書類・KPI管理</t>
  </si>
  <si>
    <t>🤝 代理店の方</t>
  </si>
  <si>
    <t>→ 01 → 02 → 03</t>
  </si>
  <si>
    <t>コンセプト・法的理解・営業術</t>
  </si>
  <si>
    <t>【今週やること】</t>
  </si>
  <si>
    <t>01を読んで事業コンセプトを理解（15分）</t>
  </si>
  <si>
    <t>02で法的基盤を確認（20分）</t>
  </si>
  <si>
    <t>03で営業9ステップを習得（30分）</t>
  </si>
  <si>
    <t>04でシミュレーターを試用（10分）</t>
  </si>
  <si>
    <t>自分の役割のシートを精読（30分）</t>
  </si>
  <si>
    <t>💡 事業コンセプト完全理解</t>
  </si>
  <si>
    <t>なぜ成立するか・1顧客7収入・2年計画・市場機会</t>
  </si>
  <si>
    <t>なぜ成立するか・1顧客7収入モデル・2年計画を完全理解</t>
  </si>
  <si>
    <t>━━━━━━━━━━━━━━━━━━━━━━━━━━━━━━━━━━━━━━━━━━━━━━━━━━</t>
  </si>
  <si>
    <t>第1章: なぜこのビジネスが成立するのか</t>
  </si>
  <si>
    <t>■ 3つの理由</t>
  </si>
  <si>
    <t>理由1</t>
  </si>
  <si>
    <t>40年前の曖昧な基準</t>
  </si>
  <si>
    <t>使用従属性の判断基準が昭和60年制定で現代に不適合</t>
  </si>
  <si>
    <t>★★★★★</t>
  </si>
  <si>
    <t>理由2</t>
  </si>
  <si>
    <t>弁護士による法的防御</t>
  </si>
  <si>
    <t>労働法専門弁護士が監査済み契約書を作成</t>
  </si>
  <si>
    <t>理由3</t>
  </si>
  <si>
    <t>Win-Win構造</t>
  </si>
  <si>
    <t>企業も従業員も両方メリット→社会問題化しにくい</t>
  </si>
  <si>
    <t>■ 市場機会</t>
  </si>
  <si>
    <t>潜在市場</t>
  </si>
  <si>
    <t>日本全国の中小企業</t>
  </si>
  <si>
    <t>約380万社</t>
  </si>
  <si>
    <t>ターゲット</t>
  </si>
  <si>
    <t>従業員10名以上</t>
  </si>
  <si>
    <t>約100万社</t>
  </si>
  <si>
    <t>現実的ターゲット</t>
  </si>
  <si>
    <t>従業員10-100名</t>
  </si>
  <si>
    <t>約30万社</t>
  </si>
  <si>
    <t>→ 2年で1,000社獲得は市場の0.3%のみ（十分達成可能）</t>
  </si>
  <si>
    <t>第2章: 1顧客7収入モデルの全貌</t>
  </si>
  <si>
    <t>■ 7つの収入源（詳細）</t>
  </si>
  <si>
    <t>収入</t>
  </si>
  <si>
    <t>タイミング</t>
  </si>
  <si>
    <t>継続性</t>
  </si>
  <si>
    <t>難易度</t>
  </si>
  <si>
    <t>①初期コンサル</t>
  </si>
  <si>
    <t>無料診断・提案</t>
  </si>
  <si>
    <t>0-30万円</t>
  </si>
  <si>
    <t>初回</t>
  </si>
  <si>
    <t>1回のみ</t>
  </si>
  <si>
    <t>低</t>
  </si>
  <si>
    <t>②成功報酬</t>
  </si>
  <si>
    <t>精算金の20-30%</t>
  </si>
  <si>
    <t>500-2,000万円</t>
  </si>
  <si>
    <t>精算時</t>
  </si>
  <si>
    <t>中</t>
  </si>
  <si>
    <t>③月額顧問料</t>
  </si>
  <si>
    <t>3-10万円/月</t>
  </si>
  <si>
    <t>継続</t>
  </si>
  <si>
    <t>④追加サービス</t>
  </si>
  <si>
    <t>研修・セミナー</t>
  </si>
  <si>
    <t>10-50万円</t>
  </si>
  <si>
    <t>⑤紹介料</t>
  </si>
  <si>
    <t>他社紹介</t>
  </si>
  <si>
    <t>成功報酬の10%</t>
  </si>
  <si>
    <t>紹介時</t>
  </si>
  <si>
    <t>⑥代理店フィー</t>
  </si>
  <si>
    <t>代理店からの収入</t>
  </si>
  <si>
    <t>成功報酬の50%</t>
  </si>
  <si>
    <t>⑦アップセル</t>
  </si>
  <si>
    <t>他サービス</t>
  </si>
  <si>
    <t>個別見積</t>
  </si>
  <si>
    <t>高</t>
  </si>
  <si>
    <t>■ 収益シミュレーション</t>
  </si>
  <si>
    <t>ケース</t>
  </si>
  <si>
    <t>継続（年間）</t>
  </si>
  <si>
    <t>合計（初年度）</t>
  </si>
  <si>
    <t>小規模（10名）</t>
  </si>
  <si>
    <t>500万円</t>
  </si>
  <si>
    <t>36万円</t>
  </si>
  <si>
    <t>536万円</t>
  </si>
  <si>
    <t>中規模（30名）</t>
  </si>
  <si>
    <t>1,200万円</t>
  </si>
  <si>
    <t>72万円</t>
  </si>
  <si>
    <t>1,272万円</t>
  </si>
  <si>
    <t>大規模（100名）</t>
  </si>
  <si>
    <t>3,000万円</t>
  </si>
  <si>
    <t>120万円</t>
  </si>
  <si>
    <t>3,120万円</t>
  </si>
  <si>
    <t>→ 100社で初年度10億円超の収益可能</t>
  </si>
  <si>
    <t>第3章: 2年計画（なぜ2年以内なのか）</t>
  </si>
  <si>
    <t>■ タイムライン</t>
  </si>
  <si>
    <t>時期</t>
  </si>
  <si>
    <t>状況</t>
  </si>
  <si>
    <t>対応</t>
  </si>
  <si>
    <t>現在</t>
  </si>
  <si>
    <t>法律40年前、基準曖昧</t>
  </si>
  <si>
    <t>バリュー社で実証</t>
  </si>
  <si>
    <t>1社成功</t>
  </si>
  <si>
    <t>1-3ヶ月</t>
  </si>
  <si>
    <t>実証結果確認</t>
  </si>
  <si>
    <t>代理店10社選定</t>
  </si>
  <si>
    <t>実証完了</t>
  </si>
  <si>
    <t>4-6ヶ月</t>
  </si>
  <si>
    <t>初期展開加速</t>
  </si>
  <si>
    <t>各社10社獲得</t>
  </si>
  <si>
    <t>100社達成</t>
  </si>
  <si>
    <t>7-12ヶ月</t>
  </si>
  <si>
    <t>本格展開</t>
  </si>
  <si>
    <t>全国展開</t>
  </si>
  <si>
    <t>1,000社達成</t>
  </si>
  <si>
    <t>1-2年後</t>
  </si>
  <si>
    <t>法改正の兆候</t>
  </si>
  <si>
    <t>既存契約保全</t>
  </si>
  <si>
    <t>継続収入確保</t>
  </si>
  <si>
    <t>2-3年後</t>
  </si>
  <si>
    <t>新法施行の可能性</t>
  </si>
  <si>
    <t>新サービス移行</t>
  </si>
  <si>
    <t>事業転換</t>
  </si>
  <si>
    <t>■ Phase別詳細計画</t>
  </si>
  <si>
    <t>Phase 1（1-3ヶ月）: 実証</t>
  </si>
  <si>
    <t xml:space="preserve">  目標: バリュー社で成功実証</t>
  </si>
  <si>
    <t xml:space="preserve">  タスク: 実証実施・データ収集・ノウハウ文書化</t>
  </si>
  <si>
    <t xml:space="preserve">  成果: 1社契約・プロセス確立</t>
  </si>
  <si>
    <t>Phase 2（4-6ヶ月）: 初期展開</t>
  </si>
  <si>
    <t xml:space="preserve">  目標: 100社獲得</t>
  </si>
  <si>
    <t xml:space="preserve">  タスク: 代理店10社選定・研修・営業開始</t>
  </si>
  <si>
    <t xml:space="preserve">  成果: 月間1億円ストック収入</t>
  </si>
  <si>
    <t>Phase 3（7-12ヶ月）: 本格展開</t>
  </si>
  <si>
    <t xml:space="preserve">  目標: 1,000社獲得</t>
  </si>
  <si>
    <t xml:space="preserve">  タスク: 全国代理店展開・マーケティング強化</t>
  </si>
  <si>
    <t xml:space="preserve">  成果: 月間3億円ストック収入</t>
  </si>
  <si>
    <t>このExcelの使い方、事業全体像、今週のタスク、KPI、FAQを完全網羅</t>
  </si>
  <si>
    <t>第1部: このExcelの使い方</t>
  </si>
  <si>
    <t>■ 3ステップで即開始</t>
  </si>
  <si>
    <t>STEP1（2分）</t>
  </si>
  <si>
    <t>この第1部を読む</t>
  </si>
  <si>
    <t>全体像を把握</t>
  </si>
  <si>
    <t>STEP2（1分）</t>
  </si>
  <si>
    <t>自分の役割を確認</t>
  </si>
  <si>
    <t>読むべきシートを把握</t>
  </si>
  <si>
    <t>STEP3（2分）</t>
  </si>
  <si>
    <t>今週やることリストを確認</t>
  </si>
  <si>
    <t>具体的なタスクを開始</t>
  </si>
  <si>
    <t>■ 役割別の読み方</t>
  </si>
  <si>
    <t>役割</t>
  </si>
  <si>
    <t>読むべきシート</t>
  </si>
  <si>
    <t>読み方</t>
  </si>
  <si>
    <t>🎯 経営者</t>
  </si>
  <si>
    <t>01 → 02 → 03 → 09</t>
  </si>
  <si>
    <t>START HERE → ビジネス理解 → 法的基盤 → 組織運営</t>
  </si>
  <si>
    <t>💼 営業担当</t>
  </si>
  <si>
    <t>01 → 05 → 07</t>
  </si>
  <si>
    <t>START HERE → 営業マニュアル → シミュレーター</t>
  </si>
  <si>
    <t>🎧 CS担当</t>
  </si>
  <si>
    <t>01 → 06 → 07 → 08</t>
  </si>
  <si>
    <t>START HERE → CS業務 → ツール → 書類管理</t>
  </si>
  <si>
    <t>📊 バックオフィス</t>
  </si>
  <si>
    <t>01 → 08 → 09</t>
  </si>
  <si>
    <t>START HERE → 書類管理 → KPI・財務</t>
  </si>
  <si>
    <t>★★★★☆</t>
  </si>
  <si>
    <t>🤝 代理店</t>
  </si>
  <si>
    <t>01 → 04 → 05</t>
  </si>
  <si>
    <t>START HERE → 市場戦略 → 営業マニュアル</t>
  </si>
  <si>
    <t>第2部: 事業の全体像（1枚絵）</t>
  </si>
  <si>
    <t>■ ビジネスモデル概要</t>
  </si>
  <si>
    <t>サービス名</t>
  </si>
  <si>
    <t>社会保険料適正化サービス</t>
  </si>
  <si>
    <t>正式名称</t>
  </si>
  <si>
    <t>給与制度改革による社会保険料の適正化支援</t>
  </si>
  <si>
    <t>運営</t>
  </si>
  <si>
    <t>一般社団法人公的資金教育推進協会</t>
  </si>
  <si>
    <t>■ 事業の流れ（3フェーズ）</t>
  </si>
  <si>
    <t>Phase</t>
  </si>
  <si>
    <t>期間</t>
  </si>
  <si>
    <t>成果</t>
  </si>
  <si>
    <t>Phase 1</t>
  </si>
  <si>
    <t>実証</t>
  </si>
  <si>
    <t>バリュー社で実証・ノウハウ確立</t>
  </si>
  <si>
    <t>1社契約成功</t>
  </si>
  <si>
    <t>Phase 2</t>
  </si>
  <si>
    <t>100社</t>
  </si>
  <si>
    <t>厳選10社の代理店×10社</t>
  </si>
  <si>
    <t>月間1億円ストック</t>
  </si>
  <si>
    <t>Phase 3</t>
  </si>
  <si>
    <t>1,000社</t>
  </si>
  <si>
    <t>月間3億円ストック</t>
  </si>
  <si>
    <t>■ 収益構造: 1顧客7収入モデル</t>
  </si>
  <si>
    <t>収入源</t>
  </si>
  <si>
    <t>金額イメージ</t>
  </si>
  <si>
    <t>無料診断・契約</t>
  </si>
  <si>
    <t>0円〜30万円</t>
  </si>
  <si>
    <t>初回限定</t>
  </si>
  <si>
    <t>②精算金の成功報酬</t>
  </si>
  <si>
    <t>500万〜2,000万</t>
  </si>
  <si>
    <t>1回限り</t>
  </si>
  <si>
    <t>3万〜10万/月</t>
  </si>
  <si>
    <t>継続収入</t>
  </si>
  <si>
    <t>10万〜50万</t>
  </si>
  <si>
    <t>紹介ベース</t>
  </si>
  <si>
    <t>契約金の10-20%</t>
  </si>
  <si>
    <t>代理店経由</t>
  </si>
  <si>
    <t>他サービス販売</t>
  </si>
  <si>
    <t>顧客拡大</t>
  </si>
  <si>
    <t>→ 1社あたり合計: 600万〜3,000万円（初年度）</t>
  </si>
  <si>
    <t>→ 継続収入: 36万〜120万円/年（2年目以降）</t>
  </si>
  <si>
    <t>第3部: 今週やることリスト</t>
  </si>
  <si>
    <t>タスク</t>
  </si>
  <si>
    <t>期限</t>
  </si>
  <si>
    <t>経営者</t>
  </si>
  <si>
    <t>最優先</t>
  </si>
  <si>
    <t>法的基盤の完全理解</t>
  </si>
  <si>
    <t>今週</t>
  </si>
  <si>
    <t>2年計画の策定</t>
  </si>
  <si>
    <t>バリュー社実証の準備</t>
  </si>
  <si>
    <t>営業9ステップの習得</t>
  </si>
  <si>
    <t>シミュレーターの使い方</t>
  </si>
  <si>
    <t>反論処理50の暗記</t>
  </si>
  <si>
    <t>CS業務マニュアルの理解</t>
  </si>
  <si>
    <t>書類テンプレートの準備</t>
  </si>
  <si>
    <t>品質チェックリストの確認</t>
  </si>
  <si>
    <t>第4部: ダッシュボード（主要KPI一覧）</t>
  </si>
  <si>
    <t>■ 売上KPI</t>
  </si>
  <si>
    <t>KPI</t>
  </si>
  <si>
    <t>現状</t>
  </si>
  <si>
    <t>目標（3ヶ月後）</t>
  </si>
  <si>
    <t>目標（6ヶ月後）</t>
  </si>
  <si>
    <t>目標（12ヶ月後）</t>
  </si>
  <si>
    <t>契約社数</t>
  </si>
  <si>
    <t>0社</t>
  </si>
  <si>
    <t>10社</t>
  </si>
  <si>
    <t>月間売上</t>
  </si>
  <si>
    <t>0円</t>
  </si>
  <si>
    <t>1,000万円</t>
  </si>
  <si>
    <t>1億円</t>
  </si>
  <si>
    <t>3億円</t>
  </si>
  <si>
    <t>月間ストック収入</t>
  </si>
  <si>
    <t>50万円</t>
  </si>
  <si>
    <t>2,000万円</t>
  </si>
  <si>
    <t>■ 営業KPI</t>
  </si>
  <si>
    <t>月間商談数</t>
  </si>
  <si>
    <t>0件</t>
  </si>
  <si>
    <t>50件</t>
  </si>
  <si>
    <t>成約率</t>
  </si>
  <si>
    <t>0%</t>
  </si>
  <si>
    <t>30%</t>
  </si>
  <si>
    <t>平均単価</t>
  </si>
  <si>
    <t>800万円</t>
  </si>
  <si>
    <t>■ CSKPI</t>
  </si>
  <si>
    <t>顧客満足度</t>
  </si>
  <si>
    <t>-</t>
  </si>
  <si>
    <t>90%以上</t>
  </si>
  <si>
    <t>案件処理時間</t>
  </si>
  <si>
    <t>平均30日</t>
  </si>
  <si>
    <t>品質不備率</t>
  </si>
  <si>
    <t>5%以下</t>
  </si>
  <si>
    <t>第5部: 困った時のFAQ（よくある質問TOP30）</t>
  </si>
  <si>
    <t>【法的・リスク関連】</t>
  </si>
  <si>
    <t>Q1</t>
  </si>
  <si>
    <t>還付金詐欺にならない？</t>
  </si>
  <si>
    <t>A: 詐欺ではありません。弁護士監査済みの適正な契約変更に伴う精算です。</t>
  </si>
  <si>
    <t>Q2</t>
  </si>
  <si>
    <t>どこを社員、どこを業務委託と証明する？</t>
  </si>
  <si>
    <t>A: ①弁護士監査 ②第三者評価 ③年金事務所の審査、の3段階で証明します。</t>
  </si>
  <si>
    <t>Q3</t>
  </si>
  <si>
    <t>グレーゾーンでは？</t>
  </si>
  <si>
    <t>A: その通りです。ただし「合法的なグレーゾーン」です。40年前の基準を戦略的に活用。</t>
  </si>
  <si>
    <t>Q4</t>
  </si>
  <si>
    <t>税務署に否認されない？</t>
  </si>
  <si>
    <t>A: 弁護士意見書・税理士見解書を用意。適切な会計処理で対応。</t>
  </si>
  <si>
    <t>Q5</t>
  </si>
  <si>
    <t>年金事務所で却下されない？</t>
  </si>
  <si>
    <t>A: 三課（教育担当）経由で申請。実績：建設業6,400万円、介護福祉業8,700万円で審査通過。</t>
  </si>
  <si>
    <t>【ビジネスモデル関連】</t>
  </si>
  <si>
    <t>Q6</t>
  </si>
  <si>
    <t>なぜ2年以内なのか？</t>
  </si>
  <si>
    <t>A: 法改正が2年以内に来る可能性大。既存契約は継続可能だが新規は困難化の予想。</t>
  </si>
  <si>
    <t>Q7</t>
  </si>
  <si>
    <t>本当に儲かるのか？</t>
  </si>
  <si>
    <t>A: 1顧客7収入モデルで1社600万〜3,000万円。100社で月間1億円の収益。</t>
  </si>
  <si>
    <t>Q8</t>
  </si>
  <si>
    <t>競合はいるのか？</t>
  </si>
  <si>
    <t>A: ほぼいません。伊藤先生グループの専売特許的ビジネスモデル。先行者利益大。</t>
  </si>
  <si>
    <t>【営業関連】</t>
  </si>
  <si>
    <t>Q9</t>
  </si>
  <si>
    <t>どうやって営業する？</t>
  </si>
  <si>
    <t>A: 05_営業完全マニュアルに9ステップ・トーク・反論処理50を完全網羅。</t>
  </si>
  <si>
    <t>Q10</t>
  </si>
  <si>
    <t>成約率は？</t>
  </si>
  <si>
    <t>A: 目標30%。無料診断で興味を持った企業は成約率高い。</t>
  </si>
  <si>
    <t>Q11</t>
  </si>
  <si>
    <t>シミュレーターの使い方は？</t>
  </si>
  <si>
    <t>A: 07_シミュレーター・計算ツールに簡易版・詳細版の使い方を完全解説。</t>
  </si>
  <si>
    <t>【CS・実務関連】</t>
  </si>
  <si>
    <t>Q12</t>
  </si>
  <si>
    <t>契約後の流れは？</t>
  </si>
  <si>
    <t>A: 06_CS・案件管理にオンボーディング〜精算金受領までの全プロセス。</t>
  </si>
  <si>
    <t>Q13</t>
  </si>
  <si>
    <t>必要な書類は？</t>
  </si>
  <si>
    <t>A: 08_書類・データ管理に全テンプレート。契約書・申請書・同意書など。</t>
  </si>
  <si>
    <t>Q14</t>
  </si>
  <si>
    <t>従業員への説明は？</t>
  </si>
  <si>
    <t>A: 説明会スクリプト・Q&amp;A・同意書のセットを用意。丁寧な説明が鍵。</t>
  </si>
  <si>
    <t>【代理店関連】</t>
  </si>
  <si>
    <t>Q15</t>
  </si>
  <si>
    <t>代理店になれる？</t>
  </si>
  <si>
    <t>A: 可能です。04_市場戦略とパートナーに代理店戦略の全て。</t>
  </si>
  <si>
    <t>Q16</t>
  </si>
  <si>
    <t>代理店の報酬は？</t>
  </si>
  <si>
    <t>A: 成功報酬の50%。1社800万円なら400万円。10社で4,000万円。</t>
  </si>
  <si>
    <t>Q17</t>
  </si>
  <si>
    <t>サポートはある？</t>
  </si>
  <si>
    <t>A: 研修プログラム・営業同行・資料提供など手厚いサポート。</t>
  </si>
  <si>
    <t>【その他】</t>
  </si>
  <si>
    <t>Q18</t>
  </si>
  <si>
    <t>どこから読めばいい？</t>
  </si>
  <si>
    <t>A: まずこのシート（01）を読んでください。役割別ガイドで読む順序が分かります。</t>
  </si>
  <si>
    <t>Q19</t>
  </si>
  <si>
    <t>専門知識は必要？</t>
  </si>
  <si>
    <t>A: 不要。全て分かりやすく説明。ただし法的基盤の理解は必須。</t>
  </si>
  <si>
    <t>Q20</t>
  </si>
  <si>
    <t>資金は必要？</t>
  </si>
  <si>
    <t>A: 初期投資ほぼゼロ。必要なのは営業力とCS体制のみ。</t>
  </si>
  <si>
    <t>⚖️ 法的基盤と防御戦略</t>
  </si>
  <si>
    <t>使用従属性・4層防御・伊藤先生の叡智・リスク管理</t>
  </si>
  <si>
    <t>使用従属性・弁護士戦略・4層防御・リスク管理を完全網羅</t>
  </si>
  <si>
    <t>本サービスの法的基盤を支える伊藤先生の核心的ナレッジ</t>
  </si>
  <si>
    <t>■ 1. 雇用契約と業務委託契約の判断基準「使用従属性」</t>
  </si>
  <si>
    <t>項目</t>
  </si>
  <si>
    <t>本サービスへの影響</t>
  </si>
  <si>
    <t>使用従属性とは</t>
  </si>
  <si>
    <t>厚生労働省が定める雇用契約の判断基準
「使用者の指揮命令の下で労働すること」
約40年前（昭和60年）に制定された基準</t>
  </si>
  <si>
    <t>現代の働き方（リモートワーク、フレックス、
成果主義等）に対応できていない
判断が曖昧になる</t>
  </si>
  <si>
    <t>判断要素の曖昧性</t>
  </si>
  <si>
    <t>使用従属性の判断要素:
①指揮監督下の労働
②報酬の労務対償性
③その他の要素（専属性、事業者性等）
しかし「総合的に判断」という曖昧な表現</t>
  </si>
  <si>
    <t>明確な線引きが困難
個別事案ごとに判断が必要
グレーゾーンが存在する</t>
  </si>
  <si>
    <t>現代の働き方との乖離</t>
  </si>
  <si>
    <t>現代の働き方:
・リモートワーク（指揮監督が見えにくい）
・フレックスタイム（時間管理が緩い）
・成果主義（労務対償性が不明確）
・副業・兼業の普及</t>
  </si>
  <si>
    <t>40年前の基準では判断が困難
業務委託契約として整理する
余地が生まれている</t>
  </si>
  <si>
    <t>労働契約法の定義</t>
  </si>
  <si>
    <t>労働契約法第6条
「労働契約は、労働者が使用者に使用されて
労働し、使用者がこれに対して賃金を支払う
ことについて、労働者及び使用者が合意する
ことによって成立する」</t>
  </si>
  <si>
    <t>「使用されて」=使用従属性の有無
この解釈が曖昧
使用従属性の程度により
雇用契約と業務委託契約の境界が変わる</t>
  </si>
  <si>
    <t>■ 2. 弁護士活用による法的防御（最重要）</t>
  </si>
  <si>
    <t>戦略</t>
  </si>
  <si>
    <t>効果</t>
  </si>
  <si>
    <t>弁護士による
契約書作成</t>
  </si>
  <si>
    <t>「弁護士による法的監査によって契約書を作成します」
という文言を契約書に明記
使用従属性の判断において「業務委託契約」が
適切であるという弁護士の法的見解を示す</t>
  </si>
  <si>
    <t>税務署や年金事務所が異議を唱える場合、
弁護士（国家資格者）の法的判断に
異議を唱えることになる
→ 事実上の防御壁として機能</t>
  </si>
  <si>
    <t>逃げ道の確保</t>
  </si>
  <si>
    <t>「弁護士が使用従属性を検討した結果、
業務委託契約として整理することが
法的に適切であると判断した」
という事実を契約書に残す</t>
  </si>
  <si>
    <t>「弁護士の判断に基づいている」
という防御ラインを構築
企業側に悪意がないことの証明
善意の第三者として保護</t>
  </si>
  <si>
    <t>国との対峙回避</t>
  </si>
  <si>
    <t>弁護士が作成した契約書に文句をつける
= 国家資格者の専門的判断に異議を唱える
= 国（法曹界）との対峙になる</t>
  </si>
  <si>
    <t>実務上、税務署・年金事務所は
弁護士の判断を尊重せざるを得ない
介入のハードルが高くなる</t>
  </si>
  <si>
    <t>■ 3. 雇用契約書の法的位置づけ</t>
  </si>
  <si>
    <t>法的根拠</t>
  </si>
  <si>
    <t>詳細</t>
  </si>
  <si>
    <t>実務対応</t>
  </si>
  <si>
    <t>雇用契約書は
義務ではない</t>
  </si>
  <si>
    <t>労働基準法第15条:
「労働条件の明示」は義務
→ 労働条件通知書の交付で足りる
雇用契約書の作成・締結は
法律で義務付けられていない</t>
  </si>
  <si>
    <t>あえて雇用契約書を作成しない
という選択肢がある
労働条件通知書のみで
法的要件を満たす</t>
  </si>
  <si>
    <t>労働条件通知書
との違い</t>
  </si>
  <si>
    <t>労働条件通知書:
使用者→労働者への一方的通知
雇用契約書:
労使双方の合意を示す契約書
法的には通知書のみで問題ない</t>
  </si>
  <si>
    <t>契約書という形式を避けることで
「使用従属性」の判断要素を
弱めることができる
双方合意の証拠を残さない戦略</t>
  </si>
  <si>
    <t>業務委託契約書は必須</t>
  </si>
  <si>
    <t>業務委託契約では契約書が商習慣上必須
弁護士監査を経たことを明記
使用従属性が低いことを契約書で明確化:
・時間管理の自由
・場所の自由
・指揮命令の緩さ
・成果報酬性</t>
  </si>
  <si>
    <t>こちらが主契約となる
法的整合性を確保
使用従属性の低さを
契約書で具体的に証明</t>
  </si>
  <si>
    <t>■ 4. 同一労働同一賃金ガイドラインの活用</t>
  </si>
  <si>
    <t>制度</t>
  </si>
  <si>
    <t>本サービスでの活用</t>
  </si>
  <si>
    <t>「短時間・有期雇用労働者及び派遣労働者に対する
不合理な待遇の禁止等に関する指針」
（平成30年厚生労働省告示第430号）</t>
  </si>
  <si>
    <t>国の政策として位置づけ
厚労省の方針に沿っている
という正当性の根拠</t>
  </si>
  <si>
    <t>趣旨</t>
  </si>
  <si>
    <t>雇用形態の違いによる不合理な待遇差を禁止
正規・非正規の区別なく「同一労働には同一賃金」
働き方改革関連法の一環として制定</t>
  </si>
  <si>
    <t>雇用契約と業務委託契約の
待遇差をなくす取り組み
業務内容が同じなら
契約形態を問わず公平に評価</t>
  </si>
  <si>
    <t>厚労省の方針</t>
  </si>
  <si>
    <t>厚生労働省が待遇差をなくす取り組みを推進
判断要素:
「職務内容」
「職務内容・配置の変更範囲」
「その他の事情」</t>
  </si>
  <si>
    <t>本サービスはこの方針に
「乗っかっている」と主張
第三者評価により
公平な待遇を実現</t>
  </si>
  <si>
    <t>営業トーク例</t>
  </si>
  <si>
    <t>「国の政策である同一労働同一賃金に基づき、
雇用形態ではなく『職務内容』で公平に評価する
制度を導入します」</t>
  </si>
  <si>
    <t>国の政策との整合性を強調
正当性をアピール
使用従属性の有無ではなく
職務内容で評価する正当性</t>
  </si>
  <si>
    <t>■ 5. 使用従属性の5大判断要素と本サービスの設計</t>
  </si>
  <si>
    <t>判断要素</t>
  </si>
  <si>
    <t>雇用契約（使用従属性:高）</t>
  </si>
  <si>
    <t>業務委託契約（使用従属性:低）
← 本サービスの設計方針</t>
  </si>
  <si>
    <t>①指揮監督性</t>
  </si>
  <si>
    <t>使用者の具体的な指揮命令の下で労働
時間・場所・方法を詳細に指定される
業務の進め方に裁量がない</t>
  </si>
  <si>
    <t>自律的に業務遂行
時間・場所・方法の裁量が大きい
→ 成果報酬部分はこの設計
→ 「成果」のみを評価</t>
  </si>
  <si>
    <t>②報酬の
労務対償性</t>
  </si>
  <si>
    <t>時間給・日給・月給
労働時間に対する対価
働いた時間で報酬が決まる</t>
  </si>
  <si>
    <t>成果報酬・出来高払い
成果に対する対価
→ 業務委託報酬部分
→ 生産性・付加価値で報酬決定</t>
  </si>
  <si>
    <t>③業務の
代替性</t>
  </si>
  <si>
    <t>本人が自ら業務を行う必要あり
代替不可（労務提供義務）
欠勤時は控除</t>
  </si>
  <si>
    <t>他者への代替可能
成果物の納品が重要
→ 評価制度で「成果」を測定</t>
  </si>
  <si>
    <t>④専属性</t>
  </si>
  <si>
    <t>他社での就業禁止
専属的な関係
競業避止義務</t>
  </si>
  <si>
    <t>他社業務も可能
独立性が高い
→ 副業・兼業を認める設計</t>
  </si>
  <si>
    <t>⑤事業者性</t>
  </si>
  <si>
    <t>道具・機械は会社提供
経費は会社負担
設備投資は不要</t>
  </si>
  <si>
    <t>自己の道具・機械使用
一部経費は自己負担
→ 独立した事業者性を持つ</t>
  </si>
  <si>
    <t>本サービスの
設計方針</t>
  </si>
  <si>
    <t>基本給部分:
使用従属性が高い部分
最低賃金ベースで設定</t>
  </si>
  <si>
    <t>業務委託報酬部分:
使用従属性が低い部分
→ 第三者評価により分離
→ 5要素全てで「低」を実現</t>
  </si>
  <si>
    <t>■ 6. 契約書類の整備</t>
  </si>
  <si>
    <t>書類</t>
  </si>
  <si>
    <t>必要性</t>
  </si>
  <si>
    <t>作成方法・記載事項</t>
  </si>
  <si>
    <t>必須
最も重要な書類</t>
  </si>
  <si>
    <t>弁護士による法的監査を経て作成
「弁護士監査済み」を明記
使用従属性が低いことを明確化:
・裁量労働の記載
・成果報酬の明記
・時間管理の自由
・場所の指定なし
・代替可能性の明記</t>
  </si>
  <si>
    <t>労働条件通知書</t>
  </si>
  <si>
    <t>雇用部分について必要
（雇用契約書は不要）</t>
  </si>
  <si>
    <t>労働基準法第15条に基づき作成
最低限の条件を通知
基本給部分のみを記載
使用従属性が高い部分
（指揮監督下の労働）</t>
  </si>
  <si>
    <t>給与明細</t>
  </si>
  <si>
    <t>雇用契約部分の支払い</t>
  </si>
  <si>
    <t>基本給部分を記載
「給与」として支払い
社会保険の対象
使用従属性: 高</t>
  </si>
  <si>
    <t>報酬明細</t>
  </si>
  <si>
    <t>業務委託契約部分の支払い</t>
  </si>
  <si>
    <t>業務委託報酬部分を記載
「報酬」として支払い
社会保険の対象外
使用従属性: 低</t>
  </si>
  <si>
    <t>弁護士意見書</t>
  </si>
  <si>
    <t>年金事務所提出用
必須書類</t>
  </si>
  <si>
    <t>契約の法的根拠を示す
使用従属性の5大要素を分析し、
業務委託契約が適切である理由を説明
伊藤先生グループの弁護士が作成</t>
  </si>
  <si>
    <t>■ 7. 法的グレーゾーン活用戦略のまとめ</t>
  </si>
  <si>
    <t>使用従属性の
判断基準の曖昧性</t>
  </si>
  <si>
    <t>約40年前（昭和60年）の基準が
現代の働き方に対応できていない
「総合的に判断」という曖昧な表現
→ 法的グレーゾーンが存在する</t>
  </si>
  <si>
    <t>業務委託契約として整理する
法的余地が生まれている
弁護士の判断を得ることで
正当性を確保</t>
  </si>
  <si>
    <t>弁護士による
法的判断の活用</t>
  </si>
  <si>
    <t>弁護士が使用従属性の5大要素を検討し、
業務委託契約が適切であると判断
契約書に「弁護士監査済み」を明記</t>
  </si>
  <si>
    <t>法的な防御壁を構築
税務署・年金事務所は
弁護士の判断を尊重せざるを得ない</t>
  </si>
  <si>
    <t>第三者評価による
法的分離</t>
  </si>
  <si>
    <t>評価者と雇用主体を分離することで
給与（使用従属性:高）と
報酬（使用従属性:低）の
二重構造を合法的に実現</t>
  </si>
  <si>
    <t>社会保険料削減が可能
第三者による客観的評価
という正当性を確保</t>
  </si>
  <si>
    <t>同一労働同一賃金
との整合性</t>
  </si>
  <si>
    <t>国の政策に沿った制度設計
職務内容で公平に評価
契約形態ではなく「職務」で判断</t>
  </si>
  <si>
    <t>正当性を主張できる
厚労省の方針に「乗っかる」
社会問題化を防ぐ</t>
  </si>
  <si>
    <t>本シートは伊藤先生の3つのナレッジを統合したものです</t>
  </si>
  <si>
    <t>第1章: 法的構造の核心</t>
  </si>
  <si>
    <t>第2章: 給与設計の実務</t>
  </si>
  <si>
    <t>給与の二重構造化と第三者評価による法的分離の実務</t>
  </si>
  <si>
    <t>■ 1. 給与の二重構造化</t>
  </si>
  <si>
    <t>金額例
(月給30万円)</t>
  </si>
  <si>
    <t>社会保険</t>
  </si>
  <si>
    <t>基本給</t>
  </si>
  <si>
    <t>最低賃金ベースに設定
社会保険の対象となる雇用契約部分</t>
  </si>
  <si>
    <t>18万円</t>
  </si>
  <si>
    <t>対象</t>
  </si>
  <si>
    <t>固定給として設定
最低限の生活保障</t>
  </si>
  <si>
    <t>業務委託報酬</t>
  </si>
  <si>
    <t>付加価値・成果に応じた報酬
頑張った人の分だけの付加給</t>
  </si>
  <si>
    <t>12万円</t>
  </si>
  <si>
    <t>対象外</t>
  </si>
  <si>
    <t>成果に応じて変動可能
評価制度と連動</t>
  </si>
  <si>
    <t>従来の給与と同額</t>
  </si>
  <si>
    <t>30万円</t>
  </si>
  <si>
    <t>18万円のみ</t>
  </si>
  <si>
    <t>手取りは変わらない
社会保険料が削減</t>
  </si>
  <si>
    <t>■ 2. 第三者評価の必要性（法的に最重要）</t>
  </si>
  <si>
    <t>理由</t>
  </si>
  <si>
    <t>評価者と雇用主体の分離</t>
  </si>
  <si>
    <t>同じ会社から給料と報酬を支払うと合算されて社会保険がかかる
評価主体を分離することが法的に必須</t>
  </si>
  <si>
    <t>評価者を第三者（伊藤先生の組織）とする
法的分離を実現</t>
  </si>
  <si>
    <t>無体財産権の評価</t>
  </si>
  <si>
    <t>生産性の高い従業員を資産として評価
長期勤続見込みの高い従業員を高評価</t>
  </si>
  <si>
    <t>BS（貸借対照表）上に反映
企業価値の向上</t>
  </si>
  <si>
    <t>評価の客観性</t>
  </si>
  <si>
    <t>第三者による客観的な評価
恣意的でない評価制度</t>
  </si>
  <si>
    <t>AI活用をアピール
先進性を演出</t>
  </si>
  <si>
    <t>■ 3. 実務的な支払いフロー</t>
  </si>
  <si>
    <t>ステップ</t>
  </si>
  <si>
    <t>本来の流れ</t>
  </si>
  <si>
    <t>実務的対応
（簡略化）</t>
  </si>
  <si>
    <t>1. 評価</t>
  </si>
  <si>
    <t>第三者評価組織が
従業員を評価</t>
  </si>
  <si>
    <t>同左</t>
  </si>
  <si>
    <t>評価シート</t>
  </si>
  <si>
    <t>2. 報酬決定</t>
  </si>
  <si>
    <t>評価に基づき
報酬額を決定</t>
  </si>
  <si>
    <t>報酬決定通知</t>
  </si>
  <si>
    <t>3. 支払い
（本来）</t>
  </si>
  <si>
    <t>評価組織が報酬を受取り
従業員に別途支払う
例: 100万円</t>
  </si>
  <si>
    <t>（実務的には省略）</t>
  </si>
  <si>
    <t>3. 支払い
（実務）</t>
  </si>
  <si>
    <t>既存の会社で清算
手数料のみを評価組織に支払う
例: 5万円</t>
  </si>
  <si>
    <t>支払明細
手数料請求書</t>
  </si>
  <si>
    <t>4. 書類分離</t>
  </si>
  <si>
    <t>給与明細と報酬明細を分離</t>
  </si>
  <si>
    <t>同左
必ず2種類の書類を作成</t>
  </si>
  <si>
    <t>給与明細
報酬明細</t>
  </si>
  <si>
    <t>■ 4. 書類の分離（必須）</t>
  </si>
  <si>
    <t>発行者</t>
  </si>
  <si>
    <t>雇用契約に基づく基本給
社会保険の対象</t>
  </si>
  <si>
    <t>雇用主（企業）</t>
  </si>
  <si>
    <t>雇用契約</t>
  </si>
  <si>
    <t>業務委託契約に基づく報酬
社会保険の対象外</t>
  </si>
  <si>
    <t>評価者（第三者組織）</t>
  </si>
  <si>
    <t>業務委託契約</t>
  </si>
  <si>
    <t>重要性</t>
  </si>
  <si>
    <t>2種類の書類を明確に分離することで法的整合性を確保
合算されないようにする</t>
  </si>
  <si>
    <t>■ 5. 無形資産（無体財産）としての人事制度</t>
  </si>
  <si>
    <t>概念</t>
  </si>
  <si>
    <t>評価制度の資産化</t>
  </si>
  <si>
    <t>評価制度、育成ノウハウ、従業員との信頼関係を見える化
企業の重要な無形資産として認識</t>
  </si>
  <si>
    <t>BS（貸借対照表）に計上可能
企業価値の向上</t>
  </si>
  <si>
    <t>知的財産資本</t>
  </si>
  <si>
    <t>経営戦略上、知的財産資本として保護・育成の対象とする
優秀な人材が多い企業としての価値</t>
  </si>
  <si>
    <t>企業の利用価値も上昇
M&amp;A時の評価UP</t>
  </si>
  <si>
    <t>具体例</t>
  </si>
  <si>
    <t>Aさん: 1時間100個生産
Bさん: 1時間200個生産
→ 生産性が2倍なのに同じ給与は不適切</t>
  </si>
  <si>
    <t>適切な評価制度により
公平性と納得性を確保</t>
  </si>
  <si>
    <t>■ 6. 補助金・助成金との連携戦略</t>
  </si>
  <si>
    <t>仕組み</t>
  </si>
  <si>
    <t>従来の問題</t>
  </si>
  <si>
    <t>本サービスでの解決</t>
  </si>
  <si>
    <t>補助金制度の
要件</t>
  </si>
  <si>
    <t>必ず基本給の底上げがセット
例: 基本給+5万円</t>
  </si>
  <si>
    <t>高い基本給+補助金
= 社会保険料で首が絞まる</t>
  </si>
  <si>
    <t>戦略的アプローチ</t>
  </si>
  <si>
    <t>基本給を最低賃金ベースに抑える
業務委託部分で付加価値を評価</t>
  </si>
  <si>
    <t>補助金を引っ張っても
社会保険料負担が軽い</t>
  </si>
  <si>
    <t>実施順序</t>
  </si>
  <si>
    <t>1. 本サービスで給与構造を変更
2. 基本給ベースを下げる
3. その後、補助金を申請</t>
  </si>
  <si>
    <t>補助金がプラスになる
負荷が出てマイナスにならない</t>
  </si>
  <si>
    <t>■ 7. 年金制度との関連</t>
  </si>
  <si>
    <t>従来の年金</t>
  </si>
  <si>
    <t>納付: 約3,984万円
受給: 約4,000万円</t>
  </si>
  <si>
    <t>平均給与での生涯納付額と受給額
ほぼトントン（今後さらに悪化）</t>
  </si>
  <si>
    <t>確定拠出年金(DC)</t>
  </si>
  <si>
    <t>運用結果: 約9,274万円</t>
  </si>
  <si>
    <t>自己運用による結果
従来の年金の2倍以上</t>
  </si>
  <si>
    <t>メッセージ</t>
  </si>
  <si>
    <t>「年金は自分たちで運用する時代」</t>
  </si>
  <si>
    <t>国民年金から確定拠出年金への切替を推奨
クロスセルの機会</t>
  </si>
  <si>
    <t>従業員説得</t>
  </si>
  <si>
    <t>「国民年金は払い損、DCなら2倍」</t>
  </si>
  <si>
    <t>同意取得の際の説明材料として活用</t>
  </si>
  <si>
    <t>第3章: 政府連携戦略</t>
  </si>
  <si>
    <t>厚生労働省を巻き込むことで社会問題化を防ぐ戦略</t>
  </si>
  <si>
    <t>■ 1. 厚生労働省との連携戦略</t>
  </si>
  <si>
    <t>包括法規としての位置づけ</t>
  </si>
  <si>
    <t>厚生労働省の給与体系の包括法規として実施
国の制度の一環として位置づける</t>
  </si>
  <si>
    <t>政府の政策に沿っているという正当性
社会問題化を防ぐ</t>
  </si>
  <si>
    <t>審議官の巻き込み</t>
  </si>
  <si>
    <t>厚生労働省の審議官を巻き込む
制度設計の段階から相談</t>
  </si>
  <si>
    <t>政府の承認を得た制度
という印象を与える</t>
  </si>
  <si>
    <t>広報担当者の活用</t>
  </si>
  <si>
    <t>厚労省の広報担当者を巻き込む
研修会を開催し、厚労省側に説明させる</t>
  </si>
  <si>
    <t>厚労省が推奨する制度
という位置づけ</t>
  </si>
  <si>
    <t>研修会の開催</t>
  </si>
  <si>
    <t>厚生労働省や年金事務所の広報担当者による研修会
「組合内での助言」として実施</t>
  </si>
  <si>
    <t>政府機関が説明する
= 正当性の担保</t>
  </si>
  <si>
    <t>■ 2. リスク回避の仕組み</t>
  </si>
  <si>
    <t>リスク</t>
  </si>
  <si>
    <t>回避策</t>
  </si>
  <si>
    <t>税務署の介入</t>
  </si>
  <si>
    <t>厚労省や年金事務所の広報担当者が推奨する仕組み
税務署が町長（管轄）を越えてクレームをつけられない</t>
  </si>
  <si>
    <t>税務署は厚労省の管轄外
介入しにくい構造</t>
  </si>
  <si>
    <t>社会問題化</t>
  </si>
  <si>
    <t>厚労省を味方につけることで社会問題化を防ぐ
政府機関が推奨している = 問題ない</t>
  </si>
  <si>
    <t>広まりすぎても
問題にならない構造</t>
  </si>
  <si>
    <t>法改正のリスク</t>
  </si>
  <si>
    <t>厚労省と連携している = 法改正の情報が早く入る
対応準備に時間的余裕</t>
  </si>
  <si>
    <t>法改正への
早期対応が可能</t>
  </si>
  <si>
    <t>■ 3. 元財務省官僚との連携</t>
  </si>
  <si>
    <t>連携内容</t>
  </si>
  <si>
    <t>営業ポイント</t>
  </si>
  <si>
    <t>還付金申請のサポート</t>
  </si>
  <si>
    <t>元財務省官僚が還付金申請をサポート
年金事務所との交渉にも同席</t>
  </si>
  <si>
    <t>「元財務省官僚が
サポートします」</t>
  </si>
  <si>
    <t>政府との太いパイプ</t>
  </si>
  <si>
    <t>元官僚のネットワークを活用
情報収集と対策が迅速</t>
  </si>
  <si>
    <t>「政府との太いパイプが
あります」</t>
  </si>
  <si>
    <t>厚生労働省との勉強会</t>
  </si>
  <si>
    <t>厚労省の役人による勉強会・レクチャーの開催
「組合内での助言」として実施</t>
  </si>
  <si>
    <t>「厚労省の役人が
直接説明します」</t>
  </si>
  <si>
    <t>営業資料への明記</t>
  </si>
  <si>
    <t>これらのサービスを営業ポイントとして明記
差別化要因として強調</t>
  </si>
  <si>
    <t>他社にはない
強力な武器</t>
  </si>
  <si>
    <t>■ 4. 表現のリスク管理</t>
  </si>
  <si>
    <t>NG表現</t>
  </si>
  <si>
    <t>OK表現</t>
  </si>
  <si>
    <t>「削減」</t>
  </si>
  <si>
    <t>「公的制度の適正化」</t>
  </si>
  <si>
    <t>削減という言葉は
攻撃的な印象を与える</t>
  </si>
  <si>
    <t>「還付」</t>
  </si>
  <si>
    <t>「精算」「見直し」</t>
  </si>
  <si>
    <t>還付は払いすぎを連想
ネガティブな印象</t>
  </si>
  <si>
    <t>「節税」</t>
  </si>
  <si>
    <t>「適正化」「最適化」</t>
  </si>
  <si>
    <t>節税はグレーな印象
適正化はポジティブ</t>
  </si>
  <si>
    <t>シミュレーター表記</t>
  </si>
  <si>
    <t>「削減」「還付」というワードをできるだけ使わない
「公的制度の適正化」を強調</t>
  </si>
  <si>
    <t>制度の適用範囲内で
実施していることを強調</t>
  </si>
  <si>
    <t>■ 5. サービス提供の5ステップ</t>
  </si>
  <si>
    <t>STEP</t>
  </si>
  <si>
    <t>現行の給与評価設定のチェック</t>
  </si>
  <si>
    <t>1週間</t>
  </si>
  <si>
    <t>伊藤先生グループ</t>
  </si>
  <si>
    <t>AIによる新しい給与評価の導入</t>
  </si>
  <si>
    <t>AI + 伊藤先生グループ</t>
  </si>
  <si>
    <t>社員への説明と新制度への同意取得</t>
  </si>
  <si>
    <t>2〜4週間</t>
  </si>
  <si>
    <t>企業 + 当協会サポート</t>
  </si>
  <si>
    <t>新制度による社会保険料の見直し</t>
  </si>
  <si>
    <t>3〜6ヶ月</t>
  </si>
  <si>
    <t>今後の給与形態の継続的最適化</t>
  </si>
  <si>
    <t>当協会サポート</t>
  </si>
  <si>
    <t>■ 6. 協会運営との関係</t>
  </si>
  <si>
    <t>加入タイミング</t>
  </si>
  <si>
    <t>プレゼン前に協会に加入してもらう
クラウドサインを活用</t>
  </si>
  <si>
    <t>協会員としての
権利を先に確保</t>
  </si>
  <si>
    <t>協会費用</t>
  </si>
  <si>
    <t>最初の数ヶ月は協会費用を無料に設定
入会のハードルを下げる</t>
  </si>
  <si>
    <t>無料期間で
価値を実感してもらう</t>
  </si>
  <si>
    <t>主要メンバー</t>
  </si>
  <si>
    <t>主要メンバーは組合経由でなくても可
ウェブまたは対面での説明</t>
  </si>
  <si>
    <t>柔軟な対応で
間口を広げる</t>
  </si>
  <si>
    <t>スタート時期</t>
  </si>
  <si>
    <t>1月中のスタートも可能
スピード感を重視</t>
  </si>
  <si>
    <t>早期の実績作り
早期の収益化</t>
  </si>
  <si>
    <t>■ 7. 報酬体系の詳細</t>
  </si>
  <si>
    <t>比率</t>
  </si>
  <si>
    <t>配分先</t>
  </si>
  <si>
    <t>顧客負担</t>
  </si>
  <si>
    <t>削減額の20%を成果報酬
これ以上は非現実的</t>
  </si>
  <si>
    <t>代理店配分</t>
  </si>
  <si>
    <t>5〜10%</t>
  </si>
  <si>
    <t>10%はやりすぎ
5%程度が適切</t>
  </si>
  <si>
    <t>当協会取り分</t>
  </si>
  <si>
    <t>10〜15%</t>
  </si>
  <si>
    <t>当協会</t>
  </si>
  <si>
    <t>代理店配分後の残り
運営費用に充当</t>
  </si>
  <si>
    <t>調整方針</t>
  </si>
  <si>
    <t>反応を見ながら調整
柔軟に対応</t>
  </si>
  <si>
    <t>市場の反応を
注視する</t>
  </si>
  <si>
    <t>■ 8. 既に構築済みの防御構造</t>
  </si>
  <si>
    <t>防御策</t>
  </si>
  <si>
    <t>厚労省との連携</t>
  </si>
  <si>
    <t>厚生労働省を巻き込むことで社会問題化を防ぐ
政府機関が推奨する仕組みとして位置づけ</t>
  </si>
  <si>
    <t>広まりすぎても
問題にならない</t>
  </si>
  <si>
    <t>弁護士による契約書</t>
  </si>
  <si>
    <t>弁護士の法的監査を経た契約書
国家資格者の判断に基づく</t>
  </si>
  <si>
    <t>法的な防御壁を構築
税務署も介入しにくい</t>
  </si>
  <si>
    <t>第三者評価</t>
  </si>
  <si>
    <t>評価者と雇用主体を分離
法的整合性を確保</t>
  </si>
  <si>
    <t>合算されない仕組み
社会保険料削減が可能</t>
  </si>
  <si>
    <t>表現の工夫</t>
  </si>
  <si>
    <t>「削減」「還付」を避け「適正化」を使用
制度の趣旨に沿った表現</t>
  </si>
  <si>
    <t>ネガティブな印象を
回避できる</t>
  </si>
  <si>
    <t>本サービスにおける主要リスクとその対策を網羅的に管理します</t>
  </si>
  <si>
    <t>■ リスク管理の全体像</t>
  </si>
  <si>
    <t>本サービスは法的グレーゾーンを戦略的に活用するビジネスモデルです。</t>
  </si>
  <si>
    <t>そのため、4つの防御構造を構築し、リスクを最小化します。</t>
  </si>
  <si>
    <t>【4つの防御構造】</t>
  </si>
  <si>
    <t>1. 弁護士による契約書作成（法的防御壁）</t>
  </si>
  <si>
    <t>2. 第三者評価による法的分離（構造的正当性）</t>
  </si>
  <si>
    <t>3. 厚労省連携（社会問題化防止）</t>
  </si>
  <si>
    <t>4. 表現の工夫（ネガティブ印象回避）</t>
  </si>
  <si>
    <t>■ 主要リスク一覧と対策</t>
  </si>
  <si>
    <t>リスク分類</t>
  </si>
  <si>
    <t>リスク内容</t>
  </si>
  <si>
    <t>発生確率</t>
  </si>
  <si>
    <t>影響度</t>
  </si>
  <si>
    <t>対策</t>
  </si>
  <si>
    <t>責任者</t>
  </si>
  <si>
    <t>状態</t>
  </si>
  <si>
    <t>1. 法的リスク</t>
  </si>
  <si>
    <t>年金事務所
（一課）</t>
  </si>
  <si>
    <t>契約内容の否認
社会保険料の追徴</t>
  </si>
  <si>
    <t>【対策】
• 一課との接触を避ける
• 三課（教育担当）経由で申請
• 弁護士意見書を必ず添付</t>
  </si>
  <si>
    <t>伊藤先生G</t>
  </si>
  <si>
    <t>実行中</t>
  </si>
  <si>
    <t>年金事務所
（三課）</t>
  </si>
  <si>
    <t>申請書類の不備
審査の長期化</t>
  </si>
  <si>
    <t>【対策】
• 事前に三課と関係構築
• 書類の完全性を確保
• 教育的立場からの支援</t>
  </si>
  <si>
    <t>税務署</t>
  </si>
  <si>
    <t>売上の否認
還付金への課税</t>
  </si>
  <si>
    <t>【対策】
• 「還付金は正当な収入」の論理
• 顧問税理士の見解書
• 適切な会計処理</t>
  </si>
  <si>
    <t>準備中</t>
  </si>
  <si>
    <t>労働局</t>
  </si>
  <si>
    <t>偽装請負の指摘
是正勧告</t>
  </si>
  <si>
    <t>【対策】
• 弁護士監査済み契約書
• 使用従属性の5要素で低を実現
• 第三者評価の客観性</t>
  </si>
  <si>
    <t>弁護士</t>
  </si>
  <si>
    <t>法改正</t>
  </si>
  <si>
    <t>使用従属性の定義明確化
新規契約の困難化</t>
  </si>
  <si>
    <t>最高</t>
  </si>
  <si>
    <t>【対策】
• 2年以内の最大展開（最優先）
• 法改正の動向を常時モニタリング
• 既存契約は継続可能</t>
  </si>
  <si>
    <t>経営陣</t>
  </si>
  <si>
    <t>2. 評判リスク</t>
  </si>
  <si>
    <t>メディアでの批判
「脱法行為」との報道</t>
  </si>
  <si>
    <t>【対策】
• 厚労省を味方につける
• 同一労働同一賃金GLに準拠
• 「適正化」という言葉を使用</t>
  </si>
  <si>
    <t>顧客からの
クレーム</t>
  </si>
  <si>
    <t>「怪しい」との疑念
契約解除</t>
  </si>
  <si>
    <t>【対策】
• 丁寧な説明（従業員説明会）
• 実績の可視化
• アフターフォロー体制</t>
  </si>
  <si>
    <t>競合からの
攻撃</t>
  </si>
  <si>
    <t>ネガティブキャンペーン
情報の流出</t>
  </si>
  <si>
    <t>【対策】
• 機密情報の厳格管理
• 代理店契約での守秘義務
• 先行者利益の確保</t>
  </si>
  <si>
    <t>3. 表現リスク</t>
  </si>
  <si>
    <t>NG表現の使用</t>
  </si>
  <si>
    <t>「削減」「還付」等の
攻撃的表現</t>
  </si>
  <si>
    <t>【対策】
• 「適正化」「精算」を使用
• 営業資料の事前チェック
• 全社員への教育</t>
  </si>
  <si>
    <t>過度な勧誘</t>
  </si>
  <si>
    <t>「絶対」「確実」等の
断定表現</t>
  </si>
  <si>
    <t>【対策】
• 営業トーク台本の整備
• 「可能性」「想定」を使用
• コンプライアンス研修</t>
  </si>
  <si>
    <t>4. 実務リスク</t>
  </si>
  <si>
    <t>計算ミス</t>
  </si>
  <si>
    <t>シミュレーションの誤り
顧客への損害</t>
  </si>
  <si>
    <t>【対策】
• ダブルチェック体制
• システムによる自動計算
• 検証用テストケース</t>
  </si>
  <si>
    <t>書類不備</t>
  </si>
  <si>
    <t>申請の却下
遅延</t>
  </si>
  <si>
    <t>【対策】
• チェックリストの活用
• 書類テンプレートの整備
• 提出前の最終確認</t>
  </si>
  <si>
    <t>情報漏洩</t>
  </si>
  <si>
    <t>顧客情報の流出
機密情報の漏洩</t>
  </si>
  <si>
    <t>【対策】
• アクセス権限の管理
• データの暗号化
• 守秘義務契約</t>
  </si>
  <si>
    <t>IT/法務</t>
  </si>
  <si>
    <t>5. 財務リスク</t>
  </si>
  <si>
    <t>キャッシュフロー
悪化</t>
  </si>
  <si>
    <t>還付金受領までの
資金ショート</t>
  </si>
  <si>
    <t>【対策】
• 月次ストック収入の確保
• 資金繰り計画の策定
• 銀行融資の検討</t>
  </si>
  <si>
    <t>財務</t>
  </si>
  <si>
    <t>売上未回収</t>
  </si>
  <si>
    <t>顧客の倒産
支払い拒否</t>
  </si>
  <si>
    <t>【対策】
• 与信管理の徹底
• 前払いまたは分割払い
• 保証金の設定</t>
  </si>
  <si>
    <t>■ 2年以内の勝負という時間軸</t>
  </si>
  <si>
    <t>【最大のリスク: 法改正】</t>
  </si>
  <si>
    <t>法律制定から40年
判断基準が曖昧
グレーゾーン存在</t>
  </si>
  <si>
    <t>↓</t>
  </si>
  <si>
    <t>1年後</t>
  </si>
  <si>
    <t>法改正の動き
国会審議開始の可能性</t>
  </si>
  <si>
    <t>2年後</t>
  </si>
  <si>
    <t>法改正の可能性大
定義の明確化</t>
  </si>
  <si>
    <t>3年後以降</t>
  </si>
  <si>
    <t>新法施行
既存契約は継続可能
新規契約は困難化</t>
  </si>
  <si>
    <t>【戦略】</t>
  </si>
  <si>
    <t>Phase 1（1ヶ月）: バリュー社で実証</t>
  </si>
  <si>
    <t>Phase 2（2-3ヶ月）: 厳選10社で100社獲得</t>
  </si>
  <si>
    <t>Phase 3（3-6ヶ月）: 全国展開で1,000社獲得</t>
  </si>
  <si>
    <t>→ 2年以内に最大展開を図り、法改正後も既存契約で継続可能な体制を構築</t>
  </si>
  <si>
    <t>■ リスク管理の実施サイクル</t>
  </si>
  <si>
    <t>頻度</t>
  </si>
  <si>
    <t>実施内容</t>
  </si>
  <si>
    <t>案件進捗の確認
書類チェック</t>
  </si>
  <si>
    <t>毎週</t>
  </si>
  <si>
    <t>リスク状況の報告
対策の実施確認</t>
  </si>
  <si>
    <t>マネージャー</t>
  </si>
  <si>
    <t>全体リスクレビュー
対策の見直し</t>
  </si>
  <si>
    <t>外部専門家レビュー
（弁護士・税理士）</t>
  </si>
  <si>
    <t>法改正情報のモニタリング
新規リスクの特定</t>
  </si>
  <si>
    <t>📞 営業完全マニュアル</t>
  </si>
  <si>
    <t>9ステップ・トーク・反論処理50・ターゲット戦略</t>
  </si>
  <si>
    <t>営業プロセス・9ステップ・トーク・反論処理50を完全網羅</t>
  </si>
  <si>
    <t>認知から継続まで9ステージの完全営業プロセス設計</t>
  </si>
  <si>
    <t>ステージ</t>
  </si>
  <si>
    <t>タッチポイント</t>
  </si>
  <si>
    <t>ユーザー心理</t>
  </si>
  <si>
    <t>システム対応</t>
  </si>
  <si>
    <t>提供価値</t>
  </si>
  <si>
    <t>認知・興味</t>
  </si>
  <si>
    <t>広告、SNS、紹介</t>
  </si>
  <si>
    <t>社会保険料が高い... 何か良い方法ないかな</t>
  </si>
  <si>
    <t>ランディングページ
無料診断へ誘導</t>
  </si>
  <si>
    <t>年間XX万円削減できる可能性</t>
  </si>
  <si>
    <t>LP訪問数、
無料診断申込率</t>
  </si>
  <si>
    <t>無料診断</t>
  </si>
  <si>
    <t>Web診断フォーム、
営業との面談</t>
  </si>
  <si>
    <t>本当に削減できる？
違法じゃない？</t>
  </si>
  <si>
    <t>簡易シミュレーター
削減額の見える化</t>
  </si>
  <si>
    <t>具体的な削減額（数字）
法的根拠の提示</t>
  </si>
  <si>
    <t>削減額提示率100%、
商談転換率60%</t>
  </si>
  <si>
    <t>商談</t>
  </si>
  <si>
    <t>営業との対面/オンライン</t>
  </si>
  <si>
    <t>どっちのプランが良い？
調査が来たらどうする？</t>
  </si>
  <si>
    <t>詳細シミュレーター
2プラン比較
反論処理</t>
  </si>
  <si>
    <t>シンプル/フルの選択肢
調査対応の安心感</t>
  </si>
  <si>
    <t>即決率60%、
無料診断→契約率80%</t>
  </si>
  <si>
    <t>契約</t>
  </si>
  <si>
    <t>契約書、
初回キックオフMTG</t>
  </si>
  <si>
    <t>本当に大丈夫かな...
（不安）</t>
  </si>
  <si>
    <t>契約管理システム
90日ロードマップ提示</t>
  </si>
  <si>
    <t>明確なスケジュール
返金保証</t>
  </si>
  <si>
    <t>契約完了率95%、
キャンセル率5%以下</t>
  </si>
  <si>
    <t>導入準備</t>
  </si>
  <si>
    <t>従業員情報収集、
給与データ分析</t>
  </si>
  <si>
    <t>手間がかかりそう...</t>
  </si>
  <si>
    <t>データ収集フォーム
自動計算エンジン</t>
  </si>
  <si>
    <t>ワンストップ対応
CSの伴走</t>
  </si>
  <si>
    <t>データ収集完了率100%、
30日以内完了率80%</t>
  </si>
  <si>
    <t>実行</t>
  </si>
  <si>
    <t>労働条件通知書、
年金事務所届出</t>
  </si>
  <si>
    <t>本当にうまくいく？</t>
  </si>
  <si>
    <t>自動書類生成
届出代行</t>
  </si>
  <si>
    <t>手間ゼロ
ミスゼロ</t>
  </si>
  <si>
    <t>届出完了率100%、
エラー率1%以下</t>
  </si>
  <si>
    <t>削減開始</t>
  </si>
  <si>
    <t>給与明細、
還付金振込</t>
  </si>
  <si>
    <t>ちゃんと削減された！</t>
  </si>
  <si>
    <t>削減額レポート
還付金計算</t>
  </si>
  <si>
    <t>実感できる削減額
従業員の満足度UP</t>
  </si>
  <si>
    <t>削減実現率100%、
顧客満足度90%以上</t>
  </si>
  <si>
    <t>年金事務所からの通知</t>
  </si>
  <si>
    <t>やっぱり来た！
どうしよう...</t>
  </si>
  <si>
    <t>調査対応マニュアル
Q&amp;A自動生成
同席サポート</t>
  </si>
  <si>
    <t>完全サポート
安心感</t>
  </si>
  <si>
    <t>調査突破率100%、
指摘事項0件</t>
  </si>
  <si>
    <t>CS+法務</t>
  </si>
  <si>
    <t>継続・拡大</t>
  </si>
  <si>
    <t>月次レポート、
追加従業員の提案</t>
  </si>
  <si>
    <t>もっと従業員を増やせる？</t>
  </si>
  <si>
    <t>追加シミュレーション
アップセル提案</t>
  </si>
  <si>
    <t>継続的な削減効果
LTV最大化</t>
  </si>
  <si>
    <t>継続率95%以上、
アップセル率30%</t>
  </si>
  <si>
    <t>■ 各ステージの重要ポイント</t>
  </si>
  <si>
    <t>【認知→無料診断】</t>
  </si>
  <si>
    <t>【無料診断→商談】</t>
  </si>
  <si>
    <t>【商談→契約】</t>
  </si>
  <si>
    <t>【契約→導入】</t>
  </si>
  <si>
    <t>【調査対応】</t>
  </si>
  <si>
    <t>初回面談から継続サポートまで、顧客獲得の全プロセスを完全網羅</t>
  </si>
  <si>
    <t>STEP1: 初回面談・無料診断</t>
  </si>
  <si>
    <t>━━━ パート1: 1-2_冒頭30秒トーク からの内容 ━━━</t>
  </si>
  <si>
    <t>この30秒で商談の8割が決まります。必ず暗唱してください。</t>
  </si>
  <si>
    <t>パート</t>
  </si>
  <si>
    <t>トーク内容</t>
  </si>
  <si>
    <t>目的</t>
  </si>
  <si>
    <t>NG例</t>
  </si>
  <si>
    <t>①挨拶</t>
  </si>
  <si>
    <t>本日はお時間ありがとうございます。</t>
  </si>
  <si>
    <t>信頼関係構築</t>
  </si>
  <si>
    <t>長い自己紹介</t>
  </si>
  <si>
    <t>②ゴール確認</t>
  </si>
  <si>
    <t>今日は「社会保険料を減らす」ことより、
毎月出ている社会保険料の損失（年間XX万円）を止めて、
そのお金を従業員の給与や設備投資に回せる状態にするのがゴールで合ってますか？</t>
  </si>
  <si>
    <t>「損失を止める」に
ゴールを設定</t>
  </si>
  <si>
    <t>「削減できます」
だけで終わる</t>
  </si>
  <si>
    <t>③アジェンダ提示</t>
  </si>
  <si>
    <t>もし合っていれば、今の社会保険料の構造を10分で整理して、
シンプルに削減 or フルサポートで守りながら削減のどちらが合うかまで、今日決めましょう。</t>
  </si>
  <si>
    <t>2プランがあることを
最初に伝える</t>
  </si>
  <si>
    <t>1つのプランだけ
提示</t>
  </si>
  <si>
    <t>④YES確認</t>
  </si>
  <si>
    <t>（YESが出たら）
ありがとうございます。
では最初に、今の社会保険料負担で経営にどんな影響が出ているか教えてください。</t>
  </si>
  <si>
    <t>当事者意識を引き出す</t>
  </si>
  <si>
    <t>すぐ説明を始める</t>
  </si>
  <si>
    <t>■ この30秒の3つの目的</t>
  </si>
  <si>
    <t>目的①</t>
  </si>
  <si>
    <t>目的②</t>
  </si>
  <si>
    <t>目的③</t>
  </si>
  <si>
    <t>■ 応用例</t>
  </si>
  <si>
    <t>カスタマイズ例</t>
  </si>
  <si>
    <t>製造業</t>
  </si>
  <si>
    <t>「設備投資に回せる」を強調</t>
  </si>
  <si>
    <t>飲食店</t>
  </si>
  <si>
    <t>「人件費や店舗改装に回せる」を強調</t>
  </si>
  <si>
    <t>IT企業</t>
  </si>
  <si>
    <t>「開発費や採用費に回せる」を強調</t>
  </si>
  <si>
    <t>━━━ パート2: 1-4_無料診断 からの内容 ━━━</t>
  </si>
  <si>
    <t>無料診断で渡す4つの成果物（社長が嬉しい順）</t>
  </si>
  <si>
    <t>順位</t>
  </si>
  <si>
    <t>成果物</t>
  </si>
  <si>
    <t>作成時間</t>
  </si>
  <si>
    <t>社会保険料削減シミュレーション</t>
  </si>
  <si>
    <t>従業員ごとの削減額を見える化
例：月30万円×10名=年間710万円削減</t>
  </si>
  <si>
    <t>10分</t>
  </si>
  <si>
    <t>即決率UP</t>
  </si>
  <si>
    <t>法的リスク診断Top5</t>
  </si>
  <si>
    <t>どこにリスクがあるか
具体的な改善ポイント</t>
  </si>
  <si>
    <t>15分</t>
  </si>
  <si>
    <t>安心感UP</t>
  </si>
  <si>
    <t>90日実行ロードマップ</t>
  </si>
  <si>
    <t>初月〜3ヶ月で何をするか
スケジュールと成果物</t>
  </si>
  <si>
    <t>実現性UP</t>
  </si>
  <si>
    <t>A/Bプラン最適提案</t>
  </si>
  <si>
    <t>シンプル or フル
どちらが合うか提案</t>
  </si>
  <si>
    <t>5分</t>
  </si>
  <si>
    <t>決断しやすい</t>
  </si>
  <si>
    <t>■ 無料診断の位置づけ</t>
  </si>
  <si>
    <t>「採用ブースト」の営業戦略をそのまま応用</t>
  </si>
  <si>
    <t>✓ サービス内容の「現在の社会保険料分析」を無料で提供</t>
  </si>
  <si>
    <t>✓ 削減額が見える化されると、ROI計算ができる</t>
  </si>
  <si>
    <t>✓ 「回収できる」と分かれば契約しやすい</t>
  </si>
  <si>
    <t>■ 無料診断のトーク</t>
  </si>
  <si>
    <t>商談冒頭</t>
  </si>
  <si>
    <t>まず無料診断で「削減の現在地」を数字で出しましょう。
その結果、回収できる見込みが立つなら契約、立たないならやめましょう。</t>
  </si>
  <si>
    <t>クロージング</t>
  </si>
  <si>
    <t>無料診断は30分だけお時間いただければ完了します。
来週、いつがよろしいですか？（3候補から選ばせる）</t>
  </si>
  <si>
    <t>STEP2: 簡易シミュレーション実演</t>
  </si>
  <si>
    <t>━━━ パート1: 1-3_2プラン比較 からの内容 ━━━</t>
  </si>
  <si>
    <t>「結論、御社はAかBのどちらかです」と提示する</t>
  </si>
  <si>
    <t>プランA
シンプルプラン</t>
  </si>
  <si>
    <t>プランB
フルプラン</t>
  </si>
  <si>
    <t>違い</t>
  </si>
  <si>
    <t>推奨</t>
  </si>
  <si>
    <t>対象企業</t>
  </si>
  <si>
    <t>従業員5名以下
個人事業主・小規模企業</t>
  </si>
  <si>
    <t>従業員10名以上
中小企業</t>
  </si>
  <si>
    <t>リスク許容度</t>
  </si>
  <si>
    <t>30万円
→キャンペーンで無料</t>
  </si>
  <si>
    <t>調査対応の有無</t>
  </si>
  <si>
    <t>月額費用</t>
  </si>
  <si>
    <t>10万円</t>
  </si>
  <si>
    <t>サポート範囲</t>
  </si>
  <si>
    <t>成果報酬</t>
  </si>
  <si>
    <t>削減額の30%</t>
  </si>
  <si>
    <t>削減額の20%</t>
  </si>
  <si>
    <t>料率の差</t>
  </si>
  <si>
    <t>給与+報酬のみ
（組合なし）</t>
  </si>
  <si>
    <t>給与+報酬
+組合設立
+別会社（必要時）</t>
  </si>
  <si>
    <t>複雑性</t>
  </si>
  <si>
    <t>基本的なQ&amp;A提供</t>
  </si>
  <si>
    <t>完全サポート
（同席・資料作成）</t>
  </si>
  <si>
    <t>法的リスク</t>
  </si>
  <si>
    <t>低（シンプル）</t>
  </si>
  <si>
    <t>最小（フル対応）</t>
  </si>
  <si>
    <t>安心度</t>
  </si>
  <si>
    <t>契約期間</t>
  </si>
  <si>
    <t>最低期間なし</t>
  </si>
  <si>
    <t>1年（途中解約可）</t>
  </si>
  <si>
    <t>柔軟性</t>
  </si>
  <si>
    <t>返金保証</t>
  </si>
  <si>
    <t>なし（成果報酬のみ）</t>
  </si>
  <si>
    <t>初期費用全額返金</t>
  </si>
  <si>
    <t>保証</t>
  </si>
  <si>
    <t>■ トーク例</t>
  </si>
  <si>
    <t>シーン</t>
  </si>
  <si>
    <t>補足</t>
  </si>
  <si>
    <t>導入</t>
  </si>
  <si>
    <t>料金はシンプルで、御社はAかBのどちらかです。</t>
  </si>
  <si>
    <t>まず2択であることを示す</t>
  </si>
  <si>
    <t>プランA説明</t>
  </si>
  <si>
    <t>A：まず1-2名で試したいならシンプルプラン。初期費用も月額も0円で、削減できた分の30%だけお支払い。リスクゼロです。</t>
  </si>
  <si>
    <t>リスクゼロを強調</t>
  </si>
  <si>
    <t>プランB説明</t>
  </si>
  <si>
    <t>B：全従業員で最大削減したいならフルプラン。組合設立や調査対応まで完全サポート。削減額の20%で、調査時も安心です。</t>
  </si>
  <si>
    <t>安心感を強調</t>
  </si>
  <si>
    <t>キャンペーン</t>
  </si>
  <si>
    <t>今フルプランに限り初期費用30万円が無料キャンペーン中です。商談後3日以内の契約が条件ですが、急かしたいわけではなく、御社の損失が1日でも早く止まるならという提案です。</t>
  </si>
  <si>
    <t>締切感を出しつつ
押し売りしない</t>
  </si>
  <si>
    <t>STEP3: 協会加入クロージング</t>
  </si>
  <si>
    <t>━━━ パート1: 1-6_クロージング からの内容 ━━━</t>
  </si>
  <si>
    <t>クロージングの2パターン（状況で使い分け）</t>
  </si>
  <si>
    <t>パターン</t>
  </si>
  <si>
    <t>使うタイミング</t>
  </si>
  <si>
    <t>ポイント</t>
  </si>
  <si>
    <t>A：無料診断
クロージング
（基本）</t>
  </si>
  <si>
    <t>今日の結論として、まず無料診断で「削減の現在地」を数字で出します。その結果、回収できる見込みが立つなら契約、立たないならやめましょう。来週、30分だけお時間いただけますか？（3候補提示）</t>
  </si>
  <si>
    <t>社長が慎重な場合</t>
  </si>
  <si>
    <t>B：即決
クロージング
（キャンペーン）</t>
  </si>
  <si>
    <t>もし社会保険料の損失が毎月出ているなら、早いほど得です。ちょうど今、商談後3日以内でフルプラン初期費用30万円が無料キャンペーン中です。今日の情報で判断できそうなら、この枠を使いましょう。</t>
  </si>
  <si>
    <t>損失が大きい場合
キャンペーン期間中</t>
  </si>
  <si>
    <t>締切感を出す
押し売りしない</t>
  </si>
  <si>
    <t>■ クロージング後の確認事項（必須）</t>
  </si>
  <si>
    <t>確認内容</t>
  </si>
  <si>
    <t>トーク例</t>
  </si>
  <si>
    <t>なぜ必要か</t>
  </si>
  <si>
    <t>決裁者確認</t>
  </si>
  <si>
    <t>今日お話しいただいた内容で、○○様が最終判断できますか？</t>
  </si>
  <si>
    <t>決裁者は○○様ですか？</t>
  </si>
  <si>
    <t>後から覆らない</t>
  </si>
  <si>
    <t>稟議フロー</t>
  </si>
  <si>
    <t>社内で稟議が必要な場合、どなたの承認が必要ですか？</t>
  </si>
  <si>
    <t>どなたの承認が必要ですか？</t>
  </si>
  <si>
    <t>進行を妨げない</t>
  </si>
  <si>
    <t>次回日程</t>
  </si>
  <si>
    <t>次回は○月○日○時でよろしいですか？</t>
  </si>
  <si>
    <t>候補日を3つ提示</t>
  </si>
  <si>
    <t>忘れられない</t>
  </si>
  <si>
    <t>送付資料</t>
  </si>
  <si>
    <t>本日の資料と削減シミュレーションをメールでお送りします</t>
  </si>
  <si>
    <t>商談直後にメール</t>
  </si>
  <si>
    <t>熱が冷めないうちに</t>
  </si>
  <si>
    <t>STEP4: 詳細データ収集</t>
  </si>
  <si>
    <t>━━━ パート1: 2-3_必要書類一覧 からの内容 ━━━</t>
  </si>
  <si>
    <t>全23種類の書類を管理 - 必須書類は黄色ハイライト</t>
  </si>
  <si>
    <t>書類名</t>
  </si>
  <si>
    <t>該当STEP</t>
  </si>
  <si>
    <t>提出者</t>
  </si>
  <si>
    <t>取得先</t>
  </si>
  <si>
    <t>取得難易度</t>
  </si>
  <si>
    <t>協会員契約書</t>
  </si>
  <si>
    <t>STEP2</t>
  </si>
  <si>
    <t>必須</t>
  </si>
  <si>
    <t>2通必要</t>
  </si>
  <si>
    <t>確認用</t>
  </si>
  <si>
    <t>印鑑証明書</t>
  </si>
  <si>
    <t>市区町村</t>
  </si>
  <si>
    <t>条件付</t>
  </si>
  <si>
    <t>場合により</t>
  </si>
  <si>
    <t>算定基礎届（過去5年分）</t>
  </si>
  <si>
    <t>STEP4</t>
  </si>
  <si>
    <t>社労士/年金事務所</t>
  </si>
  <si>
    <t>試算用</t>
  </si>
  <si>
    <t>源泉徴収簿（過去5年分）</t>
  </si>
  <si>
    <t>自社/税理士</t>
  </si>
  <si>
    <t>雇用契約書（全従業員分）</t>
  </si>
  <si>
    <t>STEP5</t>
  </si>
  <si>
    <t>自社</t>
  </si>
  <si>
    <t>プラン同意後</t>
  </si>
  <si>
    <t>賃金台帳（過去5年分）</t>
  </si>
  <si>
    <t>就業規則</t>
  </si>
  <si>
    <t>給与規程</t>
  </si>
  <si>
    <t>従業員向け説明資料</t>
  </si>
  <si>
    <t>STEP6</t>
  </si>
  <si>
    <t>当協会作成</t>
  </si>
  <si>
    <t>説明会用</t>
  </si>
  <si>
    <t>個別シミュレーション結果</t>
  </si>
  <si>
    <t>従業員ごと</t>
  </si>
  <si>
    <t>人事労務評価制度への同意書</t>
  </si>
  <si>
    <t>当協会様式</t>
  </si>
  <si>
    <t>当協会ひな形</t>
  </si>
  <si>
    <t>必要な場合</t>
  </si>
  <si>
    <t>過誤申立書</t>
  </si>
  <si>
    <t>STEP7</t>
  </si>
  <si>
    <t>従業員同意書（一式）</t>
  </si>
  <si>
    <t>STEP6で取得済</t>
  </si>
  <si>
    <t>申請添付用</t>
  </si>
  <si>
    <t>新旧制度の比較表</t>
  </si>
  <si>
    <t>業務実態を示す資料</t>
  </si>
  <si>
    <t>精算決定通知書</t>
  </si>
  <si>
    <t>STEP8</t>
  </si>
  <si>
    <t>年金事務所</t>
  </si>
  <si>
    <t>自動</t>
  </si>
  <si>
    <t>審査通過後</t>
  </si>
  <si>
    <t>振込明細</t>
  </si>
  <si>
    <t>銀行</t>
  </si>
  <si>
    <t>入金確認用</t>
  </si>
  <si>
    <t>請求書（成果報酬）</t>
  </si>
  <si>
    <t>当協会発行</t>
  </si>
  <si>
    <t>領収書</t>
  </si>
  <si>
    <t>継続サポート契約書</t>
  </si>
  <si>
    <t>STEP9</t>
  </si>
  <si>
    <t>任意</t>
  </si>
  <si>
    <t>希望者のみ</t>
  </si>
  <si>
    <t>STEP5: 従業員説明会の実施</t>
  </si>
  <si>
    <t>━━━ パート1: 2-4_注意事項まとめ からの内容 ━━━</t>
  </si>
  <si>
    <t>重要度「最高」は赤色ハイライト - 特に注意が必要</t>
  </si>
  <si>
    <t>注意事項</t>
  </si>
  <si>
    <t>契約内容を十分に理解した上で署名してください</t>
  </si>
  <si>
    <t>不明点は必ず締結前に質問</t>
  </si>
  <si>
    <t>不明点は必ず締結前に質問してください</t>
  </si>
  <si>
    <t>顧問弁護士のチェック推奨</t>
  </si>
  <si>
    <t>算定基礎届は年1回（7月）しか作成されません</t>
  </si>
  <si>
    <t>計画的に取得</t>
  </si>
  <si>
    <t>紙の場合は鮮明に撮影してください</t>
  </si>
  <si>
    <t>OCR読み取り精度向上</t>
  </si>
  <si>
    <t>精算見込額は確定額ではなく見込額です</t>
  </si>
  <si>
    <t>過度な期待を避ける</t>
  </si>
  <si>
    <t>追加書類は個人情報を含むため、適切に管理します</t>
  </si>
  <si>
    <t>セキュリティ対策徹底</t>
  </si>
  <si>
    <t>強制は絶対にしないでください</t>
  </si>
  <si>
    <t>任意参加の徹底</t>
  </si>
  <si>
    <t>デメリット（年金への影響）も正直に説明します</t>
  </si>
  <si>
    <t>透明性の確保</t>
  </si>
  <si>
    <t>従業員の理解と納得が最重要です</t>
  </si>
  <si>
    <t>丁寧な説明と対応</t>
  </si>
  <si>
    <t>審査期間中は特に御社でやることはほとんどありません</t>
  </si>
  <si>
    <t>待機のみ</t>
  </si>
  <si>
    <t>調査通知が来た場合は即座にご連絡します</t>
  </si>
  <si>
    <t>迅速な情報共有</t>
  </si>
  <si>
    <t>伊藤先生が組合内での助言として調査対応に同席します</t>
  </si>
  <si>
    <t>専門家サポート</t>
  </si>
  <si>
    <t>精算金は「雑収入」として処理します</t>
  </si>
  <si>
    <t>顧問税理士に相談</t>
  </si>
  <si>
    <t>従業員への配分は給与または賞与で支払います</t>
  </si>
  <si>
    <t>源泉徴収処理必要</t>
  </si>
  <si>
    <t>源泉徴収の処理が必要な場合があります</t>
  </si>
  <si>
    <t>税理士に確認</t>
  </si>
  <si>
    <t>新制度の実態を維持することが重要です</t>
  </si>
  <si>
    <t>継続的な運用</t>
  </si>
  <si>
    <t>形式的な運用にならないよう注意してください</t>
  </si>
  <si>
    <t>実態に基づく運用</t>
  </si>
  <si>
    <t>STEP6: 契約書類の完成</t>
  </si>
  <si>
    <t>シーン別トークスクリプトと反論処理パターン50を完全網羅</t>
  </si>
  <si>
    <t>第1部: 営業トークスクリプト</t>
  </si>
  <si>
    <t>既存人脈へのアプローチ</t>
  </si>
  <si>
    <t>○○さん、会社経営されている知人で、社会保険料の負担が重いって悩んでる社長さんいない？
過去に払いすぎた社会保険料を還付できるサービスがあって、初期費用0円で数千万円還付されるケースが多いんだ。
例えば従業員10名の会社だと、5,000万円還付されて、会社は1,500万円の利益、従業員も1人250万円もらえる。
完全に合法で、伊藤先生側・税理士・弁護士がチームでやるから安心。紹介してもらえないかな？</t>
  </si>
  <si>
    <t>初回アプローチ（紹介後）</t>
  </si>
  <si>
    <t>はじめまして、○○さんからご紹介いただきました△△です。
過去に払いすぎた社会保険料を還付できるサービスがありまして、初期費用0円で無料診断だけ受けていただけませんか？
算定基礎届を頂ければ、1週間で正確な還付見込額をお出しします。
従業員○名規模なら、会社の利益1,500万円〜、従業員1人200-300万円の還付が見込めます。</t>
  </si>
  <si>
    <t>プレゼン（強み訴求）</t>
  </si>
  <si>
    <t>当社の強みは3つあります。
①最大5年遡及が可能（多くの伊藤先生側は2年まで）
②完全成果報酬・初期費用0円
③伊藤先生側・税理士・弁護士のチーム体制
特に5年遡及は大きくて、還付金額が2.5倍になります。
御社の場合、シミュレーションすると…（画面を見せる）</t>
  </si>
  <si>
    <t>リスク対応</t>
  </si>
  <si>
    <t>よくある懸念にお答えしますね。
Q: 違法では？
A: 業務委託の実態があれば完全に合法です。形式だけは違法ですが、当社は実態構築を完全サポートします。
Q: 従業員の年金が減る？
A: 月額数百円程度減少しますが、200-300万円もらえるのでトータルでプラスです。</t>
  </si>
  <si>
    <t>いかがでしょうか？
初期費用0円なので、リスクはありません。
まずは無料診断で正確な金額をお出ししますので、算定基礎届（過去5年分）をご提出いただけますか？
1週間で詳細シミュレーションをお持ちします。</t>
  </si>
  <si>
    <t>第2部: 反論処理パターン50</t>
  </si>
  <si>
    <t>想定される反論とその返し方（暗唱推奨）</t>
  </si>
  <si>
    <t>反論</t>
  </si>
  <si>
    <t>返し方</t>
  </si>
  <si>
    <t>使用資料</t>
  </si>
  <si>
    <t>違法じゃないの？</t>
  </si>
  <si>
    <t>法的根拠は3つあります。①給与と報酬の併用は合法（判例3つ）②最低賃金法遵守③労働者性の要件クリア。詳しくはリーガルレポートをご覧ください。</t>
  </si>
  <si>
    <t>判例を具体的に</t>
  </si>
  <si>
    <t>リーガルレポート</t>
  </si>
  <si>
    <t>調査が来たら怖い</t>
  </si>
  <si>
    <t>調査対応は完全サポートします。年金事務所・労基署・税務署ごとのQ&amp;A自動生成、資料作成、必要なら同席も可能です。過去の調査実績もあります。</t>
  </si>
  <si>
    <t>安心感を与える</t>
  </si>
  <si>
    <t>調査対応マニュアル</t>
  </si>
  <si>
    <t>顧問社労士に反対される</t>
  </si>
  <si>
    <t>社労士さんの懸念は当然です。むしろ社労士さん同席で無料説明会を実施します。法的根拠と判例をお見せして、ご納得いただいてからスタートしましょう。</t>
  </si>
  <si>
    <t>対立しない</t>
  </si>
  <si>
    <t>社労士向け資料</t>
  </si>
  <si>
    <t>本当に削減できる？</t>
  </si>
  <si>
    <t>シミュレーションをご覧ください。月30万円の従業員で年間71万円削減。これは標準報酬月額の仕組み上、確実に削減できます。保険料率は法定なので数学的に確定します。</t>
  </si>
  <si>
    <t>数字で証明</t>
  </si>
  <si>
    <t>削減シミュレーター</t>
  </si>
  <si>
    <t>高くない？</t>
  </si>
  <si>
    <t>率直に言うと、高い/安いより回収できるかです。今の社会保険料負担（年間XX万円）と比較すると、初年度で回収できるケースが多いです。</t>
  </si>
  <si>
    <t>損失と比較</t>
  </si>
  <si>
    <t>契約で縛られたくない</t>
  </si>
  <si>
    <t>シンプルプランは最低期間なし。フルプランは1年ですが途中解約可能です。さらに初期費用は全額返金保証もあります。</t>
  </si>
  <si>
    <t>柔軟性を強調</t>
  </si>
  <si>
    <t>社内で検討したい</t>
  </si>
  <si>
    <t>もちろんです。検討のために無料診断結果を持ち帰り資料としてお渡しします。決裁者の方に「年間XX万円削減できる」と数字で説明できます。次回、いつ頃までにご連絡いただけますか？</t>
  </si>
  <si>
    <t>次回日程固定</t>
  </si>
  <si>
    <t>無料診断資料</t>
  </si>
  <si>
    <t>今は忙しい</t>
  </si>
  <si>
    <t>承知しました。ただ、忙しいのは社会保険料負担が原因ではないですか？今動けば3ヶ月後には削減が始まります。無料診断だけでも今やっておくと、動けるタイミングで即スタートできます。</t>
  </si>
  <si>
    <t>損失継続を意識</t>
  </si>
  <si>
    <t>ロードマップ</t>
  </si>
  <si>
    <t>ターゲット市場・代理店戦略を完全網羅</t>
  </si>
  <si>
    <t>中小企業の財務構造と社会保険料の実態</t>
  </si>
  <si>
    <t>■ 中小企業の財務構造</t>
  </si>
  <si>
    <t>割合</t>
  </si>
  <si>
    <t>金額例
（売上1億円の場合）</t>
  </si>
  <si>
    <t>説明</t>
  </si>
  <si>
    <t>売上</t>
  </si>
  <si>
    <t>100%</t>
  </si>
  <si>
    <t>年間売上高</t>
  </si>
  <si>
    <t>人件費</t>
  </si>
  <si>
    <t>55%</t>
  </si>
  <si>
    <t>5,500万円</t>
  </si>
  <si>
    <t>売上の55%を人件費が占める
中小企業の最大コスト</t>
  </si>
  <si>
    <t>社会保険料
（企業+個人）</t>
  </si>
  <si>
    <t>人件費の40%</t>
  </si>
  <si>
    <t>2,200万円</t>
  </si>
  <si>
    <t>人件費の約40%が社会保険料
企業負担+従業員負担の合計</t>
  </si>
  <si>
    <t>社会保険料
（企業固定費）</t>
  </si>
  <si>
    <t>売上の約20%</t>
  </si>
  <si>
    <t>企業固定費の約20%が社会保険料
削減余地が非常に大きい</t>
  </si>
  <si>
    <t>■ 社会保険料の将来予測</t>
  </si>
  <si>
    <t>年度</t>
  </si>
  <si>
    <t>倍率</t>
  </si>
  <si>
    <t>2024年比</t>
  </si>
  <si>
    <t>背景</t>
  </si>
  <si>
    <t>2024年</t>
  </si>
  <si>
    <t>1.0倍</t>
  </si>
  <si>
    <t>基準年</t>
  </si>
  <si>
    <t>現状の水準</t>
  </si>
  <si>
    <t>2040年</t>
  </si>
  <si>
    <t>1.4倍</t>
  </si>
  <si>
    <t>+40%</t>
  </si>
  <si>
    <t>高齢化社会の進展
若年層の負担が高齢者医療へ流れる構造</t>
  </si>
  <si>
    <t>■ ターゲット市場</t>
  </si>
  <si>
    <t>最低基準</t>
  </si>
  <si>
    <t>年間給与支払総額3,000万円以上</t>
  </si>
  <si>
    <t>一定規模以上の企業を対象
ROI確保のため</t>
  </si>
  <si>
    <t>建設業、介護福祉業などブルーカラー業界</t>
  </si>
  <si>
    <t>従業員数が多く、社会保険料削減効果が大きい
採用ブースト事業との相乗効果</t>
  </si>
  <si>
    <t>企業規模</t>
  </si>
  <si>
    <t>中小企業全般</t>
  </si>
  <si>
    <t>大企業は既に最適化済み
中小企業にこそ削減余地がある</t>
  </si>
  <si>
    <t>■ 削減効果のシミュレーション</t>
  </si>
  <si>
    <t>従業員数</t>
  </si>
  <si>
    <t>平均月給</t>
  </si>
  <si>
    <t>年間人件費</t>
  </si>
  <si>
    <t>削減見込額
（年間）</t>
  </si>
  <si>
    <t>小規模</t>
  </si>
  <si>
    <t>10名</t>
  </si>
  <si>
    <t>3,600万円</t>
  </si>
  <si>
    <t>408万円
（約11%削減）</t>
  </si>
  <si>
    <t>中規模</t>
  </si>
  <si>
    <t>30名</t>
  </si>
  <si>
    <t>40万円</t>
  </si>
  <si>
    <t>1億4,400万円</t>
  </si>
  <si>
    <t>1,200万円
（約8%削減）</t>
  </si>
  <si>
    <t>大規模</t>
  </si>
  <si>
    <t>100名</t>
  </si>
  <si>
    <t>35万円</t>
  </si>
  <si>
    <t>4億2,000万円</t>
  </si>
  <si>
    <t>3,500万円
（約8%削減）</t>
  </si>
  <si>
    <t>■ 営業トークへの活用</t>
  </si>
  <si>
    <t>データ</t>
  </si>
  <si>
    <t>人件費55%</t>
  </si>
  <si>
    <t>「御社の売上のうち、人件費はどのくらいの割合を占めていますか？
中小企業の平均は55%です。この人件費の大部分が社会保険料として流出しています」</t>
  </si>
  <si>
    <t>社保40%</t>
  </si>
  <si>
    <t>「人件費の約40%が社会保険料です。つまり、従業員に支払っている給与の4割が
社会保険料として消えているのです」</t>
  </si>
  <si>
    <t>固定費20%</t>
  </si>
  <si>
    <t>「企業の固定費の約20%が社会保険料です。これは家賃や光熱費よりも
大きなコストかもしれません」</t>
  </si>
  <si>
    <t>2040年1.4倍</t>
  </si>
  <si>
    <t>「2040年には社会保険料が現在の1.4倍になると予測されています。
今のうちに対策を講じないと、企業経営が圧迫される可能性があります」</t>
  </si>
  <si>
    <t>代理店展開における条件設定と情報開示の方針</t>
  </si>
  <si>
    <t>⚠️ 重要: 本情報は機密情報です。外部への開示は厳禁</t>
  </si>
  <si>
    <t>■ パートナー条件の設定</t>
  </si>
  <si>
    <t>パートナー名</t>
  </si>
  <si>
    <t>条件</t>
  </si>
  <si>
    <t>エンドへの説明</t>
  </si>
  <si>
    <t>バリュー社
（特別パートナー）</t>
  </si>
  <si>
    <t>3%</t>
  </si>
  <si>
    <t>最初の実証事例として協力
特別条件を提供</t>
  </si>
  <si>
    <t>「1%です」
（2%差額はバリュー社取得）</t>
  </si>
  <si>
    <t>その他代理店
（標準）</t>
  </si>
  <si>
    <t>1%</t>
  </si>
  <si>
    <t>全国展開の標準条件
統一料率で管理しやすい</t>
  </si>
  <si>
    <t>「全国一律1%です」</t>
  </si>
  <si>
    <t>■ 情報開示の方針</t>
  </si>
  <si>
    <t>開示対象</t>
  </si>
  <si>
    <t>開示内容</t>
  </si>
  <si>
    <t>開示しない内容</t>
  </si>
  <si>
    <t>パートナー間</t>
  </si>
  <si>
    <t>自社の条件のみ</t>
  </si>
  <si>
    <t>他のパートナーの条件</t>
  </si>
  <si>
    <t>条件の差を知ると不公平感が生じる
パートナー間の競争を避ける</t>
  </si>
  <si>
    <t>エンドユーザー</t>
  </si>
  <si>
    <t>「1%」と説明</t>
  </si>
  <si>
    <t>パートナーの取り分
実際の条件差</t>
  </si>
  <si>
    <t>エンドユーザーには統一料率と説明
シンプルでわかりやすい</t>
  </si>
  <si>
    <t>■ バリュー社特別条件の詳細</t>
  </si>
  <si>
    <t>3%（標準1%の3倍）</t>
  </si>
  <si>
    <t>最初の実証事例として協力
今週中に見積もり完成、年金事務所への同行を予定
従業員研修を実施して展開体制を構築</t>
  </si>
  <si>
    <t>差額の扱い</t>
  </si>
  <si>
    <t>エンドユーザーには「1%」と説明
実際の2%差額はバリュー社が取得
この差額について当協会は関知しない</t>
  </si>
  <si>
    <t>当面の間（将来的に見直しの可能性あり）</t>
  </si>
  <si>
    <t>■ 標準パートナー条件</t>
  </si>
  <si>
    <t>1%（全国一律）</t>
  </si>
  <si>
    <t>バリュー社以外の全ての代理店</t>
  </si>
  <si>
    <t>「全国どこでも1%の統一料率です」
「シンプルでわかりやすい料金体系です」</t>
  </si>
  <si>
    <t>■ パートナー展開のタイムライン</t>
  </si>
  <si>
    <t>フェーズ</t>
  </si>
  <si>
    <t>Phase 1
実証</t>
  </si>
  <si>
    <t>今週中〜
1ヶ月</t>
  </si>
  <si>
    <t>バリュー社での実証
見積もり完成、年金事務所同行
従業員研修実施</t>
  </si>
  <si>
    <t>成功事例の確立
展開ノウハウの蓄積</t>
  </si>
  <si>
    <t>Phase 2
初期展開</t>
  </si>
  <si>
    <t>2〜3ヶ月</t>
  </si>
  <si>
    <t>厳選した代理店10社程度
1%条件での展開</t>
  </si>
  <si>
    <t>100社の顧客獲得</t>
  </si>
  <si>
    <t>Phase 3
本格展開</t>
  </si>
  <si>
    <t>全国の代理店網を構築
1%条件で統一</t>
  </si>
  <si>
    <t>1,000社の顧客獲得
月3億円のサブスク収入</t>
  </si>
  <si>
    <t>■ ⚠️ 機密管理の徹底</t>
  </si>
  <si>
    <t>機密事項</t>
  </si>
  <si>
    <t>取扱方法</t>
  </si>
  <si>
    <t>パートナー条件の差</t>
  </si>
  <si>
    <t>絶対に外部に開示しない
社内でも限定された者のみが知る情報</t>
  </si>
  <si>
    <t>バリュー社3%</t>
  </si>
  <si>
    <t>バリュー社以外には一切開示しない
バリュー社にも「他社には1%」とのみ伝える</t>
  </si>
  <si>
    <t>全てのエンドユーザーに「1%」と統一して説明
例外なく統一</t>
  </si>
  <si>
    <t>🧮 シミュレーター＆ツール</t>
  </si>
  <si>
    <t>簡易版・詳細版・グラフ生成・計算式・使い方完全ガイド</t>
  </si>
  <si>
    <t>簡易版・詳細版・グラフ生成・計算式を完全網羅</t>
  </si>
  <si>
    <t>【STEP 1】基本情報を入力</t>
  </si>
  <si>
    <t>変更前標準報酬月額</t>
  </si>
  <si>
    <t>円</t>
  </si>
  <si>
    <t>例: 300,000円</t>
  </si>
  <si>
    <t>変更後標準報酬月額</t>
  </si>
  <si>
    <t>対象期間（月数）</t>
  </si>
  <si>
    <t>例: 260,000円</t>
  </si>
  <si>
    <t>例: 24ヶ月（2年分）</t>
  </si>
  <si>
    <t>名</t>
  </si>
  <si>
    <t>例: 10名</t>
  </si>
  <si>
    <t>【STEP 2】自動計算結果</t>
  </si>
  <si>
    <t>標準報酬月額の差額</t>
  </si>
  <si>
    <t>変更前 - 変更後</t>
  </si>
  <si>
    <t>月額削減額（1人）</t>
  </si>
  <si>
    <t>差額 × 28.28%</t>
  </si>
  <si>
    <t>年間削減額（1人）</t>
  </si>
  <si>
    <t>月額 × 12ヶ月</t>
  </si>
  <si>
    <t>【STEP 3】総還付金額</t>
  </si>
  <si>
    <t>総還付金額</t>
  </si>
  <si>
    <t>★これが還付される総額</t>
  </si>
  <si>
    <t>【STEP 4】還付金の配分（労使折半前提）</t>
  </si>
  <si>
    <t>配分率</t>
  </si>
  <si>
    <t>従業員への還付（50%）</t>
  </si>
  <si>
    <t>50%</t>
  </si>
  <si>
    <t>1人あたり =D20/B8</t>
  </si>
  <si>
    <t>弊社手数料（20%）</t>
  </si>
  <si>
    <t>会社の純利益（30%）</t>
  </si>
  <si>
    <t>会社に残る金額</t>
  </si>
  <si>
    <t>【参考】今後の継続的コスト削減</t>
  </si>
  <si>
    <t>月次削減額（全従業員）</t>
  </si>
  <si>
    <t>円/月</t>
  </si>
  <si>
    <t>毎月このコストが削減される</t>
  </si>
  <si>
    <t>年間削減額（全従業員）</t>
  </si>
  <si>
    <t>円/年</t>
  </si>
  <si>
    <t>年間でこのコストが削減される</t>
  </si>
  <si>
    <t>【参考】社会保険料率の内訳（東京都・2024年度）</t>
  </si>
  <si>
    <t>保険種類</t>
  </si>
  <si>
    <t>労使合計</t>
  </si>
  <si>
    <t>会社負担</t>
  </si>
  <si>
    <t>従業員負担</t>
  </si>
  <si>
    <t>標準報酬上限</t>
  </si>
  <si>
    <t>上限時保険料</t>
  </si>
  <si>
    <t>健康保険</t>
  </si>
  <si>
    <t>9.98%</t>
  </si>
  <si>
    <t>4.99%</t>
  </si>
  <si>
    <t>1,390,000円</t>
  </si>
  <si>
    <t>138,722円</t>
  </si>
  <si>
    <t>厚生年金</t>
  </si>
  <si>
    <t>18.30%</t>
  </si>
  <si>
    <t>9.15%</t>
  </si>
  <si>
    <t>650,000円</t>
  </si>
  <si>
    <t>118,950円</t>
  </si>
  <si>
    <t>28.28%</t>
  </si>
  <si>
    <t>14.14%</t>
  </si>
  <si>
    <t>※介護保険料（1.60%）、雇用保険、労災保険は含まれていません</t>
  </si>
  <si>
    <t>【計算例】従業員10名、標準報酬月額40,000円削減、24ヶ月遡及の場合</t>
  </si>
  <si>
    <t>ステップ1</t>
  </si>
  <si>
    <t>40,000円</t>
  </si>
  <si>
    <t>ステップ2</t>
  </si>
  <si>
    <t>40,000 × 28.28% = 11,312円</t>
  </si>
  <si>
    <t>ステップ3</t>
  </si>
  <si>
    <t>総還付額</t>
  </si>
  <si>
    <t>11,312 × 24ヶ月 × 10名 = 2,714,880円</t>
  </si>
  <si>
    <t>従業員還付（50%）</t>
  </si>
  <si>
    <t>1,357,440円（1人あたり135,744円）</t>
  </si>
  <si>
    <t>542,976円</t>
  </si>
  <si>
    <t>814,464円</t>
  </si>
  <si>
    <t>■ 計算式の説明</t>
  </si>
  <si>
    <t>セル</t>
  </si>
  <si>
    <t>数式</t>
  </si>
  <si>
    <t>B11（差額）</t>
  </si>
  <si>
    <t>変更前標準報酬月額 - 変更後標準報酬月額</t>
  </si>
  <si>
    <t>B12（月額削減額）</t>
  </si>
  <si>
    <t>差額 × 28.28%（健康保険9.98% + 厚生年金18.30%）</t>
  </si>
  <si>
    <t>B13（年間削減額）</t>
  </si>
  <si>
    <t>月額削減額 × 12ヶ月</t>
  </si>
  <si>
    <t>B16（総還付金額）</t>
  </si>
  <si>
    <t>月額削減額 × 対象期間（月） × 従業員数</t>
  </si>
  <si>
    <t>C20（従業員還付）</t>
  </si>
  <si>
    <t>総還付金額の50%</t>
  </si>
  <si>
    <t>C21（会社手数料）</t>
  </si>
  <si>
    <t>総還付金額の20%</t>
  </si>
  <si>
    <t>C22（会社利益）</t>
  </si>
  <si>
    <t>総還付金額の30%</t>
  </si>
  <si>
    <t>配分合計検証</t>
  </si>
  <si>
    <t>検証結果</t>
  </si>
  <si>
    <t>エラーチェック</t>
  </si>
  <si>
    <t>変更前&gt;変更後?</t>
  </si>
  <si>
    <t>差額は正の値?</t>
  </si>
  <si>
    <t>月数は1以上?</t>
  </si>
  <si>
    <t>人数は1以上?</t>
  </si>
  <si>
    <t>■ 弊社手数料20%の内訳</t>
  </si>
  <si>
    <t>組合（弊社）</t>
  </si>
  <si>
    <t>代理店なし</t>
  </si>
  <si>
    <t>代理店1%</t>
  </si>
  <si>
    <t>代理店3%</t>
  </si>
  <si>
    <t>■ 推奨設定: 最低等級（8.8万円）パターン</t>
  </si>
  <si>
    <t>なぜ最低等級が推奨か？</t>
  </si>
  <si>
    <t>最も安全でシンプルな方法です。社会保険をゼロにすると医療費の自己負担が発生するため、最低等級を維持することを推奨します。</t>
  </si>
  <si>
    <t>現在の給与</t>
  </si>
  <si>
    <t>300,000円</t>
  </si>
  <si>
    <t>↓変更後↓</t>
  </si>
  <si>
    <t>会社からの給与（最低等級）</t>
  </si>
  <si>
    <t>88,000円</t>
  </si>
  <si>
    <t>組合からの報酬</t>
  </si>
  <si>
    <t>212,000円</t>
  </si>
  <si>
    <t>合計（手取り）</t>
  </si>
  <si>
    <t>変わらず！</t>
  </si>
  <si>
    <t>【入力エリア】従業員情報（黄色セルに入力）</t>
  </si>
  <si>
    <t>No.</t>
  </si>
  <si>
    <t>従業員名</t>
  </si>
  <si>
    <t>役職・部署</t>
  </si>
  <si>
    <t>変更前
標準報酬月額</t>
  </si>
  <si>
    <t>変更後
標準報酬月額</t>
  </si>
  <si>
    <t>対象月数</t>
  </si>
  <si>
    <t>差額</t>
  </si>
  <si>
    <t>月額削減額
(1人)</t>
  </si>
  <si>
    <t>■ 集計結果</t>
  </si>
  <si>
    <t>入力従業員数</t>
  </si>
  <si>
    <t>従業員還付合計（50%）</t>
  </si>
  <si>
    <t>会社手数料合計（20%）</t>
  </si>
  <si>
    <t>★全従業員の合計還付額</t>
  </si>
  <si>
    <t>会社利益合計（30%）</t>
  </si>
  <si>
    <t>従業員全員への配分</t>
  </si>
  <si>
    <t>1人平均還付金額</t>
  </si>
  <si>
    <t>月額削減額合計</t>
  </si>
  <si>
    <t>年間削減額合計</t>
  </si>
  <si>
    <t>1人あたり平均還付額</t>
  </si>
  <si>
    <t>従業員1人あたり</t>
  </si>
  <si>
    <t>毎月の削減額</t>
  </si>
  <si>
    <t>年間の削減額</t>
  </si>
  <si>
    <t>組合（弊社）12-15%</t>
  </si>
  <si>
    <t>伊藤先生5%</t>
  </si>
  <si>
    <t>代理店0-3%</t>
  </si>
  <si>
    <t>（変動）</t>
  </si>
  <si>
    <t>H列（月額削減額）</t>
  </si>
  <si>
    <t>I列（個人総還付金）</t>
  </si>
  <si>
    <t>月額削減額 × 対象月数（個別設定可能）</t>
  </si>
  <si>
    <t>J列（従業員還付）</t>
  </si>
  <si>
    <t>個人総還付金の50%</t>
  </si>
  <si>
    <t>K列（会社手数料）</t>
  </si>
  <si>
    <t>個人総還付金の20%</t>
  </si>
  <si>
    <t>L列（会社利益）</t>
  </si>
  <si>
    <t>個人総還付金の30%</t>
  </si>
  <si>
    <t>M列（警告）</t>
  </si>
  <si>
    <t>IF条件</t>
  </si>
  <si>
    <t>変更後&gt;変更前の場合エラー、上限超過の警告</t>
  </si>
  <si>
    <t>このシートでは、詳細シミュレーターの結果を視覚化します。</t>
  </si>
  <si>
    <t>■ グラフの作り方</t>
  </si>
  <si>
    <t>1. 詳細シミュレーターシートで従業員情報を入力</t>
  </si>
  <si>
    <t>2. このシートに戻る</t>
  </si>
  <si>
    <t>3. 「挿入」タブ → 「グラフ」 → 「縦棒グラフ」を選択</t>
  </si>
  <si>
    <t>4. データ範囲を選択:</t>
  </si>
  <si>
    <t xml:space="preserve">   ・横軸: 詳細シミュレーター!B6:B105（従業員名）</t>
  </si>
  <si>
    <t xml:space="preserve">   ・縦軸: 詳細シミュレーター!I6:I105（個別総還付額）</t>
  </si>
  <si>
    <t>5. グラフタイトルを設定: 「従業員別還付金額」</t>
  </si>
  <si>
    <t>【ヒント】</t>
  </si>
  <si>
    <t>・還付金額の大きい順に並べ替えたい場合:</t>
  </si>
  <si>
    <t xml:space="preserve">  詳細シミュレーターで列Iをクリック → データ → 降順で並べ替え</t>
  </si>
  <si>
    <t>・特定の役職のみ表示したい場合:</t>
  </si>
  <si>
    <t xml:space="preserve">  詳細シミュレーターで列Cのフィルターを使用</t>
  </si>
  <si>
    <t>■ 並べ替えサンプル（還付金額TOP10）</t>
  </si>
  <si>
    <t>個別総還付額</t>
  </si>
  <si>
    <t>従業員還付額</t>
  </si>
  <si>
    <t>■ TOP10自動抽出</t>
  </si>
  <si>
    <t>還付金額</t>
  </si>
  <si>
    <t>グラフ</t>
  </si>
  <si>
    <t>💼 CS実務ガイド</t>
  </si>
  <si>
    <t>オンボーディング・案件管理・コミュニケーション・品質管理</t>
  </si>
  <si>
    <t>オンボーディング・案件管理・CS業務・コミュニケーションを完全網羅</t>
  </si>
  <si>
    <t>このシートでは、初回顧客を受け入れるために必要な準備を5つのフェーズで管理します。</t>
  </si>
  <si>
    <t>フェーズ名</t>
  </si>
  <si>
    <t>主要成果物</t>
  </si>
  <si>
    <t>成功基準</t>
  </si>
  <si>
    <t>基盤構築</t>
  </si>
  <si>
    <t>1-2週間</t>
  </si>
  <si>
    <t>顧客とコミュニケーションできる環境を整備</t>
  </si>
  <si>
    <t>LINE公式アカウント、書類提出フォーム、契約書</t>
  </si>
  <si>
    <t>顧客からの問い合わせに即座対応できる</t>
  </si>
  <si>
    <t>未着手</t>
  </si>
  <si>
    <t>営業基盤</t>
  </si>
  <si>
    <t>2-3週間</t>
  </si>
  <si>
    <t>見込み顧客を獲得し商談できる体制を構築</t>
  </si>
  <si>
    <t>Webサイト、提案書、見積書、営業資料</t>
  </si>
  <si>
    <t>月10件の商談を実施できる</t>
  </si>
  <si>
    <t>業務実行基盤</t>
  </si>
  <si>
    <t>3-4週間</t>
  </si>
  <si>
    <t>契約後の業務を遂行できる体制を整備</t>
  </si>
  <si>
    <t>伊藤先生側連携、還付申請フロー、進捗管理</t>
  </si>
  <si>
    <t>初回顧客の還付申請を完了できる</t>
  </si>
  <si>
    <t>Phase 4</t>
  </si>
  <si>
    <t>4-5週間</t>
  </si>
  <si>
    <t>ミス・トラブルを防ぐ仕組みを構築</t>
  </si>
  <si>
    <t>チェックリスト、エラー防止、顧客満足度調査</t>
  </si>
  <si>
    <t>顧客満足度80%以上</t>
  </si>
  <si>
    <t>Phase 5</t>
  </si>
  <si>
    <t>スケール準備</t>
  </si>
  <si>
    <t>5-6週間</t>
  </si>
  <si>
    <t>10社→50社へスケールできる体制を構築</t>
  </si>
  <si>
    <t>マニュアル整備、研修体制、KPI管理</t>
  </si>
  <si>
    <t>月間10社の契約を処理できる</t>
  </si>
  <si>
    <t>全体進捗</t>
  </si>
  <si>
    <t>0/12タスク完了</t>
  </si>
  <si>
    <t>0/15タスク完了</t>
  </si>
  <si>
    <t>0/10タスク完了</t>
  </si>
  <si>
    <t>0/8タスク完了</t>
  </si>
  <si>
    <t>0/55タスク完了</t>
  </si>
  <si>
    <t>■ ステータス凡例</t>
  </si>
  <si>
    <t>進行中</t>
  </si>
  <si>
    <t>■ 進捗率の計算方法</t>
  </si>
  <si>
    <t>1. H列（完了数）に完了したタスク数を手動入力</t>
  </si>
  <si>
    <t>2. I列（完了率）が自動計算される（完了数 ÷ 総タスク数）</t>
  </si>
  <si>
    <t>3. 全体進捗（行20）も自動集計される</t>
  </si>
  <si>
    <t>※黄色セルに情報を入力してください</t>
  </si>
  <si>
    <t>年収</t>
  </si>
  <si>
    <t>還付見込額</t>
  </si>
  <si>
    <t>契約日</t>
  </si>
  <si>
    <t>顧客のライフサイクル全体で価値を最大化し、継続率・紹介率を向上させるプログラムです。</t>
  </si>
  <si>
    <t>アクション</t>
  </si>
  <si>
    <t>成功指標</t>
  </si>
  <si>
    <t>【オンボーディング】</t>
  </si>
  <si>
    <t>契約後1日</t>
  </si>
  <si>
    <t>キックオフMTG開催</t>
  </si>
  <si>
    <t>全体スケジュール・役割分担の合意</t>
  </si>
  <si>
    <t>Zoom、Googleカレンダー</t>
  </si>
  <si>
    <t>MTG完了率100%</t>
  </si>
  <si>
    <t>契約後3日</t>
  </si>
  <si>
    <t>Larkフォーム案内</t>
  </si>
  <si>
    <t>必要書類の提出依頼</t>
  </si>
  <si>
    <t>Lark、LINE</t>
  </si>
  <si>
    <t>書類提出率80%</t>
  </si>
  <si>
    <t>契約後7日</t>
  </si>
  <si>
    <t>進捗確認MTG</t>
  </si>
  <si>
    <t>書類収集状況の確認</t>
  </si>
  <si>
    <t>LINE、電話</t>
  </si>
  <si>
    <t>進捗報告完了</t>
  </si>
  <si>
    <t>【実行サポート】</t>
  </si>
  <si>
    <t>毎週金曜</t>
  </si>
  <si>
    <t>週次進捗報告</t>
  </si>
  <si>
    <t>フェーズ別進捗の共有</t>
  </si>
  <si>
    <t>v11ファイル、LINE</t>
  </si>
  <si>
    <t>報告頻度100%</t>
  </si>
  <si>
    <t>申請前</t>
  </si>
  <si>
    <t>詳細シミュレーター共有</t>
  </si>
  <si>
    <t>従業員ごとの還付額確認</t>
  </si>
  <si>
    <t>3-5_詳細シミュレーター</t>
  </si>
  <si>
    <t>計算精度100%</t>
  </si>
  <si>
    <t>申請後</t>
  </si>
  <si>
    <t>年金事務所対応サポート</t>
  </si>
  <si>
    <t>照会・調査への対応</t>
  </si>
  <si>
    <t>伊藤先生側連携</t>
  </si>
  <si>
    <t>承認率95%+</t>
  </si>
  <si>
    <t>【還付完了】</t>
  </si>
  <si>
    <t>入金後3日</t>
  </si>
  <si>
    <t>還付完了報告</t>
  </si>
  <si>
    <t>入金確認と配分計算</t>
  </si>
  <si>
    <t>v11ファイル</t>
  </si>
  <si>
    <t>報告完了100%</t>
  </si>
  <si>
    <t>入金後7日</t>
  </si>
  <si>
    <t>従業員説明会サポート</t>
  </si>
  <si>
    <t>TOP10グラフで視覚的説明</t>
  </si>
  <si>
    <t>3-7_還付金グラフ</t>
  </si>
  <si>
    <t>説明会実施率80%</t>
  </si>
  <si>
    <t>入金後14日</t>
  </si>
  <si>
    <t>満足度アンケート</t>
  </si>
  <si>
    <t>NPS測定と改善点収集</t>
  </si>
  <si>
    <t>Google Forms</t>
  </si>
  <si>
    <t>NPS 50+</t>
  </si>
  <si>
    <t>【継続育成】</t>
  </si>
  <si>
    <t>四半期ごと</t>
  </si>
  <si>
    <t>法改正セミナー開催</t>
  </si>
  <si>
    <t>最新情報の提供</t>
  </si>
  <si>
    <t>Zoom、資料</t>
  </si>
  <si>
    <t>参加率60%+</t>
  </si>
  <si>
    <t>年次更新時</t>
  </si>
  <si>
    <t>年次効果レポート送付</t>
  </si>
  <si>
    <t>削減額・継続効果の可視化</t>
  </si>
  <si>
    <t>年次レポート</t>
  </si>
  <si>
    <t>更新率90%+</t>
  </si>
  <si>
    <t>新サービス案内</t>
  </si>
  <si>
    <t>給与再設計など追加提案</t>
  </si>
  <si>
    <t>LINE、メール</t>
  </si>
  <si>
    <t>クロスセル率30%</t>
  </si>
  <si>
    <t>【アドボカシー】</t>
  </si>
  <si>
    <t>還付完了後</t>
  </si>
  <si>
    <t>紹介依頼</t>
  </si>
  <si>
    <t>満足顧客からの紹介獲得</t>
  </si>
  <si>
    <t>紹介キャンペーン</t>
  </si>
  <si>
    <t>紹介率30%</t>
  </si>
  <si>
    <t>ケーススタディ作成</t>
  </si>
  <si>
    <t>成功事例の蓄積・活用</t>
  </si>
  <si>
    <t>Web掲載許可</t>
  </si>
  <si>
    <t>事例数10+</t>
  </si>
  <si>
    <t>顧客の声動画撮影</t>
  </si>
  <si>
    <t>営業資料への活用</t>
  </si>
  <si>
    <t>ビデオ撮影</t>
  </si>
  <si>
    <t>動画数5+</t>
  </si>
  <si>
    <t>📝 書類・契約テンプレート</t>
  </si>
  <si>
    <t>契約書・申請書・同意書・説明資料の完全セット</t>
  </si>
  <si>
    <t>契約書類・申請書類・データ管理・チェックリストを完全網羅</t>
  </si>
  <si>
    <t>リードから成約、継続まで顧客情報を一元管理します。黄色セルに入力してください。</t>
  </si>
  <si>
    <t>ID</t>
  </si>
  <si>
    <t>会社名</t>
  </si>
  <si>
    <t>担当者名</t>
  </si>
  <si>
    <t>電話</t>
  </si>
  <si>
    <t>メール</t>
  </si>
  <si>
    <t>LINE追加</t>
  </si>
  <si>
    <t>給与総額</t>
  </si>
  <si>
    <t>001</t>
  </si>
  <si>
    <t>山田太郎</t>
  </si>
  <si>
    <t>03-1234-5678</t>
  </si>
  <si>
    <t>yamada@sample.co.jp</t>
  </si>
  <si>
    <t>済</t>
  </si>
  <si>
    <t>18,000,000</t>
  </si>
  <si>
    <t>002</t>
  </si>
  <si>
    <t>003</t>
  </si>
  <si>
    <t>004</t>
  </si>
  <si>
    <t>005</t>
  </si>
  <si>
    <t>■ ステータス定義</t>
  </si>
  <si>
    <t>リード</t>
  </si>
  <si>
    <t>初回接触～商談前</t>
  </si>
  <si>
    <t>商談中</t>
  </si>
  <si>
    <t>商談実施～提案作成中</t>
  </si>
  <si>
    <t>提案済</t>
  </si>
  <si>
    <t>提案書提出～意思決定待ち</t>
  </si>
  <si>
    <t>成約</t>
  </si>
  <si>
    <t>契約締結完了</t>
  </si>
  <si>
    <t>失注</t>
  </si>
  <si>
    <t>商談不成立</t>
  </si>
  <si>
    <t>継続中</t>
  </si>
  <si>
    <t>契約履行中</t>
  </si>
  <si>
    <t>還付完了</t>
  </si>
  <si>
    <t>■ 集計</t>
  </si>
  <si>
    <t>総リード数</t>
  </si>
  <si>
    <t>総還付見込額</t>
  </si>
  <si>
    <t>■ 自動計算の説明</t>
  </si>
  <si>
    <t>1. I列（還付見込額）= G列（従業員数）× H列（給与総額）× 0.2828 × 24ヶ月</t>
  </si>
  <si>
    <t>2. 集計行では、リード数・商談中・提案済・成約数・成約率・総還付見込額を自動集計</t>
  </si>
  <si>
    <t>提出前の最終確認を徹底し、ミスを防止</t>
  </si>
  <si>
    <t>■ 書類提出前チェックリスト</t>
  </si>
  <si>
    <t>チェック内容</t>
  </si>
  <si>
    <t>確認者</t>
  </si>
  <si>
    <t>チェック</t>
  </si>
  <si>
    <t>会社名・住所・電話番号の正確性</t>
  </si>
  <si>
    <t>従業員データ</t>
  </si>
  <si>
    <t>氏名・生年月日・入社日の正確性</t>
  </si>
  <si>
    <t>給与データ</t>
  </si>
  <si>
    <t>基本給・手当の正確性</t>
  </si>
  <si>
    <t>計算結果</t>
  </si>
  <si>
    <t>シミュレーション結果の検証</t>
  </si>
  <si>
    <t>弁護士監査済みの確認</t>
  </si>
  <si>
    <t>添付書類</t>
  </si>
  <si>
    <t>必要書類の漏れがないか</t>
  </si>
  <si>
    <t>🏢 組織運営・拡大戦略</t>
  </si>
  <si>
    <t>代理店戦略・KPI管理・協会運営・研修プログラム</t>
  </si>
  <si>
    <t>協会運営・代理店・研修・マーケ・KPI・将来計画を完全網羅</t>
  </si>
  <si>
    <t>一般社団法人としての組合設立・運営の完全ガイド</t>
  </si>
  <si>
    <t>■ 組合設立のタイムライン</t>
  </si>
  <si>
    <t>必要なもの</t>
  </si>
  <si>
    <t>Phase 1
準備</t>
  </si>
  <si>
    <t>即日〜1週間</t>
  </si>
  <si>
    <t>協会員の募集
名簿の作成</t>
  </si>
  <si>
    <t>・協会員名簿（2名以上）
・組合規約（案）</t>
  </si>
  <si>
    <t>Phase 2
設立</t>
  </si>
  <si>
    <t>1日</t>
  </si>
  <si>
    <t>協会の設立
※法人登記前でも可能</t>
  </si>
  <si>
    <t>・協会員名簿
・組合規約（決定版）
・設立総会議事録</t>
  </si>
  <si>
    <t>Phase 3
運営開始</t>
  </si>
  <si>
    <t>即日〜</t>
  </si>
  <si>
    <t>組合活動の開始
協会員へのサービス提供</t>
  </si>
  <si>
    <t>・組合事務所（仮でもOK）
・連絡手段（LINE等）</t>
  </si>
  <si>
    <t>Phase 4
法人登記</t>
  </si>
  <si>
    <t>2週間〜1ヶ月</t>
  </si>
  <si>
    <t>一般社団法人の登記
ホームページ完成後</t>
  </si>
  <si>
    <t>・定款
・登記申請書
・印鑑証明書等</t>
  </si>
  <si>
    <t>司法書士</t>
  </si>
  <si>
    <t>■ 協会費の設定</t>
  </si>
  <si>
    <t>協会費</t>
  </si>
  <si>
    <t>最初の3ヶ月</t>
  </si>
  <si>
    <t>無料</t>
  </si>
  <si>
    <t>協会員を集めやすくする
事業の認知度を高める</t>
  </si>
  <si>
    <t>まずは協会員を増やす
サービスの価値を体験してもらう</t>
  </si>
  <si>
    <t>4ヶ月目以降</t>
  </si>
  <si>
    <t>月額XXX円
（検討中）</t>
  </si>
  <si>
    <t>協会の継続的な運営費を確保
質の高いサービスを提供</t>
  </si>
  <si>
    <t>協会の自立的な運営
協会員へのサポート強化</t>
  </si>
  <si>
    <t>精算額の15〜20%</t>
  </si>
  <si>
    <t>精算が実現した場合のみ発生
リスクゼロで導入可能</t>
  </si>
  <si>
    <t>協会の主要な収益源
成功報酬型で安心</t>
  </si>
  <si>
    <t>■ 協会員のメリット</t>
  </si>
  <si>
    <t>メリット</t>
  </si>
  <si>
    <t>価値</t>
  </si>
  <si>
    <t>専門家のサポート</t>
  </si>
  <si>
    <t>伊藤先生グループ（社労士、税理士、弁護士、行政書士）による組合内での助言</t>
  </si>
  <si>
    <t>個別に専門家と契約するより
大幅にコスト削減</t>
  </si>
  <si>
    <t>社会保険料の適正化</t>
  </si>
  <si>
    <t>過払い分の還付申請サポート
新しい給与制度の設計</t>
  </si>
  <si>
    <t>年間数百万円〜数千万円の
還付金を受け取れる可能性</t>
  </si>
  <si>
    <t>継続的なフォロー</t>
  </si>
  <si>
    <t>制度導入後の運用サポート
調査対応の完全サポート</t>
  </si>
  <si>
    <t>安心して新制度を運用できる</t>
  </si>
  <si>
    <t>追加サービス</t>
  </si>
  <si>
    <t>DC（確定拠出年金）
ゴーファンド
アクサ生命保険</t>
  </si>
  <si>
    <t>協会員限定の優遇条件
ワンストップで各種サービスを提供</t>
  </si>
  <si>
    <t>■ 法人登記前でも設立可能な理由</t>
  </si>
  <si>
    <t>根拠</t>
  </si>
  <si>
    <t>法人格は必須ではない</t>
  </si>
  <si>
    <t>組合（任意組合）は、法人格がなくても設立・運営が可能
民法上の協会として活動できる</t>
  </si>
  <si>
    <t>名簿があれば結成可能</t>
  </si>
  <si>
    <t>協会員名簿と組合規約があれば、協会として活動を開始できる
法人登記は後からでも可能</t>
  </si>
  <si>
    <t>経費計上の考え方</t>
  </si>
  <si>
    <t>法人登記前の経費も、登記後に法人の経費として計上可能
創立費として処理</t>
  </si>
  <si>
    <t>実務上のメリット</t>
  </si>
  <si>
    <t>法人登記を待たずに事業を開始できるため、スピード感を持って進められる</t>
  </si>
  <si>
    <t>■ 将来的な事業展開</t>
  </si>
  <si>
    <t>提供開始時期</t>
  </si>
  <si>
    <t>DC（確定拠出年金）</t>
  </si>
  <si>
    <t>企業型DC・個人型iDeCoの代理店
協会員企業への導入サポート</t>
  </si>
  <si>
    <t>ゴーファンド</t>
  </si>
  <si>
    <t>資金調達・融資サポート
事業拡大のための資金繰り支援</t>
  </si>
  <si>
    <t>アクサ生命保険</t>
  </si>
  <si>
    <t>生命保険・損害保険の代理店
協会員企業への優遇条件での提供</t>
  </si>
  <si>
    <t>リップル銀行連携</t>
  </si>
  <si>
    <t>EveryDayMoney概念の実装
年利14%の定期預金</t>
  </si>
  <si>
    <t>2025年8月予定</t>
  </si>
  <si>
    <t>Day 1：サービス理解（座学 4時間）</t>
  </si>
  <si>
    <t>時間</t>
  </si>
  <si>
    <t>テーマ</t>
  </si>
  <si>
    <t>学習内容</t>
  </si>
  <si>
    <t>教材</t>
  </si>
  <si>
    <t>確認方法</t>
  </si>
  <si>
    <t>60分</t>
  </si>
  <si>
    <t>サービス概要</t>
  </si>
  <si>
    <t>・社会保険料適正化の仕組み
・過去5年遡及の強み
・還付金の配分（労使折半）
・完全成果報酬の料金体系</t>
  </si>
  <si>
    <t>営業資料
P.1-6</t>
  </si>
  <si>
    <t>テストQ1-5</t>
  </si>
  <si>
    <t>6フェーズ理解</t>
  </si>
  <si>
    <t>・事前準備からアフターまでの流れ
・各フェーズの期間・成果物
・スイムレーン別の役割分担</t>
  </si>
  <si>
    <t>営業資料
P.7-10</t>
  </si>
  <si>
    <t>テストQ6-10</t>
  </si>
  <si>
    <t>45分</t>
  </si>
  <si>
    <t>還付金シミュレーション</t>
  </si>
  <si>
    <t>・計算ロジックの理解
・A社・B社・C社の事例暗記
・自動計算ツールの使い方</t>
  </si>
  <si>
    <t>営業資料
P.11-13</t>
  </si>
  <si>
    <t>テストQ11-15</t>
  </si>
  <si>
    <t>コンプライアンス</t>
  </si>
  <si>
    <t>・業務委託の実態構築
・違法と合法の境界線
・リスクと対策
・従業員年金への影響説明</t>
  </si>
  <si>
    <t>営業資料
P.19-21</t>
  </si>
  <si>
    <t>テストQ16-20</t>
  </si>
  <si>
    <t>30分</t>
  </si>
  <si>
    <t>営業トーク実践</t>
  </si>
  <si>
    <t>・既存人脈アプローチの台本
・初回アプローチの台本
・リスク対応の台本</t>
  </si>
  <si>
    <t>トーク
スクリプト</t>
  </si>
  <si>
    <t>ロープレ</t>
  </si>
  <si>
    <t>新規顧客獲得のための総合マーケティング戦略</t>
  </si>
  <si>
    <t>■ リード獲得施策</t>
  </si>
  <si>
    <t>施策</t>
  </si>
  <si>
    <t>ウェビナー</t>
  </si>
  <si>
    <t>月1回の無料セミナー開催</t>
  </si>
  <si>
    <t>50名参加</t>
  </si>
  <si>
    <t>コンテンツマーケ</t>
  </si>
  <si>
    <t>ブログ・SNS発信</t>
  </si>
  <si>
    <t>月間1万PV</t>
  </si>
  <si>
    <t>紹介プログラム</t>
  </si>
  <si>
    <t>既存顧客からの紹介</t>
  </si>
  <si>
    <t>月10件</t>
  </si>
  <si>
    <t>DM送付</t>
  </si>
  <si>
    <t>ターゲット企業へDM</t>
  </si>
  <si>
    <t>月100社</t>
  </si>
  <si>
    <t>目標管理・財務管理・KPI分析を1箇所で完結</t>
  </si>
  <si>
    <t>第1部: 目標管理</t>
  </si>
  <si>
    <t>【営業活動KPI】</t>
  </si>
  <si>
    <t>指標</t>
  </si>
  <si>
    <t>アプローチ数</t>
  </si>
  <si>
    <t>無料診断実施</t>
  </si>
  <si>
    <t>契約数</t>
  </si>
  <si>
    <t>契約率</t>
  </si>
  <si>
    <t>【売上KPI】</t>
  </si>
  <si>
    <t>月次売上（万円）</t>
  </si>
  <si>
    <t>累積売上（万円）</t>
  </si>
  <si>
    <t>初期費用ゼロ・完全成果報酬型のキャッシュフロー。運転資金リスクはほぼゼロです。</t>
  </si>
  <si>
    <t>段階</t>
  </si>
  <si>
    <t>入金/支出</t>
  </si>
  <si>
    <t>金額例</t>
  </si>
  <si>
    <t>累積CF</t>
  </si>
  <si>
    <t>①契約</t>
  </si>
  <si>
    <t>0ヶ月</t>
  </si>
  <si>
    <t>±0</t>
  </si>
  <si>
    <t>0</t>
  </si>
  <si>
    <t>初期費用なし</t>
  </si>
  <si>
    <t>顧問契約・業務委託契約</t>
  </si>
  <si>
    <t>②組合入会</t>
  </si>
  <si>
    <t>協会費は申請時に支払</t>
  </si>
  <si>
    <t>入会のみ、費用なし</t>
  </si>
  <si>
    <t>③書類提出</t>
  </si>
  <si>
    <t>0-2週</t>
  </si>
  <si>
    <t>Larkフォームで提出</t>
  </si>
  <si>
    <t>費用なし</t>
  </si>
  <si>
    <t>④分析</t>
  </si>
  <si>
    <t>2-3週</t>
  </si>
  <si>
    <t>伊藤先生が分析</t>
  </si>
  <si>
    <t>顧問料なし</t>
  </si>
  <si>
    <t>⑤プラン提示</t>
  </si>
  <si>
    <t>1ヶ月</t>
  </si>
  <si>
    <t>申請希望の確認</t>
  </si>
  <si>
    <t>希望しない場合はここで終了</t>
  </si>
  <si>
    <t>⑥制度導入</t>
  </si>
  <si>
    <t>1-2ヶ月</t>
  </si>
  <si>
    <t>業務実行フェーズ</t>
  </si>
  <si>
    <t>⑦申請</t>
  </si>
  <si>
    <t>2ヶ月</t>
  </si>
  <si>
    <t>入金</t>
  </si>
  <si>
    <t>+10万</t>
  </si>
  <si>
    <t>協会費を顧客から受領</t>
  </si>
  <si>
    <t>1人1万円×10名など</t>
  </si>
  <si>
    <t>⑧承認待ち</t>
  </si>
  <si>
    <t>2-5ヶ月</t>
  </si>
  <si>
    <t>審査期間</t>
  </si>
  <si>
    <t>支出なし</t>
  </si>
  <si>
    <t>⑨還付入金</t>
  </si>
  <si>
    <t>5ヶ月</t>
  </si>
  <si>
    <t>通過</t>
  </si>
  <si>
    <t>1,000万</t>
  </si>
  <si>
    <t>顧客口座に100%入金</t>
  </si>
  <si>
    <t>弊社口座は通過しない</t>
  </si>
  <si>
    <t>⑩配分・支払</t>
  </si>
  <si>
    <t>+200万</t>
  </si>
  <si>
    <t>+210万</t>
  </si>
  <si>
    <t>弊社手数料20%を受領</t>
  </si>
  <si>
    <t>内訳: 組合12-15% + 伊藤先生5% + 代理店0-3%</t>
  </si>
  <si>
    <t xml:space="preserve">　従業員配分</t>
  </si>
  <si>
    <t>-500万</t>
  </si>
  <si>
    <t>顧客が従業員に支払</t>
  </si>
  <si>
    <t>弊社は関与せず</t>
  </si>
  <si>
    <t xml:space="preserve">　伊藤先生</t>
  </si>
  <si>
    <t>支出</t>
  </si>
  <si>
    <t>-50万</t>
  </si>
  <si>
    <t>+160万</t>
  </si>
  <si>
    <t>伊藤先生に5%支払</t>
  </si>
  <si>
    <t>成果報酬のみ</t>
  </si>
  <si>
    <t xml:space="preserve">　代理店</t>
  </si>
  <si>
    <t>-30万</t>
  </si>
  <si>
    <t>+130万</t>
  </si>
  <si>
    <t>代理店に3%支払</t>
  </si>
  <si>
    <t>代理店ありの場合のみ</t>
  </si>
  <si>
    <t xml:space="preserve">　組合利益</t>
  </si>
  <si>
    <t>組合（弊社）の利益</t>
  </si>
  <si>
    <t>12-15%</t>
  </si>
  <si>
    <t>■ キャッシュフローの特徴</t>
  </si>
  <si>
    <t>✓ 初期費用ゼロ: 契約～申請まで一切の支出なし</t>
  </si>
  <si>
    <t>✓ 協会費は申請時に受領: 顧客から直接受領するため持ち出しなし</t>
  </si>
  <si>
    <t>✓ 伊藤先生の成果報酬なし: 成果報酬の5%のみで運転資金不要</t>
  </si>
  <si>
    <t>✓ 運転資金リスクほぼゼロ: 最大でも協会費10万円程度のみ</t>
  </si>
  <si>
    <t>✓ 還付金は顧客口座へ直接: 弊社口座を通過せず税務リスクなし</t>
  </si>
  <si>
    <t>対象期間：2025年1月〜12月　｜　年間売上目標：3億円（案件30社想定）</t>
  </si>
  <si>
    <t>【ビジネスモデル】</t>
  </si>
  <si>
    <t>0円（完全成果報酬制）</t>
  </si>
  <si>
    <t>還付額の15-20%</t>
  </si>
  <si>
    <t>月額XX,XXX円</t>
  </si>
  <si>
    <t>平均案件単価</t>
  </si>
  <si>
    <t>1,000万円（想定）</t>
  </si>
  <si>
    <t>【KGI（年間目標）】</t>
  </si>
  <si>
    <t>達成率</t>
  </si>
  <si>
    <t>年間売上</t>
  </si>
  <si>
    <t>30社</t>
  </si>
  <si>
    <t>15億円</t>
  </si>
  <si>
    <t>1,000社達成への道と次の展開</t>
  </si>
  <si>
    <t>■ 1,000社達成への道</t>
  </si>
  <si>
    <t>主要施策</t>
  </si>
  <si>
    <t>実証・初期体制構築</t>
  </si>
  <si>
    <t>代理店10社展開</t>
  </si>
  <si>
    <t>■ 組織拡大計画</t>
  </si>
  <si>
    <t>人員</t>
  </si>
  <si>
    <t>体制</t>
  </si>
  <si>
    <t>5名</t>
  </si>
  <si>
    <t>創業メンバー</t>
  </si>
  <si>
    <t>6ヶ月後</t>
  </si>
  <si>
    <t>20名</t>
  </si>
  <si>
    <t>営業10名・CS10名</t>
  </si>
  <si>
    <t>12ヶ月後</t>
  </si>
  <si>
    <t>50名</t>
  </si>
  <si>
    <t>全国支社展開</t>
  </si>
  <si>
    <t>📚 リファレンス</t>
  </si>
  <si>
    <t>用語集・法律解説・FAQ・連絡先・変更履歴</t>
  </si>
  <si>
    <t>用語集・法律解説・計算式・素材・連絡先・日程・履歴を完全網羅</t>
  </si>
  <si>
    <t>9ステップ導線で頻出する重要用語を理解する</t>
  </si>
  <si>
    <t>用語</t>
  </si>
  <si>
    <t>使用場面</t>
  </si>
  <si>
    <t>プロメシウム構想</t>
  </si>
  <si>
    <t>価値評価報酬制度のこと。時間ではなく、生み出した価値で評価する新しい人事評価制度。固定給（最低賃金ベース）と成果報酬を組み合わせた報酬体系。</t>
  </si>
  <si>
    <t>STEP 1, 5, 6
営業説明、制度設計</t>
  </si>
  <si>
    <t>従業員から取得する同意書。新しい人事評価制度への移行と、遡及した日付での制度適用に同意してもらう書類。任意参加を徹底することが重要。</t>
  </si>
  <si>
    <t>STEP 6
従業員同意取得</t>
  </si>
  <si>
    <t>過誤申立</t>
  </si>
  <si>
    <t>過去の社会保険料の報酬月額に誤りがあった場合、年金事務所に訂正を申し立てる手続き。当協会では最大5年分の遡及が可能（通常の社労士は2年まで）。</t>
  </si>
  <si>
    <t>STEP 7
年金事務所申請</t>
  </si>
  <si>
    <t>組合内での助言</t>
  </si>
  <si>
    <t>伊藤先生グループ（社労士、税理士、弁護士、行政書士）が、一般社団法人○○協会の協会員企業に対して提供する助言・サポート。個別の専門家契約ではなく、協会としての支援という位置づけ。</t>
  </si>
  <si>
    <t>STEP 6, 7
説明会、申請サポート</t>
  </si>
  <si>
    <t>算定基礎届</t>
  </si>
  <si>
    <t>毎年7月に作成される、社会保険の標準報酬月額を決定するための書類。過去5年分が試算に必要。社労士が保管していることが多い。</t>
  </si>
  <si>
    <t>STEP 4
初回書類提出</t>
  </si>
  <si>
    <t>源泉徴収簿</t>
  </si>
  <si>
    <t>年間の給与と源泉徴収税額を記録した書類。過去5年分が試算に必要。経理部門または顧問税理士が保管。</t>
  </si>
  <si>
    <t>精算額の15〜20%。精算が実現した場合のみ発生する報酬体系で、初期費用はゼロ。リスクゼロで導入可能。</t>
  </si>
  <si>
    <t>STEP 1, 8
営業、報酬支払い</t>
  </si>
  <si>
    <t>LINE連携</t>
  </si>
  <si>
    <t>初回営業時にLINE公式アカウントを友達追加すること。今後のやり取りが迅速になり、書類提出や質問への回答がスムーズになる。</t>
  </si>
  <si>
    <t>STEP 1
営業</t>
  </si>
  <si>
    <t>段階的書類提出</t>
  </si>
  <si>
    <t>初回は算定基礎届と源泉徴収簿の2点のみで試算。プラン同意後に追加書類（雇用契約書、賃金台帳、就業規則・給与規程）を提出する方式。クライアント負担を軽減。</t>
  </si>
  <si>
    <t>STEP 4, 5
書類提出、分析</t>
  </si>
  <si>
    <t>ROI（投資対効果）</t>
  </si>
  <si>
    <t>Return On Investmentの略。投資額に対する利益の割合。本サービスでは、成果報酬に対する精算額の比率で計算。</t>
  </si>
  <si>
    <t>STEP 5
適正化プラン提示</t>
  </si>
  <si>
    <t>従業員説明会</t>
  </si>
  <si>
    <t>新しい人事評価制度について従業員に説明する会。個別シミュレーションを提示し、メリット・デメリットを正直に説明。任意参加を徹底する。</t>
  </si>
  <si>
    <t>成果報酬部分について、従業員と締結する契約。労働者性を否定するために必要（場合により）。</t>
  </si>
  <si>
    <t>STEP 6
新給与制度導入</t>
  </si>
  <si>
    <t>年金事務所に提出する、過去の報酬月額の訂正を申し立てる書類。伊藤先生が作成・確認を行う。</t>
  </si>
  <si>
    <t>年金事務所が過誤申立を審査する期間。通常3〜6ヶ月。この間クライアントは待機のみ。</t>
  </si>
  <si>
    <t>STEP 7
申請後</t>
  </si>
  <si>
    <t>精算金</t>
  </si>
  <si>
    <t>過去の社会保険料が過払いだった場合に返還される金額。会社の社会保険料納付口座に振り込まれる。</t>
  </si>
  <si>
    <t>STEP 8
還付金受取</t>
  </si>
  <si>
    <t>従業員配分</t>
  </si>
  <si>
    <t>精算金の一部を従業員に返還すること。任意だが推奨。給与または賞与で支払う。</t>
  </si>
  <si>
    <t>定期フォローMTG</t>
  </si>
  <si>
    <t>新給与制度導入後、四半期に1回実施する定期ミーティング。制度の運用状況を確認し、最適化を継続。</t>
  </si>
  <si>
    <t>STEP 9
継続運用</t>
  </si>
  <si>
    <t>新給与制度導入後の継続的な運用サポート。任意だが、調査リスク軽減のため推奨。</t>
  </si>
  <si>
    <t>厚生労働省「同一労働同一賃金ガイドライン」を営業の根拠として活用</t>
  </si>
  <si>
    <t>■ ガイドラインの概要</t>
  </si>
  <si>
    <t>本サービスとの関連性</t>
  </si>
  <si>
    <t>営業トークでの使い方</t>
  </si>
  <si>
    <t>短時間・有期雇用労働者及び派遣労働者に対する不合理な待遇の禁止等に関する指針</t>
  </si>
  <si>
    <t>正規・非正規の待遇格差を是正する国の方針</t>
  </si>
  <si>
    <t>「国も正規・非正規の待遇均一化を推進しています」</t>
  </si>
  <si>
    <t>基本的考え方</t>
  </si>
  <si>
    <t>同一企業内において、正規雇用労働者と非正規雇用労働者の間で、基本給や賞与などあらゆる待遇について不合理な待遇差を設けることを禁止</t>
  </si>
  <si>
    <t>雇用形態による差別的な取扱いの禁止</t>
  </si>
  <si>
    <t>「同じ仕事をしているのに待遇が違うのは問題です」</t>
  </si>
  <si>
    <t>対象となる待遇</t>
  </si>
  <si>
    <t>基本給、賞与、各種手当（通勤手当、家族手当等）、福利厚生、教育訓練、安全管理</t>
  </si>
  <si>
    <t>給与・報酬体系の見直しが必要</t>
  </si>
  <si>
    <t>「待遇の見直しは企業の義務です」</t>
  </si>
  <si>
    <t>施行日</t>
  </si>
  <si>
    <t>2020年4月1日（中小企業は2021年4月1日）</t>
  </si>
  <si>
    <t>すでに施行済み→対応が遅れている企業が多い</t>
  </si>
  <si>
    <t>「既に施行から数年経過していますが、対応できていますか？」</t>
  </si>
  <si>
    <t>■ 雇用契約と業務委託契約の定義の曖昧さ</t>
  </si>
  <si>
    <t>問題点</t>
  </si>
  <si>
    <t>営業での活用</t>
  </si>
  <si>
    <t>定義が曖昧なケース</t>
  </si>
  <si>
    <t>契約書上は「雇用契約」だが、実態は業務委託のような働き方をしている従業員が多数存在</t>
  </si>
  <si>
    <t>・成果報酬型の営業職
・プロジェクト単位で働くエンジニア
・歩合制のドライバー</t>
  </si>
  <si>
    <t>「御社の従業員の中に、このような働き方の方はいませんか？」</t>
  </si>
  <si>
    <t>社会保険料の過払い</t>
  </si>
  <si>
    <t>実態が業務委託であるにもかかわらず、雇用契約として社会保険料を支払っている場合、過払いとなっている可能性</t>
  </si>
  <si>
    <t>月給30万円の従業員が実は業務委託
→過去5年で約710万円の過払い</t>
  </si>
  <si>
    <t>「実態に合わせて契約を見直すと、還付を受けられます」</t>
  </si>
  <si>
    <t>労働者性の判断</t>
  </si>
  <si>
    <t>厚労省の「労働者性の判断基準」により、雇用契約か業務委託契約かを実態で判断</t>
  </si>
  <si>
    <t>・指揮命令の有無
・時間的場所的拘束の有無
・報酬の労務対償性</t>
  </si>
  <si>
    <t>「形式ではなく、実態で判断されます」</t>
  </si>
  <si>
    <t>■ 営業トークでの活用方法</t>
  </si>
  <si>
    <t>アイスブレイク</t>
  </si>
  <si>
    <t>「厚生労働省が2020年に『同一労働同一賃金ガイドライン』を施行したのはご存知ですか？正規・非正規の待遇格差を是正するという国の方針です」</t>
  </si>
  <si>
    <t>国の方針であることを強調
信頼性を高める</t>
  </si>
  <si>
    <t>課題提起</t>
  </si>
  <si>
    <t>「御社では、雇用契約と業務委託契約の区別が曖昧になっている従業員はいませんか？実は多くの企業で、実態は業務委託なのに雇用契約として処理しているケースが見られます」</t>
  </si>
  <si>
    <t>曖昧さの問題を指摘
「うちも該当するかも」と思わせる</t>
  </si>
  <si>
    <t>問題の深刻化</t>
  </si>
  <si>
    <t>「この場合、社会保険料を過払いしている可能性があります。月給30万円の従業員で年間約142万円、過去5年で710万円もの過払いです」</t>
  </si>
  <si>
    <t>具体的な金額で
インパクトを与える</t>
  </si>
  <si>
    <t>解決策の提示</t>
  </si>
  <si>
    <t>「当協会では、雇用契約と業務委託契約の実態を精査し、適正な契約形態に見直すサポートを行っています。過払い分は還付申請が可能です」</t>
  </si>
  <si>
    <t>解決策を明確に提示
安心感を与える</t>
  </si>
  <si>
    <t>「まずは無料診断で、御社にどれくらいの還付可能性があるか試算させていただけませんか？」</t>
  </si>
  <si>
    <t>無料診断で
ハードルを下げる</t>
  </si>
  <si>
    <t>■ 注意点</t>
  </si>
  <si>
    <t>「絶対に還付される」とは言わない</t>
  </si>
  <si>
    <t>審査結果によっては還付されない可能性もあるため、断定表現は避ける</t>
  </si>
  <si>
    <t>「違法な契約だった」とは言わない</t>
  </si>
  <si>
    <t>顧客企業を責めるような表現は避け、「実態に合わせた適正化」という前向きな表現を使う</t>
  </si>
  <si>
    <t>ガイドラインを正確に理解する</t>
  </si>
  <si>
    <t>ガイドラインの内容を誤って説明すると信頼を失うため、正確な理解が必須</t>
  </si>
  <si>
    <t>━━━ 計算式詳細解説 ━━━</t>
  </si>
  <si>
    <t>■ 基本計算式</t>
  </si>
  <si>
    <t>還付額 = (変更前標準報酬月額 - 変更後標準報酬月額)</t>
  </si>
  <si>
    <t xml:space="preserve">         × 28.28%</t>
  </si>
  <si>
    <t xml:space="preserve">         × 対象月数</t>
  </si>
  <si>
    <t xml:space="preserve">         × 雇用者数</t>
  </si>
  <si>
    <t>■ 料率の詳細（東京都・2024年度）</t>
  </si>
  <si>
    <t>【健康保険（東京都・協会けんぽ）】</t>
  </si>
  <si>
    <t>・料率: 9.98%（労使合計）</t>
  </si>
  <si>
    <t>・会社負担: 4.99%</t>
  </si>
  <si>
    <t>・従業員負担: 4.99%</t>
  </si>
  <si>
    <t>・標準報酬月額上限: 1,390,000円</t>
  </si>
  <si>
    <t>・上限時の保険料: 138,722円/月</t>
  </si>
  <si>
    <t>【厚生年金保険】</t>
  </si>
  <si>
    <t>・料率: 18.30%（労使合計）</t>
  </si>
  <si>
    <t>・会社負担: 9.15%</t>
  </si>
  <si>
    <t>・従業員負担: 9.15%</t>
  </si>
  <si>
    <t>・標準報酬月額上限: 650,000円</t>
  </si>
  <si>
    <t>・上限時の保険料: 118,950円/月</t>
  </si>
  <si>
    <t>【合計】</t>
  </si>
  <si>
    <t>・28.28%（労使合計）← この数字を計算に使用</t>
  </si>
  <si>
    <t>・会社負担: 14.14%</t>
  </si>
  <si>
    <t>・従業員負担: 14.14%</t>
  </si>
  <si>
    <t>※介護保険(1.60%)は含まない</t>
  </si>
  <si>
    <t>※雇用保険・労災保険も含まない</t>
  </si>
  <si>
    <t>■ 計算の流れ（4ステップ）</t>
  </si>
  <si>
    <t>【ステップ1】標準報酬月額の差額を計算</t>
  </si>
  <si>
    <t>差額 = 変更前標準報酬月額 - 変更後標準報酬月額</t>
  </si>
  <si>
    <t>【ステップ2】1人あたりの月額削減額を計算</t>
  </si>
  <si>
    <t>月額削減額 = 差額 × 28.28%</t>
  </si>
  <si>
    <t>【ステップ3】総還付額を計算</t>
  </si>
  <si>
    <t>総還付額 = 月額削減額 × 対象月数 × 雇用者数</t>
  </si>
  <si>
    <t>【ステップ4】配分を計算</t>
  </si>
  <si>
    <t>従業員50% + 弊社20% + 会社30%</t>
  </si>
  <si>
    <t>■ 重要な注意事項</t>
  </si>
  <si>
    <t>1. **28.28%は労使合計の料率**</t>
  </si>
  <si>
    <t xml:space="preserve">   ・会社が還付を受ける場合: 会社負担分14.14%のみ</t>
  </si>
  <si>
    <t xml:space="preserve">   ・従業員も含めた総削減額: 労使合計28.28%</t>
  </si>
  <si>
    <t>2. **介護保険料は含まれていない**</t>
  </si>
  <si>
    <t xml:space="preserve">   ・40-64歳の従業員がいる場合でも、この計算式では考慮しない</t>
  </si>
  <si>
    <t xml:space="preserve">   ・別途計算が必要な場合は介護保険料率1.60%を加算</t>
  </si>
  <si>
    <t>3. **過去に遡って還付を受ける場合**</t>
  </si>
  <si>
    <t xml:space="preserve">   ・その年度の料率を使用すること</t>
  </si>
  <si>
    <t xml:space="preserve">   ・料率は年度ごとに変更される可能性がある</t>
  </si>
  <si>
    <t>4. **標準報酬月額の上限に注意**</t>
  </si>
  <si>
    <t xml:space="preserve">   ・健康保険: 1,390,000円</t>
  </si>
  <si>
    <t xml:space="preserve">   ・厚生年金: 650,000円</t>
  </si>
  <si>
    <t xml:space="preserve">   ・上限を超える場合は上限額で計算</t>
  </si>
  <si>
    <t>■ エビデンス（公式ソース）</t>
  </si>
  <si>
    <t>【健康保険料率】</t>
  </si>
  <si>
    <t>協会けんぽ東京支部</t>
  </si>
  <si>
    <t>https://www.kyoukaikenpo.or.jp/~/media/Files/shared/hokenryouritu/r6/leaflet/r60207tokyo.pdf</t>
  </si>
  <si>
    <t>【厚生年金保険料率】</t>
  </si>
  <si>
    <t>日本年金機構</t>
  </si>
  <si>
    <t>https://www.nenkin.go.jp/service/kounen/hokenryo/ryogaku/ryogakuhyo/index.html</t>
  </si>
  <si>
    <t>【標準報酬月額表】</t>
  </si>
  <si>
    <t>https://www.nenkin.go.jp/service/kounen/hokenryo-gaku/gakuhyo/index.html</t>
  </si>
  <si>
    <t>━━━ 計算式検証 ━━━</t>
  </si>
  <si>
    <t>このシートでは、社会保険料の計算式が正確かどうかを検証します。</t>
  </si>
  <si>
    <t>■ 社会保険料率の確認</t>
  </si>
  <si>
    <t>料率</t>
  </si>
  <si>
    <t>労使折半</t>
  </si>
  <si>
    <t>健康保険（介護保険含む）</t>
  </si>
  <si>
    <t>折半</t>
  </si>
  <si>
    <t>協会けんぽ東京都（2024年度）</t>
  </si>
  <si>
    <t>40歳以上は介護保険含む</t>
  </si>
  <si>
    <t>厚生年金保険</t>
  </si>
  <si>
    <t>厚生年金保険法</t>
  </si>
  <si>
    <t>2017年9月以降固定</t>
  </si>
  <si>
    <t>弊社サービスの削減率根拠</t>
  </si>
  <si>
    <t>■ 計算式の検証</t>
  </si>
  <si>
    <t>【入力データ】</t>
  </si>
  <si>
    <t>【計算結果】</t>
  </si>
  <si>
    <t>計算項目</t>
  </si>
  <si>
    <t>計算式</t>
  </si>
  <si>
    <t>結果</t>
  </si>
  <si>
    <t>v13との一致</t>
  </si>
  <si>
    <t>①差額</t>
  </si>
  <si>
    <t>②月額削減額（1人）</t>
  </si>
  <si>
    <t>28.28%を乗算</t>
  </si>
  <si>
    <t>③年間削減額（1人）</t>
  </si>
  <si>
    <t>12ヶ月分</t>
  </si>
  <si>
    <t>④総還付金額</t>
  </si>
  <si>
    <t>月額削減額×月数×人数</t>
  </si>
  <si>
    <t>⑤従業員還付（50%）</t>
  </si>
  <si>
    <t>総還付金の50%</t>
  </si>
  <si>
    <t>⑥会社手数料（20%）</t>
  </si>
  <si>
    <t>総還付金の20%</t>
  </si>
  <si>
    <t>⑦会社利益（30%）</t>
  </si>
  <si>
    <t>総還付金の30%</t>
  </si>
  <si>
    <t>⑧配分合計</t>
  </si>
  <si>
    <t>100%になるか確認</t>
  </si>
  <si>
    <t>■ Googleスプレッドシートとの比較</t>
  </si>
  <si>
    <t>【比較手順】</t>
  </si>
  <si>
    <t>1. Googleスプレッドシートで同じデータ（変更前300,000円、変更後260,000円、24ヶ月、10名）を入力</t>
  </si>
  <si>
    <t>2. Googleスプレッドシートの計算結果をこのシートのF列に手動入力</t>
  </si>
  <si>
    <t>3. C列（v13の結果）とF列（Googleの結果）を比較</t>
  </si>
  <si>
    <t>4. 差異がある場合は原因を調査</t>
  </si>
  <si>
    <t>【比較結果】</t>
  </si>
  <si>
    <t>v13の結果</t>
  </si>
  <si>
    <t>Googleの結果</t>
  </si>
  <si>
    <t>差異</t>
  </si>
  <si>
    <t>一致判定</t>
  </si>
  <si>
    <t>月額削減額</t>
  </si>
  <si>
    <t>年間削減額</t>
  </si>
  <si>
    <t>従業員還付</t>
  </si>
  <si>
    <t>会社手数料</t>
  </si>
  <si>
    <t>会社利益</t>
  </si>
  <si>
    <t>※ F列にGoogleスプレッドシートの計算結果を手動入力してください</t>
  </si>
  <si>
    <t>■ カラーコード</t>
  </si>
  <si>
    <t>プライマリ: #27AE60
セカンダリ: #3498DB</t>
  </si>
  <si>
    <t>■ フォント</t>
  </si>
  <si>
    <t>メインフォント: Noto Sans JP</t>
  </si>
  <si>
    <t>03-XXXX-XXXX</t>
  </si>
  <si>
    <t>info@example.com</t>
  </si>
  <si>
    <t>外部</t>
  </si>
  <si>
    <t>ito@example.com</t>
  </si>
  <si>
    <t>法的サポート</t>
  </si>
  <si>
    <t>2026/1</t>
  </si>
  <si>
    <t>バリュー社実証開始</t>
  </si>
  <si>
    <t>2026/2</t>
  </si>
  <si>
    <t>代理店説明会</t>
  </si>
  <si>
    <t>このファイルの更新履歴</t>
  </si>
  <si>
    <t>バージョン</t>
  </si>
  <si>
    <t>変更内容</t>
  </si>
  <si>
    <t>v21.0</t>
  </si>
  <si>
    <t>2026/01/14</t>
  </si>
  <si>
    <t>完全再構築
• 51シートから38シートへ統合
• 6部構成の維持
• ユーザージャーニーベースの設計</t>
  </si>
  <si>
    <t>Claude</t>
  </si>
  <si>
    <t>v20.0</t>
  </si>
  <si>
    <t>営業戦略統合版
• 65シート構成
• 伊藤先生ナレッジ統合</t>
  </si>
  <si>
    <t>v19.0</t>
  </si>
  <si>
    <t>2025/12/24</t>
  </si>
  <si>
    <t>法的基盤の追加</t>
  </si>
  <si>
    <t>A: 税務署は税務調査を行う際に売上に対しての否認は行わず経費に対しての否認なので還付自体は問題ありません。</t>
  </si>
  <si>
    <t>手数料％</t>
  </si>
  <si>
    <t>送付日</t>
  </si>
  <si>
    <t>締結日</t>
  </si>
  <si>
    <t>顧問契約</t>
  </si>
  <si>
    <t>締結</t>
  </si>
  <si>
    <t>Value Frontier 株式会社</t>
  </si>
  <si>
    <t>大塚様</t>
  </si>
  <si>
    <t>info@value-frontier.jp</t>
  </si>
  <si>
    <t>契約書送付済み</t>
  </si>
  <si>
    <t xml:space="preserve"> 石上文之</t>
  </si>
  <si>
    <t>株式会社HRFreaks</t>
  </si>
  <si>
    <t>個人</t>
  </si>
  <si>
    <t>林 大敬</t>
  </si>
  <si>
    <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</si>
</sst>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d h:mm"/>
    <numFmt numFmtId="165" formatCode="yyyy/m/d"/>
    <numFmt numFmtId="166" formatCode="m/d"/>
    <numFmt numFmtId="167" formatCode="yyyy/mm/dd"/>
    <numFmt numFmtId="168" formatCode="[$¥-411]#,##0"/>
    <numFmt numFmtId="169" formatCode="0.0"/>
  </numFmts>
  <fonts count="59">
    <font>
      <sz val="11.0"/>
      <color theme="1"/>
      <name val="Calibri"/>
      <scheme val="minor"/>
    </font>
    <font>
      <b/>
      <sz val="11.0"/>
      <color rgb="FF000000"/>
      <name val="Arial"/>
    </font>
    <font>
      <b/>
      <sz val="11.0"/>
      <color theme="1"/>
      <name val="Arial"/>
    </font>
    <font>
      <color rgb="FF000000"/>
      <name val="Calibri"/>
      <scheme val="minor"/>
    </font>
    <font>
      <sz val="11.0"/>
      <color rgb="FF000000"/>
      <name val="Calibri"/>
    </font>
    <font>
      <b/>
      <color rgb="FF000000"/>
      <name val="Arial"/>
    </font>
    <font>
      <color theme="1"/>
      <name val="Calibri"/>
      <scheme val="minor"/>
    </font>
    <font>
      <u/>
      <color rgb="FF000000"/>
    </font>
    <font>
      <u/>
      <color rgb="FF000000"/>
      <name val="Calibri"/>
      <scheme val="minor"/>
    </font>
    <font>
      <u/>
      <color rgb="FF000000"/>
    </font>
    <font>
      <u/>
      <color rgb="FF000000"/>
      <name val="Calibri"/>
      <scheme val="minor"/>
    </font>
    <font>
      <u/>
      <color rgb="FF000000"/>
    </font>
    <font>
      <u/>
      <color theme="1"/>
      <name val="Calibri"/>
      <scheme val="minor"/>
    </font>
    <font>
      <u/>
      <color rgb="FF000000"/>
      <name val="Calibri"/>
      <scheme val="minor"/>
    </font>
    <font>
      <u/>
      <color rgb="FF000000"/>
    </font>
    <font>
      <color theme="1"/>
      <name val="Arial"/>
    </font>
    <font>
      <sz val="11.0"/>
      <color rgb="FF000000"/>
      <name val="Arial"/>
    </font>
    <font>
      <sz val="11.0"/>
      <color theme="1"/>
      <name val="Arial"/>
    </font>
    <font>
      <u/>
      <color rgb="FF0000FF"/>
      <name val="Calibri"/>
      <scheme val="minor"/>
    </font>
    <font>
      <sz val="11.0"/>
      <color theme="1"/>
      <name val="Calibri"/>
    </font>
    <font>
      <b/>
      <color theme="1"/>
      <name val="Calibri"/>
      <scheme val="minor"/>
    </font>
    <font>
      <u/>
      <color rgb="FF0000FF"/>
    </font>
    <font>
      <b/>
      <color rgb="FF000000"/>
      <name val="Calibri"/>
      <scheme val="minor"/>
    </font>
    <font>
      <sz val="11.0"/>
      <color rgb="FF181818"/>
      <name val="Arial"/>
    </font>
    <font>
      <u/>
      <color rgb="FF0000FF"/>
    </font>
    <font>
      <u/>
      <color rgb="FF0000FF"/>
    </font>
    <font>
      <u/>
      <color rgb="FF0000FF"/>
    </font>
    <font>
      <b/>
      <color theme="1"/>
      <name val="Arial"/>
    </font>
    <font>
      <u/>
      <color rgb="FF0000FF"/>
      <name val="Arial"/>
    </font>
    <font>
      <u/>
      <color theme="1"/>
      <name val="Arial"/>
    </font>
    <font>
      <sz val="9.0"/>
      <color rgb="FF000000"/>
      <name val="游ゴシック"/>
    </font>
    <font>
      <u/>
      <color rgb="FF0000FF"/>
      <name val="Arial"/>
    </font>
    <font>
      <u/>
      <color theme="1"/>
      <name val="Arial"/>
    </font>
    <font>
      <color rgb="FF000000"/>
      <name val="Arial"/>
    </font>
    <font>
      <sz val="11.0"/>
      <color rgb="FF333333"/>
      <name val="Arial"/>
    </font>
    <font>
      <u/>
      <color rgb="FF0000FF"/>
      <name val="Arial"/>
    </font>
    <font>
      <u/>
      <sz val="11.0"/>
      <color rgb="FF0000FF"/>
      <name val="Arial"/>
    </font>
    <font>
      <b/>
      <sz val="16.0"/>
      <color rgb="FFFFFFFF"/>
      <name val="Calibri"/>
    </font>
    <font/>
    <font>
      <b/>
      <sz val="11.0"/>
      <color rgb="FF9B59B6"/>
      <name val="Calibri"/>
    </font>
    <font>
      <b/>
      <sz val="9.0"/>
      <color rgb="FFFFFFFF"/>
      <name val="Calibri"/>
    </font>
    <font>
      <b/>
      <sz val="13.0"/>
      <color rgb="FFFFFFFF"/>
      <name val="Calibri"/>
    </font>
    <font>
      <b/>
      <sz val="11.0"/>
      <color rgb="FFFFFFFF"/>
      <name val="Calibri"/>
    </font>
    <font>
      <u/>
      <sz val="11.0"/>
      <color rgb="FF0000FF"/>
      <name val="Calibri"/>
    </font>
    <font>
      <u/>
      <sz val="11.0"/>
      <color rgb="FF0000FF"/>
      <name val="Calibri"/>
    </font>
    <font>
      <u/>
      <sz val="11.0"/>
      <color rgb="FF0000FF"/>
      <name val="Calibri"/>
    </font>
    <font>
      <strike/>
      <sz val="11.0"/>
      <color theme="1"/>
      <name val="Calibri"/>
    </font>
    <font>
      <color theme="1"/>
      <name val="Calibri"/>
    </font>
    <font>
      <sz val="11.0"/>
      <color rgb="FF000000"/>
      <name val="&quot;ＭＳ Ｐゴシック&quot;"/>
    </font>
    <font>
      <u/>
      <color rgb="FF000000"/>
    </font>
    <font>
      <b/>
      <sz val="18.0"/>
      <color rgb="FFFFFFFF"/>
      <name val="Calibri"/>
      <scheme val="minor"/>
    </font>
    <font>
      <i/>
      <sz val="11.0"/>
      <color rgb="FF7F8C8D"/>
      <name val="Calibri"/>
      <scheme val="minor"/>
    </font>
    <font>
      <b/>
      <sz val="11.0"/>
      <color rgb="FFFFFFFF"/>
      <name val="Calibri"/>
      <scheme val="minor"/>
    </font>
    <font>
      <b/>
      <sz val="11.0"/>
      <color theme="1"/>
      <name val="Calibri"/>
      <scheme val="minor"/>
    </font>
    <font>
      <b/>
      <sz val="12.0"/>
      <color rgb="FFFFFFFF"/>
      <name val="Calibri"/>
      <scheme val="minor"/>
    </font>
    <font>
      <b/>
      <sz val="14.0"/>
      <color rgb="FF2C3E50"/>
      <name val="Calibri"/>
      <scheme val="minor"/>
    </font>
    <font>
      <b/>
      <sz val="12.0"/>
      <color rgb="FF2C3E50"/>
      <name val="Calibri"/>
      <scheme val="minor"/>
    </font>
    <font>
      <b/>
      <sz val="11.0"/>
      <color rgb="FFE74C3C"/>
      <name val="Calibri"/>
      <scheme val="minor"/>
    </font>
    <font>
      <sz val="11.0"/>
      <color rgb="FF000000"/>
      <name val="Roboto"/>
    </font>
  </fonts>
  <fills count="19">
    <fill>
      <patternFill patternType="none"/>
    </fill>
    <fill>
      <patternFill patternType="lightGray"/>
    </fill>
    <fill>
      <patternFill patternType="solid">
        <fgColor rgb="FF6D9EEB"/>
        <bgColor rgb="FF6D9EEB"/>
      </patternFill>
    </fill>
    <fill>
      <patternFill patternType="solid">
        <fgColor rgb="FFFFFFFF"/>
        <bgColor rgb="FFFFFFFF"/>
      </patternFill>
    </fill>
    <fill>
      <patternFill patternType="solid">
        <fgColor rgb="FFE6F4EA"/>
        <bgColor rgb="FFE6F4EA"/>
      </patternFill>
    </fill>
    <fill>
      <patternFill patternType="solid">
        <fgColor rgb="FFFCE8E6"/>
        <bgColor rgb="FFFCE8E6"/>
      </patternFill>
    </fill>
    <fill>
      <patternFill patternType="solid">
        <fgColor rgb="FFFFFF00"/>
        <bgColor rgb="FFFFFF00"/>
      </patternFill>
    </fill>
    <fill>
      <patternFill patternType="solid">
        <fgColor rgb="FF4A86E8"/>
        <bgColor rgb="FF4A86E8"/>
      </patternFill>
    </fill>
    <fill>
      <patternFill patternType="solid">
        <fgColor rgb="FF9B59B6"/>
        <bgColor rgb="FF9B59B6"/>
      </patternFill>
    </fill>
    <fill>
      <patternFill patternType="solid">
        <fgColor rgb="FF3498DB"/>
        <bgColor rgb="FF3498DB"/>
      </patternFill>
    </fill>
    <fill>
      <patternFill patternType="solid">
        <fgColor rgb="FFE74C3C"/>
        <bgColor rgb="FFE74C3C"/>
      </patternFill>
    </fill>
    <fill>
      <patternFill patternType="solid">
        <fgColor rgb="FF4472C4"/>
        <bgColor rgb="FF4472C4"/>
      </patternFill>
    </fill>
    <fill>
      <patternFill patternType="solid">
        <fgColor rgb="FF2874A6"/>
        <bgColor rgb="FF2874A6"/>
      </patternFill>
    </fill>
    <fill>
      <patternFill patternType="solid">
        <fgColor rgb="FFFFC000"/>
        <bgColor rgb="FFFFC000"/>
      </patternFill>
    </fill>
    <fill>
      <patternFill patternType="solid">
        <fgColor rgb="FFE8F4F8"/>
        <bgColor rgb="FFE8F4F8"/>
      </patternFill>
    </fill>
    <fill>
      <patternFill patternType="solid">
        <fgColor rgb="FF2C3E50"/>
        <bgColor rgb="FF2C3E50"/>
      </patternFill>
    </fill>
    <fill>
      <patternFill patternType="solid">
        <fgColor rgb="FF34495E"/>
        <bgColor rgb="FF34495E"/>
      </patternFill>
    </fill>
    <fill>
      <patternFill patternType="solid">
        <fgColor rgb="FF5DADE2"/>
        <bgColor rgb="FF5DADE2"/>
      </patternFill>
    </fill>
    <fill>
      <patternFill patternType="solid">
        <fgColor rgb="FFD0E0E3"/>
        <bgColor rgb="FFD0E0E3"/>
      </patternFill>
    </fill>
  </fills>
  <borders count="13">
    <border/>
    <border>
      <left style="thin">
        <color rgb="FF000000"/>
      </left>
      <right style="thin">
        <color rgb="FF000000"/>
      </right>
      <top style="thin">
        <color rgb="FF000000"/>
      </top>
      <bottom style="thin">
        <color rgb="FF000000"/>
      </bottom>
    </border>
    <border>
      <left style="hair">
        <color rgb="FF000000"/>
      </left>
      <right style="hair">
        <color rgb="FF000000"/>
      </right>
      <top style="hair">
        <color rgb="FF000000"/>
      </top>
      <bottom style="hair">
        <color rgb="FF000000"/>
      </bottom>
    </border>
    <border>
      <top style="thin">
        <color rgb="FFDDDDDD"/>
      </top>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ttom style="thin">
        <color rgb="FFCCCCCC"/>
      </bottom>
    </border>
  </borders>
  <cellStyleXfs count="1">
    <xf borderId="0" fillId="0" fontId="0" numFmtId="0" applyAlignment="1" applyFont="1"/>
  </cellStyleXfs>
  <cellXfs count="24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1" fillId="2" fontId="1" numFmtId="0" xfId="0" applyAlignment="1" applyBorder="1" applyFont="1">
      <alignment horizontal="center" readingOrder="0" shrinkToFit="0" wrapText="0"/>
    </xf>
    <xf borderId="1" fillId="3" fontId="2" numFmtId="0" xfId="0" applyAlignment="1" applyBorder="1" applyFill="1" applyFont="1">
      <alignment horizontal="center" shrinkToFit="0" vertical="bottom" wrapText="1"/>
    </xf>
    <xf borderId="1" fillId="3" fontId="1" numFmtId="0" xfId="0" applyAlignment="1" applyBorder="1" applyFont="1">
      <alignment horizontal="center" readingOrder="0" shrinkToFit="0" wrapText="1"/>
    </xf>
    <xf borderId="1" fillId="3" fontId="1" numFmtId="0" xfId="0" applyAlignment="1" applyBorder="1" applyFont="1">
      <alignment horizontal="center" shrinkToFit="0" wrapText="1"/>
    </xf>
    <xf borderId="1" fillId="3" fontId="3" numFmtId="0" xfId="0" applyBorder="1" applyFont="1"/>
    <xf borderId="1" fillId="3" fontId="4" numFmtId="0" xfId="0" applyAlignment="1" applyBorder="1" applyFont="1">
      <alignment horizontal="center" readingOrder="0"/>
    </xf>
    <xf borderId="1" fillId="3" fontId="4" numFmtId="0" xfId="0" applyAlignment="1" applyBorder="1" applyFont="1">
      <alignment readingOrder="0"/>
    </xf>
    <xf borderId="1" fillId="3" fontId="5" numFmtId="0" xfId="0" applyAlignment="1" applyBorder="1" applyFont="1">
      <alignment readingOrder="0"/>
    </xf>
    <xf borderId="1" fillId="3" fontId="4" numFmtId="164" xfId="0" applyAlignment="1" applyBorder="1" applyFont="1" applyNumberFormat="1">
      <alignment readingOrder="0"/>
    </xf>
    <xf borderId="0" fillId="0" fontId="6" numFmtId="0" xfId="0" applyAlignment="1" applyFont="1">
      <alignment readingOrder="0"/>
    </xf>
    <xf borderId="1" fillId="3" fontId="4" numFmtId="0" xfId="0" applyBorder="1" applyFont="1"/>
    <xf borderId="1" fillId="3" fontId="4" numFmtId="0" xfId="0" applyAlignment="1" applyBorder="1" applyFont="1">
      <alignment readingOrder="0" shrinkToFit="0" wrapText="0"/>
    </xf>
    <xf borderId="1" fillId="3" fontId="4" numFmtId="0" xfId="0" applyAlignment="1" applyBorder="1" applyFont="1">
      <alignment shrinkToFit="0" wrapText="0"/>
    </xf>
    <xf borderId="1" fillId="3" fontId="4" numFmtId="0" xfId="0" applyAlignment="1" applyBorder="1" applyFont="1">
      <alignment readingOrder="0"/>
    </xf>
    <xf borderId="1" fillId="3" fontId="4" numFmtId="165" xfId="0" applyAlignment="1" applyBorder="1" applyFont="1" applyNumberFormat="1">
      <alignment readingOrder="0"/>
    </xf>
    <xf borderId="0" fillId="0" fontId="3" numFmtId="0" xfId="0" applyAlignment="1" applyFont="1">
      <alignment readingOrder="0"/>
    </xf>
    <xf borderId="1" fillId="3" fontId="4" numFmtId="0" xfId="0" applyBorder="1" applyFont="1"/>
    <xf borderId="1" fillId="4" fontId="4" numFmtId="0" xfId="0" applyAlignment="1" applyBorder="1" applyFill="1" applyFont="1">
      <alignment horizontal="center" readingOrder="0"/>
    </xf>
    <xf borderId="1" fillId="4" fontId="3" numFmtId="0" xfId="0" applyAlignment="1" applyBorder="1" applyFont="1">
      <alignment readingOrder="0"/>
    </xf>
    <xf borderId="1" fillId="4" fontId="5" numFmtId="0" xfId="0" applyAlignment="1" applyBorder="1" applyFont="1">
      <alignment readingOrder="0"/>
    </xf>
    <xf borderId="1" fillId="4" fontId="3" numFmtId="164" xfId="0" applyAlignment="1" applyBorder="1" applyFont="1" applyNumberFormat="1">
      <alignment readingOrder="0"/>
    </xf>
    <xf borderId="1" fillId="4" fontId="4" numFmtId="0" xfId="0" applyAlignment="1" applyBorder="1" applyFont="1">
      <alignment readingOrder="0"/>
    </xf>
    <xf borderId="1" fillId="4" fontId="4" numFmtId="0" xfId="0" applyBorder="1" applyFont="1"/>
    <xf borderId="1" fillId="4" fontId="3" numFmtId="0" xfId="0" applyBorder="1" applyFont="1"/>
    <xf borderId="1" fillId="4" fontId="3" numFmtId="0" xfId="0" applyAlignment="1" applyBorder="1" applyFont="1">
      <alignment readingOrder="0" shrinkToFit="0" wrapText="0"/>
    </xf>
    <xf borderId="1" fillId="4" fontId="7" numFmtId="0" xfId="0" applyAlignment="1" applyBorder="1" applyFont="1">
      <alignment readingOrder="0" shrinkToFit="0" wrapText="0"/>
    </xf>
    <xf borderId="1" fillId="4" fontId="3" numFmtId="165" xfId="0" applyAlignment="1" applyBorder="1" applyFont="1" applyNumberFormat="1">
      <alignment readingOrder="0"/>
    </xf>
    <xf borderId="1" fillId="4" fontId="3" numFmtId="0" xfId="0" applyAlignment="1" applyBorder="1" applyFont="1">
      <alignment shrinkToFit="0" wrapText="0"/>
    </xf>
    <xf borderId="1" fillId="4" fontId="3" numFmtId="0" xfId="0" applyAlignment="1" applyBorder="1" applyFont="1">
      <alignment readingOrder="0"/>
    </xf>
    <xf borderId="1" fillId="3" fontId="3" numFmtId="0" xfId="0" applyAlignment="1" applyBorder="1" applyFont="1">
      <alignment readingOrder="0"/>
    </xf>
    <xf borderId="1" fillId="3" fontId="3" numFmtId="164" xfId="0" applyAlignment="1" applyBorder="1" applyFont="1" applyNumberFormat="1">
      <alignment readingOrder="0"/>
    </xf>
    <xf borderId="1" fillId="3" fontId="3" numFmtId="165" xfId="0" applyAlignment="1" applyBorder="1" applyFont="1" applyNumberFormat="1">
      <alignment readingOrder="0"/>
    </xf>
    <xf borderId="1" fillId="3" fontId="3" numFmtId="0" xfId="0" applyAlignment="1" applyBorder="1" applyFont="1">
      <alignment readingOrder="0" shrinkToFit="0" wrapText="0"/>
    </xf>
    <xf borderId="1" fillId="3" fontId="3" numFmtId="0" xfId="0" applyAlignment="1" applyBorder="1" applyFont="1">
      <alignment shrinkToFit="0" wrapText="0"/>
    </xf>
    <xf borderId="1" fillId="3" fontId="3" numFmtId="0" xfId="0" applyAlignment="1" applyBorder="1" applyFont="1">
      <alignment readingOrder="0"/>
    </xf>
    <xf borderId="1" fillId="3" fontId="3" numFmtId="0" xfId="0" applyBorder="1" applyFont="1"/>
    <xf borderId="1" fillId="5" fontId="4" numFmtId="0" xfId="0" applyAlignment="1" applyBorder="1" applyFill="1" applyFont="1">
      <alignment horizontal="center" readingOrder="0"/>
    </xf>
    <xf borderId="1" fillId="5" fontId="3" numFmtId="0" xfId="0" applyAlignment="1" applyBorder="1" applyFont="1">
      <alignment readingOrder="0"/>
    </xf>
    <xf borderId="1" fillId="5" fontId="5" numFmtId="0" xfId="0" applyAlignment="1" applyBorder="1" applyFont="1">
      <alignment readingOrder="0"/>
    </xf>
    <xf borderId="1" fillId="5" fontId="3" numFmtId="164" xfId="0" applyAlignment="1" applyBorder="1" applyFont="1" applyNumberFormat="1">
      <alignment readingOrder="0"/>
    </xf>
    <xf borderId="1" fillId="5" fontId="3" numFmtId="0" xfId="0" applyBorder="1" applyFont="1"/>
    <xf borderId="1" fillId="5" fontId="3" numFmtId="0" xfId="0" applyBorder="1" applyFont="1"/>
    <xf borderId="1" fillId="5" fontId="3" numFmtId="0" xfId="0" applyAlignment="1" applyBorder="1" applyFont="1">
      <alignment readingOrder="0" shrinkToFit="0" wrapText="0"/>
    </xf>
    <xf borderId="1" fillId="5" fontId="3" numFmtId="0" xfId="0" applyAlignment="1" applyBorder="1" applyFont="1">
      <alignment shrinkToFit="0" wrapText="0"/>
    </xf>
    <xf borderId="1" fillId="5" fontId="3" numFmtId="0" xfId="0" applyAlignment="1" applyBorder="1" applyFont="1">
      <alignment readingOrder="0"/>
    </xf>
    <xf borderId="1" fillId="5" fontId="3" numFmtId="165" xfId="0" applyAlignment="1" applyBorder="1" applyFont="1" applyNumberFormat="1">
      <alignment readingOrder="0"/>
    </xf>
    <xf borderId="1" fillId="4" fontId="3" numFmtId="0" xfId="0" applyBorder="1" applyFont="1"/>
    <xf borderId="1" fillId="5" fontId="8" numFmtId="0" xfId="0" applyAlignment="1" applyBorder="1" applyFont="1">
      <alignment readingOrder="0"/>
    </xf>
    <xf borderId="1" fillId="5" fontId="9" numFmtId="0" xfId="0" applyAlignment="1" applyBorder="1" applyFont="1">
      <alignment readingOrder="0"/>
    </xf>
    <xf borderId="1" fillId="5" fontId="10" numFmtId="0" xfId="0" applyAlignment="1" applyBorder="1" applyFont="1">
      <alignment readingOrder="0" shrinkToFit="0" wrapText="0"/>
    </xf>
    <xf borderId="1" fillId="5" fontId="11" numFmtId="0" xfId="0" applyAlignment="1" applyBorder="1" applyFont="1">
      <alignment readingOrder="0" shrinkToFit="0" wrapText="0"/>
    </xf>
    <xf borderId="0" fillId="4" fontId="12" numFmtId="0" xfId="0" applyAlignment="1" applyFont="1">
      <alignment readingOrder="0"/>
    </xf>
    <xf borderId="1" fillId="4" fontId="13" numFmtId="0" xfId="0" applyAlignment="1" applyBorder="1" applyFont="1">
      <alignment readingOrder="0" shrinkToFit="0" wrapText="0"/>
    </xf>
    <xf borderId="1" fillId="4" fontId="14" numFmtId="0" xfId="0" applyAlignment="1" applyBorder="1" applyFont="1">
      <alignment readingOrder="0" shrinkToFit="0" wrapText="0"/>
    </xf>
    <xf borderId="1" fillId="4" fontId="6" numFmtId="0" xfId="0" applyAlignment="1" applyBorder="1" applyFont="1">
      <alignment readingOrder="0"/>
    </xf>
    <xf borderId="0" fillId="4" fontId="6" numFmtId="0" xfId="0" applyAlignment="1" applyFont="1">
      <alignment readingOrder="0"/>
    </xf>
    <xf borderId="1" fillId="0" fontId="6" numFmtId="0" xfId="0" applyAlignment="1" applyBorder="1" applyFont="1">
      <alignment readingOrder="0"/>
    </xf>
    <xf borderId="0" fillId="5" fontId="6" numFmtId="0" xfId="0" applyAlignment="1" applyFont="1">
      <alignment readingOrder="0"/>
    </xf>
    <xf borderId="1" fillId="4" fontId="3" numFmtId="166" xfId="0" applyAlignment="1" applyBorder="1" applyFont="1" applyNumberFormat="1">
      <alignment readingOrder="0"/>
    </xf>
    <xf borderId="0" fillId="0" fontId="3" numFmtId="0" xfId="0" applyAlignment="1" applyFont="1">
      <alignment readingOrder="0"/>
    </xf>
    <xf borderId="0" fillId="5" fontId="6" numFmtId="0" xfId="0" applyFont="1"/>
    <xf borderId="1" fillId="4" fontId="6" numFmtId="0" xfId="0" applyBorder="1" applyFont="1"/>
    <xf borderId="0" fillId="4" fontId="6" numFmtId="0" xfId="0" applyFont="1"/>
    <xf borderId="1" fillId="5" fontId="6" numFmtId="0" xfId="0" applyAlignment="1" applyBorder="1" applyFont="1">
      <alignment readingOrder="0"/>
    </xf>
    <xf borderId="1" fillId="5" fontId="6" numFmtId="0" xfId="0" applyBorder="1" applyFont="1"/>
    <xf borderId="1" fillId="5" fontId="15" numFmtId="0" xfId="0" applyBorder="1" applyFont="1"/>
    <xf borderId="1" fillId="4" fontId="15" numFmtId="0" xfId="0" applyBorder="1" applyFont="1"/>
    <xf borderId="1" fillId="5" fontId="15" numFmtId="0" xfId="0" applyAlignment="1" applyBorder="1" applyFont="1">
      <alignment readingOrder="0"/>
    </xf>
    <xf borderId="1" fillId="5" fontId="15" numFmtId="0" xfId="0" applyBorder="1" applyFont="1"/>
    <xf borderId="1" fillId="0" fontId="15" numFmtId="0" xfId="0" applyBorder="1" applyFont="1"/>
    <xf borderId="1" fillId="0" fontId="15" numFmtId="0" xfId="0" applyAlignment="1" applyBorder="1" applyFont="1">
      <alignment readingOrder="0"/>
    </xf>
    <xf borderId="1" fillId="0" fontId="15" numFmtId="0" xfId="0" applyBorder="1" applyFont="1"/>
    <xf borderId="1" fillId="4" fontId="15" numFmtId="0" xfId="0" applyBorder="1" applyFont="1"/>
    <xf borderId="1" fillId="4" fontId="15" numFmtId="0" xfId="0" applyAlignment="1" applyBorder="1" applyFont="1">
      <alignment readingOrder="0"/>
    </xf>
    <xf borderId="0" fillId="0" fontId="16" numFmtId="0" xfId="0" applyAlignment="1" applyFont="1">
      <alignment readingOrder="0"/>
    </xf>
    <xf borderId="0" fillId="0" fontId="16" numFmtId="0" xfId="0" applyFont="1"/>
    <xf borderId="0" fillId="5" fontId="16" numFmtId="0" xfId="0" applyAlignment="1" applyFont="1">
      <alignment readingOrder="0"/>
    </xf>
    <xf borderId="0" fillId="4" fontId="17" numFmtId="0" xfId="0" applyAlignment="1" applyFont="1">
      <alignment readingOrder="0"/>
    </xf>
    <xf borderId="1" fillId="4" fontId="15" numFmtId="0" xfId="0" applyAlignment="1" applyBorder="1" applyFont="1">
      <alignment vertical="bottom"/>
    </xf>
    <xf borderId="1" fillId="4" fontId="15" numFmtId="0" xfId="0" applyAlignment="1" applyBorder="1" applyFont="1">
      <alignment vertical="bottom"/>
    </xf>
    <xf borderId="0" fillId="4" fontId="18" numFmtId="0" xfId="0" applyAlignment="1" applyFont="1">
      <alignment readingOrder="0"/>
    </xf>
    <xf borderId="1" fillId="5" fontId="15" numFmtId="0" xfId="0" applyAlignment="1" applyBorder="1" applyFont="1">
      <alignment vertical="bottom"/>
    </xf>
    <xf borderId="1" fillId="5" fontId="15" numFmtId="0" xfId="0" applyAlignment="1" applyBorder="1" applyFont="1">
      <alignment vertical="bottom"/>
    </xf>
    <xf borderId="1" fillId="0" fontId="15" numFmtId="0" xfId="0" applyAlignment="1" applyBorder="1" applyFont="1">
      <alignment vertical="bottom"/>
    </xf>
    <xf borderId="1" fillId="0" fontId="15" numFmtId="0" xfId="0" applyAlignment="1" applyBorder="1" applyFont="1">
      <alignment vertical="bottom"/>
    </xf>
    <xf borderId="1" fillId="5" fontId="15" numFmtId="0" xfId="0" applyAlignment="1" applyBorder="1" applyFont="1">
      <alignment readingOrder="0" vertical="bottom"/>
    </xf>
    <xf borderId="1" fillId="0" fontId="15" numFmtId="0" xfId="0" applyAlignment="1" applyBorder="1" applyFont="1">
      <alignment readingOrder="0" vertical="bottom"/>
    </xf>
    <xf borderId="1" fillId="4" fontId="15" numFmtId="0" xfId="0" applyAlignment="1" applyBorder="1" applyFont="1">
      <alignment readingOrder="0" vertical="bottom"/>
    </xf>
    <xf borderId="1" fillId="5" fontId="19" numFmtId="0" xfId="0" applyAlignment="1" applyBorder="1" applyFont="1">
      <alignment horizontal="center" readingOrder="0"/>
    </xf>
    <xf borderId="1" fillId="5" fontId="6" numFmtId="0" xfId="0" applyBorder="1" applyFont="1"/>
    <xf borderId="1" fillId="5" fontId="6" numFmtId="0" xfId="0" applyAlignment="1" applyBorder="1" applyFont="1">
      <alignment readingOrder="0" shrinkToFit="0" wrapText="0"/>
    </xf>
    <xf borderId="1" fillId="5" fontId="6" numFmtId="0" xfId="0" applyAlignment="1" applyBorder="1" applyFont="1">
      <alignment shrinkToFit="0" wrapText="0"/>
    </xf>
    <xf borderId="1" fillId="5" fontId="6" numFmtId="0" xfId="0" applyAlignment="1" applyBorder="1" applyFont="1">
      <alignment readingOrder="0"/>
    </xf>
    <xf borderId="1" fillId="0" fontId="6" numFmtId="0" xfId="0" applyBorder="1" applyFont="1"/>
    <xf borderId="1" fillId="5" fontId="20" numFmtId="0" xfId="0" applyAlignment="1" applyBorder="1" applyFont="1">
      <alignment readingOrder="0"/>
    </xf>
    <xf borderId="1" fillId="5" fontId="6" numFmtId="164" xfId="0" applyAlignment="1" applyBorder="1" applyFont="1" applyNumberFormat="1">
      <alignment readingOrder="0"/>
    </xf>
    <xf borderId="1" fillId="5" fontId="6" numFmtId="165" xfId="0" applyAlignment="1" applyBorder="1" applyFont="1" applyNumberFormat="1">
      <alignment readingOrder="0"/>
    </xf>
    <xf borderId="1" fillId="4" fontId="19" numFmtId="0" xfId="0" applyAlignment="1" applyBorder="1" applyFont="1">
      <alignment horizontal="center" readingOrder="0"/>
    </xf>
    <xf borderId="1" fillId="4" fontId="20" numFmtId="0" xfId="0" applyAlignment="1" applyBorder="1" applyFont="1">
      <alignment readingOrder="0"/>
    </xf>
    <xf borderId="1" fillId="4" fontId="6" numFmtId="164" xfId="0" applyAlignment="1" applyBorder="1" applyFont="1" applyNumberFormat="1">
      <alignment readingOrder="0"/>
    </xf>
    <xf borderId="1" fillId="4" fontId="6" numFmtId="0" xfId="0" applyBorder="1" applyFont="1"/>
    <xf borderId="1" fillId="4" fontId="6" numFmtId="0" xfId="0" applyAlignment="1" applyBorder="1" applyFont="1">
      <alignment readingOrder="0" shrinkToFit="0" wrapText="0"/>
    </xf>
    <xf borderId="1" fillId="4" fontId="21" numFmtId="0" xfId="0" applyAlignment="1" applyBorder="1" applyFont="1">
      <alignment readingOrder="0" shrinkToFit="0" wrapText="0"/>
    </xf>
    <xf borderId="1" fillId="4" fontId="6" numFmtId="0" xfId="0" applyAlignment="1" applyBorder="1" applyFont="1">
      <alignment readingOrder="0"/>
    </xf>
    <xf borderId="1" fillId="4" fontId="6" numFmtId="165" xfId="0" applyAlignment="1" applyBorder="1" applyFont="1" applyNumberFormat="1">
      <alignment readingOrder="0"/>
    </xf>
    <xf borderId="1" fillId="4" fontId="6" numFmtId="0" xfId="0" applyAlignment="1" applyBorder="1" applyFont="1">
      <alignment shrinkToFit="0" wrapText="0"/>
    </xf>
    <xf borderId="1" fillId="4" fontId="22" numFmtId="0" xfId="0" applyAlignment="1" applyBorder="1" applyFont="1">
      <alignment readingOrder="0"/>
    </xf>
    <xf borderId="1" fillId="4" fontId="3" numFmtId="167" xfId="0" applyAlignment="1" applyBorder="1" applyFont="1" applyNumberFormat="1">
      <alignment readingOrder="0"/>
    </xf>
    <xf borderId="1" fillId="3" fontId="22" numFmtId="0" xfId="0" applyAlignment="1" applyBorder="1" applyFont="1">
      <alignment readingOrder="0"/>
    </xf>
    <xf borderId="1" fillId="5" fontId="22" numFmtId="0" xfId="0" applyAlignment="1" applyBorder="1" applyFont="1">
      <alignment readingOrder="0"/>
    </xf>
    <xf borderId="0" fillId="4" fontId="23" numFmtId="0" xfId="0" applyAlignment="1" applyFont="1">
      <alignment vertical="bottom"/>
    </xf>
    <xf borderId="1" fillId="3" fontId="22" numFmtId="0" xfId="0" applyBorder="1" applyFont="1"/>
    <xf borderId="0" fillId="0" fontId="6" numFmtId="165" xfId="0" applyAlignment="1" applyFont="1" applyNumberFormat="1">
      <alignment readingOrder="0"/>
    </xf>
    <xf borderId="0" fillId="0" fontId="6" numFmtId="0" xfId="0" applyFont="1"/>
    <xf borderId="0" fillId="0" fontId="6" numFmtId="168" xfId="0" applyAlignment="1" applyFont="1" applyNumberFormat="1">
      <alignment readingOrder="0"/>
    </xf>
    <xf borderId="0" fillId="0" fontId="6" numFmtId="168" xfId="0" applyFont="1" applyNumberFormat="1"/>
    <xf borderId="0" fillId="0" fontId="6" numFmtId="1" xfId="0" applyFont="1" applyNumberFormat="1"/>
    <xf borderId="0" fillId="0" fontId="24" numFmtId="0" xfId="0" applyAlignment="1" applyFont="1">
      <alignment readingOrder="0"/>
    </xf>
    <xf borderId="0" fillId="0" fontId="6" numFmtId="0" xfId="0" applyAlignment="1" applyFont="1">
      <alignment shrinkToFit="0" wrapText="0"/>
    </xf>
    <xf borderId="0" fillId="0" fontId="25" numFmtId="0" xfId="0" applyAlignment="1" applyFont="1">
      <alignment readingOrder="0" shrinkToFit="0" wrapText="0"/>
    </xf>
    <xf borderId="0" fillId="0" fontId="26" numFmtId="0" xfId="0" applyAlignment="1" applyFont="1">
      <alignment readingOrder="0" shrinkToFit="0" wrapText="0"/>
    </xf>
    <xf borderId="0" fillId="0" fontId="27" numFmtId="0" xfId="0" applyAlignment="1" applyFont="1">
      <alignment horizontal="center" vertical="bottom"/>
    </xf>
    <xf borderId="0" fillId="0" fontId="27" numFmtId="0" xfId="0" applyAlignment="1" applyFont="1">
      <alignment horizontal="center" readingOrder="0" vertical="bottom"/>
    </xf>
    <xf borderId="0" fillId="0" fontId="27" numFmtId="0" xfId="0" applyAlignment="1" applyFont="1">
      <alignment horizontal="center" readingOrder="0" shrinkToFit="0" vertical="bottom" wrapText="0"/>
    </xf>
    <xf borderId="0" fillId="0" fontId="27" numFmtId="168" xfId="0" applyAlignment="1" applyFont="1" applyNumberFormat="1">
      <alignment horizontal="center" readingOrder="0" vertical="bottom"/>
    </xf>
    <xf borderId="0" fillId="0" fontId="27" numFmtId="168" xfId="0" applyAlignment="1" applyFont="1" applyNumberFormat="1">
      <alignment horizontal="center" vertical="bottom"/>
    </xf>
    <xf borderId="2" fillId="0" fontId="27" numFmtId="0" xfId="0" applyAlignment="1" applyBorder="1" applyFont="1">
      <alignment horizontal="center" vertical="bottom"/>
    </xf>
    <xf borderId="2" fillId="0" fontId="27" numFmtId="0" xfId="0" applyAlignment="1" applyBorder="1" applyFont="1">
      <alignment horizontal="center" readingOrder="0" vertical="bottom"/>
    </xf>
    <xf borderId="2" fillId="0" fontId="27" numFmtId="0" xfId="0" applyAlignment="1" applyBorder="1" applyFont="1">
      <alignment horizontal="center" readingOrder="0" shrinkToFit="0" vertical="bottom" wrapText="0"/>
    </xf>
    <xf borderId="2" fillId="0" fontId="27" numFmtId="168" xfId="0" applyAlignment="1" applyBorder="1" applyFont="1" applyNumberFormat="1">
      <alignment horizontal="center" readingOrder="0" vertical="bottom"/>
    </xf>
    <xf borderId="2" fillId="0" fontId="27" numFmtId="168" xfId="0" applyAlignment="1" applyBorder="1" applyFont="1" applyNumberFormat="1">
      <alignment horizontal="center" vertical="bottom"/>
    </xf>
    <xf borderId="2" fillId="0" fontId="15" numFmtId="0" xfId="0" applyAlignment="1" applyBorder="1" applyFont="1">
      <alignment horizontal="right" readingOrder="0" vertical="bottom"/>
    </xf>
    <xf borderId="2" fillId="0" fontId="15" numFmtId="167" xfId="0" applyAlignment="1" applyBorder="1" applyFont="1" applyNumberFormat="1">
      <alignment horizontal="right" vertical="bottom"/>
    </xf>
    <xf borderId="2" fillId="0" fontId="15" numFmtId="167" xfId="0" applyAlignment="1" applyBorder="1" applyFont="1" applyNumberFormat="1">
      <alignment horizontal="center" vertical="bottom"/>
    </xf>
    <xf borderId="2" fillId="0" fontId="15" numFmtId="0" xfId="0" applyAlignment="1" applyBorder="1" applyFont="1">
      <alignment readingOrder="0" shrinkToFit="0" vertical="bottom" wrapText="0"/>
    </xf>
    <xf borderId="2" fillId="0" fontId="15" numFmtId="0" xfId="0" applyAlignment="1" applyBorder="1" applyFont="1">
      <alignment shrinkToFit="0" vertical="bottom" wrapText="0"/>
    </xf>
    <xf borderId="2" fillId="0" fontId="15" numFmtId="0" xfId="0" applyAlignment="1" applyBorder="1" applyFont="1">
      <alignment readingOrder="0" vertical="bottom"/>
    </xf>
    <xf borderId="2" fillId="0" fontId="28" numFmtId="0" xfId="0" applyAlignment="1" applyBorder="1" applyFont="1">
      <alignment readingOrder="0" shrinkToFit="0" vertical="bottom" wrapText="0"/>
    </xf>
    <xf borderId="2" fillId="0" fontId="15" numFmtId="0" xfId="0" applyAlignment="1" applyBorder="1" applyFont="1">
      <alignment vertical="bottom"/>
    </xf>
    <xf borderId="2" fillId="0" fontId="15" numFmtId="0" xfId="0" applyAlignment="1" applyBorder="1" applyFont="1">
      <alignment horizontal="right" shrinkToFit="0" vertical="bottom" wrapText="0"/>
    </xf>
    <xf borderId="2" fillId="0" fontId="15" numFmtId="168" xfId="0" applyAlignment="1" applyBorder="1" applyFont="1" applyNumberFormat="1">
      <alignment horizontal="right" vertical="bottom"/>
    </xf>
    <xf borderId="2" fillId="0" fontId="15" numFmtId="168" xfId="0" applyAlignment="1" applyBorder="1" applyFont="1" applyNumberFormat="1">
      <alignment vertical="bottom"/>
    </xf>
    <xf borderId="2" fillId="0" fontId="15" numFmtId="0" xfId="0" applyAlignment="1" applyBorder="1" applyFont="1">
      <alignment horizontal="center" readingOrder="0" vertical="bottom"/>
    </xf>
    <xf borderId="2" fillId="0" fontId="29" numFmtId="0" xfId="0" applyAlignment="1" applyBorder="1" applyFont="1">
      <alignment horizontal="right" readingOrder="0" shrinkToFit="0" vertical="bottom" wrapText="0"/>
    </xf>
    <xf borderId="2" fillId="0" fontId="15" numFmtId="0" xfId="0" applyAlignment="1" applyBorder="1" applyFont="1">
      <alignment horizontal="right" readingOrder="0" shrinkToFit="0" vertical="bottom" wrapText="0"/>
    </xf>
    <xf borderId="2" fillId="0" fontId="15" numFmtId="168" xfId="0" applyAlignment="1" applyBorder="1" applyFont="1" applyNumberFormat="1">
      <alignment horizontal="right" readingOrder="0" vertical="bottom"/>
    </xf>
    <xf borderId="1" fillId="6" fontId="30" numFmtId="168" xfId="0" applyAlignment="1" applyBorder="1" applyFill="1" applyFont="1" applyNumberFormat="1">
      <alignment horizontal="right" readingOrder="0" shrinkToFit="0" wrapText="0"/>
    </xf>
    <xf borderId="2" fillId="0" fontId="31" numFmtId="0" xfId="0" applyAlignment="1" applyBorder="1" applyFont="1">
      <alignment readingOrder="0" shrinkToFit="0" vertical="bottom" wrapText="0"/>
    </xf>
    <xf borderId="2" fillId="0" fontId="15" numFmtId="167" xfId="0" applyAlignment="1" applyBorder="1" applyFont="1" applyNumberFormat="1">
      <alignment readingOrder="0" vertical="bottom"/>
    </xf>
    <xf borderId="2" fillId="0" fontId="15" numFmtId="167" xfId="0" applyAlignment="1" applyBorder="1" applyFont="1" applyNumberFormat="1">
      <alignment horizontal="center" readingOrder="0" vertical="bottom"/>
    </xf>
    <xf borderId="2" fillId="0" fontId="32" numFmtId="0" xfId="0" applyAlignment="1" applyBorder="1" applyFont="1">
      <alignment readingOrder="0" shrinkToFit="0" vertical="bottom" wrapText="0"/>
    </xf>
    <xf borderId="2" fillId="0" fontId="33" numFmtId="0" xfId="0" applyAlignment="1" applyBorder="1" applyFont="1">
      <alignment readingOrder="0" shrinkToFit="0" vertical="bottom" wrapText="0"/>
    </xf>
    <xf borderId="2" fillId="0" fontId="15" numFmtId="168" xfId="0" applyAlignment="1" applyBorder="1" applyFont="1" applyNumberFormat="1">
      <alignment readingOrder="0" vertical="bottom"/>
    </xf>
    <xf borderId="2" fillId="0" fontId="15" numFmtId="165" xfId="0" applyAlignment="1" applyBorder="1" applyFont="1" applyNumberFormat="1">
      <alignment readingOrder="0" vertical="bottom"/>
    </xf>
    <xf borderId="2" fillId="0" fontId="15" numFmtId="0" xfId="0" applyAlignment="1" applyBorder="1" applyFont="1">
      <alignment horizontal="center" vertical="bottom"/>
    </xf>
    <xf borderId="0" fillId="0" fontId="34" numFmtId="0" xfId="0" applyAlignment="1" applyFont="1">
      <alignment horizontal="left" readingOrder="0"/>
    </xf>
    <xf borderId="3" fillId="0" fontId="16" numFmtId="0" xfId="0" applyAlignment="1" applyBorder="1" applyFont="1">
      <alignment horizontal="left" readingOrder="0" vertical="top"/>
    </xf>
    <xf borderId="2" fillId="0" fontId="35" numFmtId="0" xfId="0" applyAlignment="1" applyBorder="1" applyFont="1">
      <alignment readingOrder="0" vertical="bottom"/>
    </xf>
    <xf borderId="2" fillId="0" fontId="17" numFmtId="0" xfId="0" applyAlignment="1" applyBorder="1" applyFont="1">
      <alignment vertical="bottom"/>
    </xf>
    <xf borderId="2" fillId="0" fontId="19" numFmtId="0" xfId="0" applyAlignment="1" applyBorder="1" applyFont="1">
      <alignment vertical="bottom"/>
    </xf>
    <xf borderId="2" fillId="0" fontId="36" numFmtId="0" xfId="0" applyAlignment="1" applyBorder="1" applyFont="1">
      <alignment shrinkToFit="0" vertical="bottom" wrapText="0"/>
    </xf>
    <xf borderId="2" fillId="0" fontId="19" numFmtId="0" xfId="0" applyAlignment="1" applyBorder="1" applyFont="1">
      <alignment readingOrder="0" vertical="bottom"/>
    </xf>
    <xf borderId="2" fillId="0" fontId="17" numFmtId="0" xfId="0" applyAlignment="1" applyBorder="1" applyFont="1">
      <alignment shrinkToFit="0" vertical="bottom" wrapText="0"/>
    </xf>
    <xf borderId="0" fillId="0" fontId="6" numFmtId="0" xfId="0" applyAlignment="1" applyFont="1">
      <alignment horizontal="center"/>
    </xf>
    <xf borderId="2" fillId="0" fontId="20" numFmtId="0" xfId="0" applyAlignment="1" applyBorder="1" applyFont="1">
      <alignment horizontal="center" readingOrder="0"/>
    </xf>
    <xf borderId="2" fillId="0" fontId="20" numFmtId="168" xfId="0" applyAlignment="1" applyBorder="1" applyFont="1" applyNumberFormat="1">
      <alignment horizontal="center" readingOrder="0"/>
    </xf>
    <xf borderId="2" fillId="0" fontId="6" numFmtId="0" xfId="0" applyAlignment="1" applyBorder="1" applyFont="1">
      <alignment readingOrder="0"/>
    </xf>
    <xf borderId="2" fillId="0" fontId="6" numFmtId="167" xfId="0" applyAlignment="1" applyBorder="1" applyFont="1" applyNumberFormat="1">
      <alignment readingOrder="0"/>
    </xf>
    <xf borderId="2" fillId="0" fontId="6" numFmtId="168" xfId="0" applyAlignment="1" applyBorder="1" applyFont="1" applyNumberFormat="1">
      <alignment readingOrder="0"/>
    </xf>
    <xf borderId="2" fillId="0" fontId="6" numFmtId="0" xfId="0" applyBorder="1" applyFont="1"/>
    <xf borderId="2" fillId="0" fontId="6" numFmtId="167" xfId="0" applyBorder="1" applyFont="1" applyNumberFormat="1"/>
    <xf borderId="2" fillId="0" fontId="6" numFmtId="168" xfId="0" applyBorder="1" applyFont="1" applyNumberFormat="1"/>
    <xf borderId="2" fillId="0" fontId="6" numFmtId="165" xfId="0" applyAlignment="1" applyBorder="1" applyFont="1" applyNumberFormat="1">
      <alignment readingOrder="0"/>
    </xf>
    <xf borderId="0" fillId="7" fontId="6" numFmtId="0" xfId="0" applyAlignment="1" applyFill="1" applyFont="1">
      <alignment readingOrder="0"/>
    </xf>
    <xf borderId="0" fillId="7" fontId="6" numFmtId="0" xfId="0" applyAlignment="1" applyFont="1">
      <alignment readingOrder="0" shrinkToFit="0" wrapText="1"/>
    </xf>
    <xf borderId="0" fillId="0" fontId="6" numFmtId="166" xfId="0" applyAlignment="1" applyFont="1" applyNumberFormat="1">
      <alignment readingOrder="0"/>
    </xf>
    <xf borderId="0" fillId="0" fontId="6" numFmtId="0" xfId="0" applyAlignment="1" applyFont="1">
      <alignment readingOrder="0" shrinkToFit="0" wrapText="1"/>
    </xf>
    <xf borderId="1" fillId="0" fontId="0" numFmtId="0" xfId="0" applyAlignment="1" applyBorder="1" applyFont="1">
      <alignment readingOrder="0" shrinkToFit="0" wrapText="1"/>
    </xf>
    <xf borderId="0" fillId="0" fontId="6" numFmtId="0" xfId="0" applyAlignment="1" applyFont="1">
      <alignment shrinkToFit="0" wrapText="1"/>
    </xf>
    <xf borderId="0" fillId="0" fontId="6" numFmtId="3" xfId="0" applyAlignment="1" applyFont="1" applyNumberFormat="1">
      <alignment readingOrder="0"/>
    </xf>
    <xf borderId="4" fillId="8" fontId="37" numFmtId="0" xfId="0" applyAlignment="1" applyBorder="1" applyFill="1" applyFont="1">
      <alignment horizontal="center" vertical="bottom"/>
    </xf>
    <xf borderId="5" fillId="0" fontId="38" numFmtId="0" xfId="0" applyBorder="1" applyFont="1"/>
    <xf borderId="6" fillId="0" fontId="38" numFmtId="0" xfId="0" applyBorder="1" applyFont="1"/>
    <xf borderId="0" fillId="0" fontId="19" numFmtId="0" xfId="0" applyAlignment="1" applyFont="1">
      <alignment vertical="bottom"/>
    </xf>
    <xf borderId="0" fillId="3" fontId="19" numFmtId="0" xfId="0" applyAlignment="1" applyFont="1">
      <alignment shrinkToFit="0" vertical="bottom" wrapText="0"/>
    </xf>
    <xf borderId="0" fillId="3" fontId="19" numFmtId="0" xfId="0" applyAlignment="1" applyFont="1">
      <alignment vertical="bottom"/>
    </xf>
    <xf borderId="0" fillId="0" fontId="39" numFmtId="0" xfId="0" applyAlignment="1" applyFont="1">
      <alignment vertical="bottom"/>
    </xf>
    <xf borderId="1" fillId="8" fontId="40" numFmtId="0" xfId="0" applyAlignment="1" applyBorder="1" applyFont="1">
      <alignment horizontal="center" shrinkToFit="0" vertical="bottom" wrapText="1"/>
    </xf>
    <xf borderId="1" fillId="8" fontId="40" numFmtId="0" xfId="0" applyAlignment="1" applyBorder="1" applyFont="1">
      <alignment horizontal="center" shrinkToFit="0" vertical="bottom" wrapText="0"/>
    </xf>
    <xf borderId="4" fillId="8" fontId="41" numFmtId="0" xfId="0" applyAlignment="1" applyBorder="1" applyFont="1">
      <alignment horizontal="center" vertical="bottom"/>
    </xf>
    <xf borderId="4" fillId="9" fontId="42" numFmtId="0" xfId="0" applyAlignment="1" applyBorder="1" applyFill="1" applyFont="1">
      <alignment vertical="bottom"/>
    </xf>
    <xf borderId="0" fillId="3" fontId="43" numFmtId="0" xfId="0" applyAlignment="1" applyFont="1">
      <alignment shrinkToFit="0" vertical="bottom" wrapText="0"/>
    </xf>
    <xf borderId="0" fillId="0" fontId="44" numFmtId="0" xfId="0" applyAlignment="1" applyFont="1">
      <alignment vertical="bottom"/>
    </xf>
    <xf borderId="0" fillId="0" fontId="19" numFmtId="0" xfId="0" applyAlignment="1" applyFont="1">
      <alignment readingOrder="0" vertical="bottom"/>
    </xf>
    <xf borderId="0" fillId="3" fontId="45" numFmtId="0" xfId="0" applyAlignment="1" applyFont="1">
      <alignment readingOrder="0" shrinkToFit="0" vertical="bottom" wrapText="0"/>
    </xf>
    <xf borderId="4" fillId="10" fontId="42" numFmtId="0" xfId="0" applyAlignment="1" applyBorder="1" applyFill="1" applyFont="1">
      <alignment vertical="bottom"/>
    </xf>
    <xf borderId="0" fillId="0" fontId="46" numFmtId="0" xfId="0" applyAlignment="1" applyFont="1">
      <alignment vertical="bottom"/>
    </xf>
    <xf borderId="4" fillId="11" fontId="37" numFmtId="0" xfId="0" applyAlignment="1" applyBorder="1" applyFill="1" applyFont="1">
      <alignment horizontal="center"/>
    </xf>
    <xf borderId="0" fillId="0" fontId="47" numFmtId="0" xfId="0" applyAlignment="1" applyFont="1">
      <alignment shrinkToFit="0" vertical="bottom" wrapText="1"/>
    </xf>
    <xf borderId="0" fillId="0" fontId="19" numFmtId="0" xfId="0" applyAlignment="1" applyFont="1">
      <alignment shrinkToFit="0" vertical="bottom" wrapText="1"/>
    </xf>
    <xf borderId="1" fillId="12" fontId="42" numFmtId="0" xfId="0" applyAlignment="1" applyBorder="1" applyFill="1" applyFont="1">
      <alignment shrinkToFit="0" wrapText="1"/>
    </xf>
    <xf borderId="1" fillId="13" fontId="19" numFmtId="0" xfId="0" applyAlignment="1" applyBorder="1" applyFill="1" applyFont="1">
      <alignment shrinkToFit="0" wrapText="1"/>
    </xf>
    <xf borderId="1" fillId="6" fontId="19" numFmtId="0" xfId="0" applyBorder="1" applyFont="1"/>
    <xf borderId="1" fillId="0" fontId="19" numFmtId="0" xfId="0" applyAlignment="1" applyBorder="1" applyFont="1">
      <alignment shrinkToFit="0" wrapText="1"/>
    </xf>
    <xf borderId="1" fillId="0" fontId="19" numFmtId="0" xfId="0" applyAlignment="1" applyBorder="1" applyFont="1">
      <alignment readingOrder="0" shrinkToFit="0" wrapText="1"/>
    </xf>
    <xf borderId="1" fillId="6" fontId="19" numFmtId="0" xfId="0" applyAlignment="1" applyBorder="1" applyFont="1">
      <alignment readingOrder="0"/>
    </xf>
    <xf borderId="1" fillId="14" fontId="19" numFmtId="0" xfId="0" applyAlignment="1" applyBorder="1" applyFill="1" applyFont="1">
      <alignment shrinkToFit="0" wrapText="1"/>
    </xf>
    <xf borderId="0" fillId="0" fontId="48" numFmtId="0" xfId="0" applyAlignment="1" applyFont="1">
      <alignment horizontal="left" readingOrder="0" shrinkToFit="0" vertical="bottom" wrapText="0"/>
    </xf>
    <xf borderId="0" fillId="0" fontId="6" numFmtId="169" xfId="0" applyAlignment="1" applyFont="1" applyNumberFormat="1">
      <alignment readingOrder="0"/>
    </xf>
    <xf borderId="0" fillId="0" fontId="48" numFmtId="0" xfId="0" applyAlignment="1" applyFont="1">
      <alignment horizontal="right" readingOrder="0" shrinkToFit="0" vertical="bottom" wrapText="0"/>
    </xf>
    <xf borderId="0" fillId="0" fontId="6" numFmtId="169" xfId="0" applyFont="1" applyNumberFormat="1"/>
    <xf borderId="0" fillId="0" fontId="48" numFmtId="0" xfId="0" applyAlignment="1" applyFont="1">
      <alignment shrinkToFit="0" vertical="bottom" wrapText="0"/>
    </xf>
    <xf borderId="0" fillId="0" fontId="49" numFmtId="0" xfId="0" applyAlignment="1" applyFont="1">
      <alignment readingOrder="0"/>
    </xf>
    <xf borderId="4" fillId="15" fontId="50" numFmtId="0" xfId="0" applyAlignment="1" applyBorder="1" applyFill="1" applyFont="1">
      <alignment horizontal="center" vertical="center"/>
    </xf>
    <xf borderId="0" fillId="0" fontId="51" numFmtId="0" xfId="0" applyAlignment="1" applyFont="1">
      <alignment horizontal="center" vertical="center"/>
    </xf>
    <xf borderId="7" fillId="16" fontId="52" numFmtId="0" xfId="0" applyAlignment="1" applyBorder="1" applyFill="1" applyFont="1">
      <alignment horizontal="center" vertical="center"/>
    </xf>
    <xf borderId="7" fillId="0" fontId="19" numFmtId="0" xfId="0" applyBorder="1" applyFont="1"/>
    <xf borderId="7" fillId="0" fontId="53" numFmtId="0" xfId="0" applyBorder="1" applyFont="1"/>
    <xf borderId="4" fillId="17" fontId="54" numFmtId="0" xfId="0" applyAlignment="1" applyBorder="1" applyFill="1" applyFont="1">
      <alignment horizontal="left" vertical="center"/>
    </xf>
    <xf borderId="0" fillId="0" fontId="55" numFmtId="0" xfId="0" applyFont="1"/>
    <xf borderId="0" fillId="0" fontId="56" numFmtId="0" xfId="0" applyFont="1"/>
    <xf borderId="8" fillId="17" fontId="54" numFmtId="0" xfId="0" applyAlignment="1" applyBorder="1" applyFont="1">
      <alignment horizontal="left" vertical="center"/>
    </xf>
    <xf borderId="9" fillId="0" fontId="38" numFmtId="0" xfId="0" applyBorder="1" applyFont="1"/>
    <xf borderId="10" fillId="0" fontId="38" numFmtId="0" xfId="0" applyBorder="1" applyFont="1"/>
    <xf borderId="7" fillId="0" fontId="55" numFmtId="0" xfId="0" applyBorder="1" applyFont="1"/>
    <xf borderId="7" fillId="0" fontId="56" numFmtId="0" xfId="0" applyBorder="1" applyFont="1"/>
    <xf borderId="7" fillId="0" fontId="57" numFmtId="0" xfId="0" applyBorder="1" applyFont="1"/>
    <xf borderId="8" fillId="16" fontId="52" numFmtId="0" xfId="0" applyAlignment="1" applyBorder="1" applyFont="1">
      <alignment horizontal="center" vertical="center"/>
    </xf>
    <xf borderId="11" fillId="0" fontId="19" numFmtId="0" xfId="0" applyBorder="1" applyFont="1"/>
    <xf borderId="1" fillId="0" fontId="19" numFmtId="0" xfId="0" applyBorder="1" applyFont="1"/>
    <xf borderId="12" fillId="0" fontId="56" numFmtId="0" xfId="0" applyBorder="1" applyFont="1"/>
    <xf borderId="12" fillId="0" fontId="19" numFmtId="0" xfId="0" applyBorder="1" applyFont="1"/>
    <xf borderId="7" fillId="0" fontId="19" numFmtId="0" xfId="0" applyAlignment="1" applyBorder="1" applyFont="1">
      <alignment readingOrder="0"/>
    </xf>
    <xf borderId="7" fillId="0" fontId="52" numFmtId="0" xfId="0" applyAlignment="1" applyBorder="1" applyFont="1">
      <alignment horizontal="center" vertical="center"/>
    </xf>
    <xf borderId="7" fillId="16" fontId="52" numFmtId="0" xfId="0" applyAlignment="1" applyBorder="1" applyFont="1">
      <alignment horizontal="center" shrinkToFit="0" vertical="center" wrapText="1"/>
    </xf>
    <xf borderId="7" fillId="0" fontId="19" numFmtId="0" xfId="0" applyAlignment="1" applyBorder="1" applyFont="1">
      <alignment shrinkToFit="0" wrapText="1"/>
    </xf>
    <xf borderId="1" fillId="18" fontId="6" numFmtId="0" xfId="0" applyAlignment="1" applyBorder="1" applyFill="1" applyFont="1">
      <alignment horizontal="center" readingOrder="0"/>
    </xf>
    <xf borderId="1" fillId="18" fontId="6" numFmtId="0" xfId="0" applyAlignment="1" applyBorder="1" applyFont="1">
      <alignment horizontal="center"/>
    </xf>
    <xf borderId="1" fillId="3" fontId="58" numFmtId="0" xfId="0" applyAlignment="1" applyBorder="1" applyFont="1">
      <alignment readingOrder="0"/>
    </xf>
    <xf borderId="1" fillId="0" fontId="6" numFmtId="165" xfId="0" applyAlignment="1" applyBorder="1" applyFont="1" applyNumberFormat="1">
      <alignment readingOrder="0"/>
    </xf>
    <xf borderId="1" fillId="3" fontId="58" numFmtId="0" xfId="0" applyAlignment="1" applyBorder="1" applyFont="1">
      <alignment vertical="bottom"/>
    </xf>
    <xf borderId="1" fillId="0" fontId="15" numFmtId="0" xfId="0" applyAlignment="1" applyBorder="1" applyFont="1">
      <alignment horizontal="right" vertical="bottom"/>
    </xf>
    <xf borderId="1" fillId="0" fontId="15" numFmtId="165" xfId="0" applyAlignment="1" applyBorder="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cloudsign.jp/document/01mw7ee0t61dfwttz7jejejdhbphsncn/summary" TargetMode="External"/><Relationship Id="rId190" Type="http://schemas.openxmlformats.org/officeDocument/2006/relationships/hyperlink" Target="https://www.cloudsign.jp/document/01mvhv99grqc73a2khv3v8kcsff00ywv/summary" TargetMode="External"/><Relationship Id="rId42" Type="http://schemas.openxmlformats.org/officeDocument/2006/relationships/hyperlink" Target="https://www.cloudsign.jp/document/01mw7eehp99xjvk7xq9mj4tmyt4zayyg/summary" TargetMode="External"/><Relationship Id="rId41" Type="http://schemas.openxmlformats.org/officeDocument/2006/relationships/hyperlink" Target="https://www.cloudsign.jp/document/01mw7eecjn7kx4r3twa062wp5yrcmhhj/summary" TargetMode="External"/><Relationship Id="rId44" Type="http://schemas.openxmlformats.org/officeDocument/2006/relationships/hyperlink" Target="https://www.cloudsign.jp/document/01mw7ef0gey3a0gs2hghr5aq8zzwc2ft/summary" TargetMode="External"/><Relationship Id="rId194" Type="http://schemas.openxmlformats.org/officeDocument/2006/relationships/hyperlink" Target="https://www.cloudsign.jp/document/01mw7hhphb1j97y5766vth9vpvxhayxg/summary" TargetMode="External"/><Relationship Id="rId43" Type="http://schemas.openxmlformats.org/officeDocument/2006/relationships/hyperlink" Target="https://www.cloudsign.jp/document/01mw7ees6ra48ymm0ys7vp79ssk2t0m2/summary" TargetMode="External"/><Relationship Id="rId193" Type="http://schemas.openxmlformats.org/officeDocument/2006/relationships/hyperlink" Target="https://www.cloudsign.jp/document/01mvm1yn3k7zhh7edjr45r9mq8tgwvsb/summary" TargetMode="External"/><Relationship Id="rId46" Type="http://schemas.openxmlformats.org/officeDocument/2006/relationships/hyperlink" Target="https://www.cloudsign.jp/document/01msfg049kgw8hsar1hf84jgmet25t9z/summary" TargetMode="External"/><Relationship Id="rId192" Type="http://schemas.openxmlformats.org/officeDocument/2006/relationships/hyperlink" Target="https://www.cloudsign.jp/document/01mw7hhgy0nqj0112tpsq7g3skzzps8z/summary" TargetMode="External"/><Relationship Id="rId45" Type="http://schemas.openxmlformats.org/officeDocument/2006/relationships/hyperlink" Target="https://www.cloudsign.jp/document/01mw7efbdbh6whm28a94x580g1pq0wba/summary" TargetMode="External"/><Relationship Id="rId191" Type="http://schemas.openxmlformats.org/officeDocument/2006/relationships/hyperlink" Target="https://www.cloudsign.jp/document/01mvhxpe7v9whnh05hye8ytw0k7nd09v/summary" TargetMode="External"/><Relationship Id="rId48" Type="http://schemas.openxmlformats.org/officeDocument/2006/relationships/hyperlink" Target="https://www.cloudsign.jp/document/01mw7fmac7qce9jasvwnjffy2ex1wm6s/summary" TargetMode="External"/><Relationship Id="rId187" Type="http://schemas.openxmlformats.org/officeDocument/2006/relationships/hyperlink" Target="https://www.cloudsign.jp/document/01mvh44q3zbahzyax9h68k9fpqpy7jh7/summary" TargetMode="External"/><Relationship Id="rId47" Type="http://schemas.openxmlformats.org/officeDocument/2006/relationships/hyperlink" Target="https://www.cloudsign.jp/document/01msczybw26csemdng7e9qgvj8hyn3e7/summary" TargetMode="External"/><Relationship Id="rId186" Type="http://schemas.openxmlformats.org/officeDocument/2006/relationships/hyperlink" Target="https://www.cloudsign.jp/document/01mveq95w3zndy51y09mg81htxxf33n6/summary" TargetMode="External"/><Relationship Id="rId185" Type="http://schemas.openxmlformats.org/officeDocument/2006/relationships/hyperlink" Target="https://www.cloudsign.jp/document/01mw7hgc53cjb8stdrwjxm9m5h0nbgy0/summary" TargetMode="External"/><Relationship Id="rId49" Type="http://schemas.openxmlformats.org/officeDocument/2006/relationships/hyperlink" Target="https://www.cloudsign.jp/document/01mw7fmf9s8ztypxwrr59ren1jt7res7/summary" TargetMode="External"/><Relationship Id="rId184" Type="http://schemas.openxmlformats.org/officeDocument/2006/relationships/hyperlink" Target="https://www.cloudsign.jp/document/01mv7frnxwc4vwyczkbenyy3b03mzq9a/summary" TargetMode="External"/><Relationship Id="rId189" Type="http://schemas.openxmlformats.org/officeDocument/2006/relationships/hyperlink" Target="https://www.cloudsign.jp/document/01mvhj5whasm5321sqr2n5ks7kcbsz44/summary" TargetMode="External"/><Relationship Id="rId188" Type="http://schemas.openxmlformats.org/officeDocument/2006/relationships/hyperlink" Target="https://www.cloudsign.jp/document/01mw7hgqrqfgzwh1bt6dgsf21zrewnez/summary" TargetMode="External"/><Relationship Id="rId31" Type="http://schemas.openxmlformats.org/officeDocument/2006/relationships/hyperlink" Target="https://www.cloudsign.jp/document/01mw7e67f0j2msvppcf9e6x08t56sm7y/summary" TargetMode="External"/><Relationship Id="rId30" Type="http://schemas.openxmlformats.org/officeDocument/2006/relationships/hyperlink" Target="https://www.cloudsign.jp/document/01mr599vka65qpr8cf14b669vyc76p7n/summary" TargetMode="External"/><Relationship Id="rId33" Type="http://schemas.openxmlformats.org/officeDocument/2006/relationships/hyperlink" Target="https://www.cloudsign.jp/document/01mw7e6ry19qctw26838xp5yb4c7mvfb/summary" TargetMode="External"/><Relationship Id="rId183" Type="http://schemas.openxmlformats.org/officeDocument/2006/relationships/hyperlink" Target="https://www.cloudsign.jp/document/01mw7hft53hxpmvyptmyd0aeaaz1krb2/summary" TargetMode="External"/><Relationship Id="rId32" Type="http://schemas.openxmlformats.org/officeDocument/2006/relationships/hyperlink" Target="https://www.cloudsign.jp/document/01mr7z646kqq9sa3gkne2pny5kkhk3gw/summary" TargetMode="External"/><Relationship Id="rId182" Type="http://schemas.openxmlformats.org/officeDocument/2006/relationships/hyperlink" Target="https://www.cloudsign.jp/document/01mv78wewaw5mza71rncnzn5wr3xrwmb/summary" TargetMode="External"/><Relationship Id="rId35" Type="http://schemas.openxmlformats.org/officeDocument/2006/relationships/hyperlink" Target="https://www.cloudsign.jp/document/01mw7ebdjjw202f2y5wtcerghv36yv8y/summary" TargetMode="External"/><Relationship Id="rId181" Type="http://schemas.openxmlformats.org/officeDocument/2006/relationships/hyperlink" Target="https://www.cloudsign.jp/document/01mw7hfmmta361zza23pthhjdjgz7q5c/summary" TargetMode="External"/><Relationship Id="rId34" Type="http://schemas.openxmlformats.org/officeDocument/2006/relationships/hyperlink" Target="https://www.cloudsign.jp/document/01mw7eb7gd2ft4n7j4w673vwe0vastgp/summary" TargetMode="External"/><Relationship Id="rId180" Type="http://schemas.openxmlformats.org/officeDocument/2006/relationships/hyperlink" Target="https://www.cloudsign.jp/document/01mv72a2pppspszmqgj5a7wsrp966zqt/summary" TargetMode="External"/><Relationship Id="rId37" Type="http://schemas.openxmlformats.org/officeDocument/2006/relationships/hyperlink" Target="https://www.cloudsign.jp/document/01mw7ecwa7et6b2nstjs18bhekh6myz8/summary" TargetMode="External"/><Relationship Id="rId176" Type="http://schemas.openxmlformats.org/officeDocument/2006/relationships/hyperlink" Target="https://www.cloudsign.jp/document/01mw7hdc7x1kwp2n8bw1h31bh9x1cmsw/summary" TargetMode="External"/><Relationship Id="rId36" Type="http://schemas.openxmlformats.org/officeDocument/2006/relationships/hyperlink" Target="https://www.cloudsign.jp/document/01mrx2n9er8ak6td6k72m1pxj1dggwr6/summary" TargetMode="External"/><Relationship Id="rId175" Type="http://schemas.openxmlformats.org/officeDocument/2006/relationships/hyperlink" Target="https://www.cloudsign.jp/document/01mv518nk5dd2gyhdm47khxkq90pqpwh/summary" TargetMode="External"/><Relationship Id="rId39" Type="http://schemas.openxmlformats.org/officeDocument/2006/relationships/hyperlink" Target="https://www.cloudsign.jp/document/01ms7qaqd17407eyqznx9n3vmx2mf7b1/summary" TargetMode="External"/><Relationship Id="rId174" Type="http://schemas.openxmlformats.org/officeDocument/2006/relationships/hyperlink" Target="https://www.cloudsign.jp/document/01mv4wcn5xgd967s75zj2s2ghq6hvf6q/summary" TargetMode="External"/><Relationship Id="rId38" Type="http://schemas.openxmlformats.org/officeDocument/2006/relationships/hyperlink" Target="https://www.cloudsign.jp/document/01mw7edeq5c3w5nf3t1pxc5f3xffvh18/summary" TargetMode="External"/><Relationship Id="rId173" Type="http://schemas.openxmlformats.org/officeDocument/2006/relationships/hyperlink" Target="https://www.cloudsign.jp/document/01mw7hd15408pdc16en3dyf5kgwmfh0x/summary" TargetMode="External"/><Relationship Id="rId179" Type="http://schemas.openxmlformats.org/officeDocument/2006/relationships/hyperlink" Target="https://www.cloudsign.jp/document/01mv6xqvkqzz3yshapqsxggjmwcskkq8/summary" TargetMode="External"/><Relationship Id="rId178" Type="http://schemas.openxmlformats.org/officeDocument/2006/relationships/hyperlink" Target="https://www.cloudsign.jp/document/01mw7hdj171athg9fvwmx6twyzmvk7zf/summary" TargetMode="External"/><Relationship Id="rId177" Type="http://schemas.openxmlformats.org/officeDocument/2006/relationships/hyperlink" Target="https://www.cloudsign.jp/document/01mv6ws4swg32w1qate2zgkqyyekgy1s/summary" TargetMode="External"/><Relationship Id="rId20" Type="http://schemas.openxmlformats.org/officeDocument/2006/relationships/hyperlink" Target="mailto:sginji3110@gmail.com" TargetMode="External"/><Relationship Id="rId22" Type="http://schemas.openxmlformats.org/officeDocument/2006/relationships/hyperlink" Target="https://www.cloudsign.jp/document/01mqr9w8ye3ahxy8v2fqsaphfmcx63he/summary" TargetMode="External"/><Relationship Id="rId21" Type="http://schemas.openxmlformats.org/officeDocument/2006/relationships/hyperlink" Target="https://www.cloudsign.jp/document/01mqr9w8ye3ahxy8v2fqsaphfmcx63he/summary" TargetMode="External"/><Relationship Id="rId24" Type="http://schemas.openxmlformats.org/officeDocument/2006/relationships/hyperlink" Target="https://www.cloudsign.jp/document/01mw7e3nqrf8atcc7yhssvykdg93kzz7/summary" TargetMode="External"/><Relationship Id="rId23" Type="http://schemas.openxmlformats.org/officeDocument/2006/relationships/hyperlink" Target="https://www.cloudsign.jp/document/01mqra6pa1kve5dffe28q0s5t38493m2/summary" TargetMode="External"/><Relationship Id="rId26" Type="http://schemas.openxmlformats.org/officeDocument/2006/relationships/hyperlink" Target="https://www.cloudsign.jp/document/01mw7e46hhwhms9nmrhwzz61kgmr7rft/summary" TargetMode="External"/><Relationship Id="rId25" Type="http://schemas.openxmlformats.org/officeDocument/2006/relationships/hyperlink" Target="https://www.cloudsign.jp/document/01mw7e3tzq8016zgrfs33j4sfjq8300q/summary" TargetMode="External"/><Relationship Id="rId28" Type="http://schemas.openxmlformats.org/officeDocument/2006/relationships/hyperlink" Target="https://www.cloudsign.jp/document/01mqrbtkdzz49a673vepm9kzabr4h15k/summary" TargetMode="External"/><Relationship Id="rId27" Type="http://schemas.openxmlformats.org/officeDocument/2006/relationships/hyperlink" Target="https://www.cloudsign.jp/document/01mqrbpcmyv62cg38sp6kd2d3p4yggyf/summary" TargetMode="External"/><Relationship Id="rId29" Type="http://schemas.openxmlformats.org/officeDocument/2006/relationships/hyperlink" Target="https://www.cloudsign.jp/document/01mw7e50s35hf594bxhwdyj1qs80d0cy/summary" TargetMode="External"/><Relationship Id="rId11" Type="http://schemas.openxmlformats.org/officeDocument/2006/relationships/hyperlink" Target="https://www.cloudsign.jp/document/01mw7e038cfwwcpjn9z7pqqg50rzxtfa/summary" TargetMode="External"/><Relationship Id="rId10" Type="http://schemas.openxmlformats.org/officeDocument/2006/relationships/hyperlink" Target="https://www.cloudsign.jp/document/01mw7dz9segxe9415y4npz9rjpjm9ad4/summary" TargetMode="External"/><Relationship Id="rId13" Type="http://schemas.openxmlformats.org/officeDocument/2006/relationships/hyperlink" Target="https://www.cloudsign.jp/document/01mw7e0w0jw9nrvd98a69tk5t12j0t7n/summary" TargetMode="External"/><Relationship Id="rId12" Type="http://schemas.openxmlformats.org/officeDocument/2006/relationships/hyperlink" Target="https://www.cloudsign.jp/document/01mw7e0mtfynr5gh512nen1jgfpwe6w7/summary" TargetMode="External"/><Relationship Id="rId15" Type="http://schemas.openxmlformats.org/officeDocument/2006/relationships/hyperlink" Target="https://www.cloudsign.jp/document/01mw7e1r4c65ms2ymzsc05q1tmn2yyge/summary" TargetMode="External"/><Relationship Id="rId198" Type="http://schemas.openxmlformats.org/officeDocument/2006/relationships/hyperlink" Target="https://www.cloudsign.jp/document/01mw7hjcatvagt7wjrvyfm5kyrs4z6h1/summary" TargetMode="External"/><Relationship Id="rId14" Type="http://schemas.openxmlformats.org/officeDocument/2006/relationships/hyperlink" Target="https://www.cloudsign.jp/document/01mq3grmv4gpmh1xck0244jnfb4qmx4c/summary" TargetMode="External"/><Relationship Id="rId197" Type="http://schemas.openxmlformats.org/officeDocument/2006/relationships/hyperlink" Target="https://www.cloudsign.jp/document/01mvmf7337h49dh2yz3bw30g8mcv5p03/summary" TargetMode="External"/><Relationship Id="rId17" Type="http://schemas.openxmlformats.org/officeDocument/2006/relationships/hyperlink" Target="https://www.cloudsign.jp/document/01mqgvakjnrpynqzdvagwjp6d0d5pexj/summary" TargetMode="External"/><Relationship Id="rId196" Type="http://schemas.openxmlformats.org/officeDocument/2006/relationships/hyperlink" Target="https://www.cloudsign.jp/document/01mw7hhvvsemnt7jqqwherpta7v03mqq/summary" TargetMode="External"/><Relationship Id="rId16" Type="http://schemas.openxmlformats.org/officeDocument/2006/relationships/hyperlink" Target="https://www.cloudsign.jp/document/01mw7e1ypwca6bazf1k3843gjax329q9/summary" TargetMode="External"/><Relationship Id="rId195" Type="http://schemas.openxmlformats.org/officeDocument/2006/relationships/hyperlink" Target="https://www.cloudsign.jp/document/01mvme1w6gnyh1b08b3n61z5tyw473n9/summary" TargetMode="External"/><Relationship Id="rId19" Type="http://schemas.openxmlformats.org/officeDocument/2006/relationships/hyperlink" Target="https://www.cloudsign.jp/document/01mw7e2vvr79asxdjxdvs3qqvsdr9pg7/summary" TargetMode="External"/><Relationship Id="rId18" Type="http://schemas.openxmlformats.org/officeDocument/2006/relationships/hyperlink" Target="https://www.cloudsign.jp/document/01mqgvhcsc2b4swe1x84knqkk4wtc69s/summary" TargetMode="External"/><Relationship Id="rId199" Type="http://schemas.openxmlformats.org/officeDocument/2006/relationships/hyperlink" Target="https://www.cloudsign.jp/document/01mvmfy5za67hkdn1wqfgw1wv70n6swp/summary" TargetMode="External"/><Relationship Id="rId84" Type="http://schemas.openxmlformats.org/officeDocument/2006/relationships/hyperlink" Target="https://www.cloudsign.jp/document/01mtd7m90q53f4y1w6pmg4bwjp95nzzv/summary" TargetMode="External"/><Relationship Id="rId83" Type="http://schemas.openxmlformats.org/officeDocument/2006/relationships/hyperlink" Target="https://www.cloudsign.jp/document/01mtd6x8y6ztjsvcnqcxzzchdftkc9x4/summary" TargetMode="External"/><Relationship Id="rId86" Type="http://schemas.openxmlformats.org/officeDocument/2006/relationships/hyperlink" Target="https://www.cloudsign.jp/document/01mtf2xw2zd8ybm2wmxbfge6ww4rjajb/summary" TargetMode="External"/><Relationship Id="rId85" Type="http://schemas.openxmlformats.org/officeDocument/2006/relationships/hyperlink" Target="https://www.cloudsign.jp/document/01mw7g7jr6r86c9pjfb7r5t341he10e0/summary" TargetMode="External"/><Relationship Id="rId88" Type="http://schemas.openxmlformats.org/officeDocument/2006/relationships/hyperlink" Target="https://www.cloudsign.jp/document/01mtf6e5c2h2782bnncrrkgzqt0v4qc5/summary" TargetMode="External"/><Relationship Id="rId150" Type="http://schemas.openxmlformats.org/officeDocument/2006/relationships/hyperlink" Target="https://www.cloudsign.jp/document/01mw7h8yf7yxv2152xa4kpxegg2mrtnm/summary" TargetMode="External"/><Relationship Id="rId87" Type="http://schemas.openxmlformats.org/officeDocument/2006/relationships/hyperlink" Target="https://www.cloudsign.jp/document/01mw7fxe8t60w61zsv1hhmbb0v8ckpwy/summary" TargetMode="External"/><Relationship Id="rId89" Type="http://schemas.openxmlformats.org/officeDocument/2006/relationships/hyperlink" Target="https://www.cloudsign.jp/document/01mw7fxk3ep1fzdr3jg4esyzyvf0e9pd/summary" TargetMode="External"/><Relationship Id="rId80" Type="http://schemas.openxmlformats.org/officeDocument/2006/relationships/hyperlink" Target="https://www.cloudsign.jp/document/01mw7fvvs1rr3b1q0gxje83xtbny207c/summary" TargetMode="External"/><Relationship Id="rId82" Type="http://schemas.openxmlformats.org/officeDocument/2006/relationships/hyperlink" Target="https://www.cloudsign.jp/document/01mw7fw6s6m7sew68n4w6d18w2hd5fey/summary" TargetMode="External"/><Relationship Id="rId81" Type="http://schemas.openxmlformats.org/officeDocument/2006/relationships/hyperlink" Target="https://www.cloudsign.jp/document/01mtd6nv1nt7jra5wrzx1pvsadr7fn7s/summary" TargetMode="External"/><Relationship Id="rId1" Type="http://schemas.openxmlformats.org/officeDocument/2006/relationships/hyperlink" Target="https://www.cloudsign.jp/document/01mw7dmyvw7e06yk03t0wb1bdsxpbgrj/summary" TargetMode="External"/><Relationship Id="rId2" Type="http://schemas.openxmlformats.org/officeDocument/2006/relationships/hyperlink" Target="https://www.cloudsign.jp/document/01mw7dnftgss41apy7akj1xk54vw8n42/summary" TargetMode="External"/><Relationship Id="rId3" Type="http://schemas.openxmlformats.org/officeDocument/2006/relationships/hyperlink" Target="https://www.cloudsign.jp/document/01mw7dwedgt1ax422tby764vkvq4mjb1/summary" TargetMode="External"/><Relationship Id="rId149" Type="http://schemas.openxmlformats.org/officeDocument/2006/relationships/hyperlink" Target="https://www.cloudsign.jp/document/01mwcjgqa42j4tp3vwxghjwc4xt2ej8r/summary" TargetMode="External"/><Relationship Id="rId4" Type="http://schemas.openxmlformats.org/officeDocument/2006/relationships/hyperlink" Target="https://www.cloudsign.jp/document/01mw7dwsarv5jsd5pvccmcgrfe7yh1sk/summary" TargetMode="External"/><Relationship Id="rId148" Type="http://schemas.openxmlformats.org/officeDocument/2006/relationships/hyperlink" Target="https://www.cloudsign.jp/document/01mw7h8023k829k01c58m1bkzp4afgr6/summary" TargetMode="External"/><Relationship Id="rId9" Type="http://schemas.openxmlformats.org/officeDocument/2006/relationships/hyperlink" Target="https://www.cloudsign.jp/document/01mw7dy3ga388jq27yp89vbe45n4g40a/summary" TargetMode="External"/><Relationship Id="rId143" Type="http://schemas.openxmlformats.org/officeDocument/2006/relationships/hyperlink" Target="https://www.cloudsign.jp/document/01mw7h66dwqedxbtxrn2km7r64mxfw31/summary" TargetMode="External"/><Relationship Id="rId142" Type="http://schemas.openxmlformats.org/officeDocument/2006/relationships/hyperlink" Target="https://www.cloudsign.jp/document/01mw7h60d89ymgrnc3r0gs8tknft0sde/summary" TargetMode="External"/><Relationship Id="rId141" Type="http://schemas.openxmlformats.org/officeDocument/2006/relationships/hyperlink" Target="https://www.cloudsign.jp/document/01mw7h513pznjeqzrp71jwcq9jbatf8a/summary" TargetMode="External"/><Relationship Id="rId140" Type="http://schemas.openxmlformats.org/officeDocument/2006/relationships/hyperlink" Target="https://www.cloudsign.jp/document/01mw7h4gn07bgrcctmtr3hf44qhas6wy/summary" TargetMode="External"/><Relationship Id="rId5" Type="http://schemas.openxmlformats.org/officeDocument/2006/relationships/hyperlink" Target="https://www.cloudsign.jp/document/01mw7dx0qqwf99qgfqzdzc9p2vt351w8/summary" TargetMode="External"/><Relationship Id="rId147" Type="http://schemas.openxmlformats.org/officeDocument/2006/relationships/hyperlink" Target="https://www.cloudsign.jp/document/01mtzdzgnkwfbg12nmxhctv7w557bh2g/summary" TargetMode="External"/><Relationship Id="rId6" Type="http://schemas.openxmlformats.org/officeDocument/2006/relationships/hyperlink" Target="https://www.cloudsign.jp/document/01mw7dxcrbd9cgwyd1gkc3wtx2g6qfks/summary" TargetMode="External"/><Relationship Id="rId146" Type="http://schemas.openxmlformats.org/officeDocument/2006/relationships/hyperlink" Target="https://www.cloudsign.jp/document/01mw7h6z1w73fezm8a2a57r297w79syy/summary" TargetMode="External"/><Relationship Id="rId7" Type="http://schemas.openxmlformats.org/officeDocument/2006/relationships/hyperlink" Target="https://www.cloudsign.jp/document/01mw7dxqadpx492s6e3d9zy5kmcmhqxd/summary" TargetMode="External"/><Relationship Id="rId145" Type="http://schemas.openxmlformats.org/officeDocument/2006/relationships/hyperlink" Target="https://www.cloudsign.jp/document/01mw7h6rc73336ernc7rsd5fpcht7fp1/summary" TargetMode="External"/><Relationship Id="rId8" Type="http://schemas.openxmlformats.org/officeDocument/2006/relationships/hyperlink" Target="https://www.cloudsign.jp/document/01mw7dxx2vb5bvsbfej54vcemahdhv71/summary" TargetMode="External"/><Relationship Id="rId144" Type="http://schemas.openxmlformats.org/officeDocument/2006/relationships/hyperlink" Target="https://www.cloudsign.jp/document/01mw7h6cjmce64zp80802fybq101d7c0/summary" TargetMode="External"/><Relationship Id="rId73" Type="http://schemas.openxmlformats.org/officeDocument/2006/relationships/hyperlink" Target="https://www.cloudsign.jp/document/01mw7ft7enz891g7bp25mt23feknccjs/summary" TargetMode="External"/><Relationship Id="rId72" Type="http://schemas.openxmlformats.org/officeDocument/2006/relationships/hyperlink" Target="https://www.cloudsign.jp/document/01mw7ft2tjxe1ayejmm7g11pqcz0fp49/summary" TargetMode="External"/><Relationship Id="rId75" Type="http://schemas.openxmlformats.org/officeDocument/2006/relationships/hyperlink" Target="https://www.cloudsign.jp/document/01mt9v4jxf597pyzc621vk55x05r91wj/summary" TargetMode="External"/><Relationship Id="rId74" Type="http://schemas.openxmlformats.org/officeDocument/2006/relationships/hyperlink" Target="https://www.cloudsign.jp/document/01mt9tzr89rk9xbvq8hnn2jfrrzt1twn/summary" TargetMode="External"/><Relationship Id="rId77" Type="http://schemas.openxmlformats.org/officeDocument/2006/relationships/hyperlink" Target="https://www.cloudsign.jp/document/01mw7ftyt2a8sx103bb31gxchmbtv434/summary" TargetMode="External"/><Relationship Id="rId76" Type="http://schemas.openxmlformats.org/officeDocument/2006/relationships/hyperlink" Target="https://www.cloudsign.jp/document/01mtd5qf8zvn5kypk0fxvjc4tg6fwrpa/summary" TargetMode="External"/><Relationship Id="rId79" Type="http://schemas.openxmlformats.org/officeDocument/2006/relationships/hyperlink" Target="https://www.cloudsign.jp/document/01mtd66g656d3afq73m41qenw2ptbfq2/summary" TargetMode="External"/><Relationship Id="rId78" Type="http://schemas.openxmlformats.org/officeDocument/2006/relationships/hyperlink" Target="https://www.cloudsign.jp/document/01mtd62pnxyb5jtnxyactqb4p1cb2exp/summary" TargetMode="External"/><Relationship Id="rId71" Type="http://schemas.openxmlformats.org/officeDocument/2006/relationships/hyperlink" Target="https://www.cloudsign.jp/document/01mt2pe4v5q4m0wa4ysh2vd1z4v3hxws/summary" TargetMode="External"/><Relationship Id="rId70" Type="http://schemas.openxmlformats.org/officeDocument/2006/relationships/hyperlink" Target="https://www.cloudsign.jp/document/01mt2pbe3wvch83bd3r4ytxrx8xtej03/summary" TargetMode="External"/><Relationship Id="rId139" Type="http://schemas.openxmlformats.org/officeDocument/2006/relationships/hyperlink" Target="https://www.cloudsign.jp/document/01mw7h4a4641av5rf598egfvh14f2c2w/summary" TargetMode="External"/><Relationship Id="rId138" Type="http://schemas.openxmlformats.org/officeDocument/2006/relationships/hyperlink" Target="https://www.cloudsign.jp/document/01mw7h44p4gaxtesp1xqvbp3jhk84wdx/summary" TargetMode="External"/><Relationship Id="rId137" Type="http://schemas.openxmlformats.org/officeDocument/2006/relationships/hyperlink" Target="https://www.cloudsign.jp/document/01mtwhgera6thzmg5ew6828ekeh8pp1n/summary" TargetMode="External"/><Relationship Id="rId132" Type="http://schemas.openxmlformats.org/officeDocument/2006/relationships/hyperlink" Target="https://www.cloudsign.jp/document/01mw7gct6knv8gztrs1kzv6esnk4p9h7/summary" TargetMode="External"/><Relationship Id="rId253" Type="http://schemas.openxmlformats.org/officeDocument/2006/relationships/hyperlink" Target="https://www.cloudsign.jp/document/01mww43cmv7s5mcvrnfr6bmcs2tjt5ar/summary" TargetMode="External"/><Relationship Id="rId131" Type="http://schemas.openxmlformats.org/officeDocument/2006/relationships/hyperlink" Target="https://www.cloudsign.jp/document/01mw7gcn3t0sz40jnbv63at4awza7zgk/summary" TargetMode="External"/><Relationship Id="rId252" Type="http://schemas.openxmlformats.org/officeDocument/2006/relationships/hyperlink" Target="https://www.cloudsign.jp/document/01mwtyrwdf727f6gpzkbdwvgkpet4spw/summary" TargetMode="External"/><Relationship Id="rId130" Type="http://schemas.openxmlformats.org/officeDocument/2006/relationships/hyperlink" Target="https://www.cloudsign.jp/document/01mw7gcftk7fzvv3ddf2mkkxjrnhbhhv/summary" TargetMode="External"/><Relationship Id="rId251" Type="http://schemas.openxmlformats.org/officeDocument/2006/relationships/hyperlink" Target="https://www.cloudsign.jp/document/01mwsx9sr0ghq2f6t6hczsn8aeykb1gk/summary" TargetMode="External"/><Relationship Id="rId250" Type="http://schemas.openxmlformats.org/officeDocument/2006/relationships/hyperlink" Target="https://www.cloudsign.jp/document/01mwsm51y6z4w1sx76mh3de7ad2y5g1e/summary" TargetMode="External"/><Relationship Id="rId136" Type="http://schemas.openxmlformats.org/officeDocument/2006/relationships/hyperlink" Target="https://www.cloudsign.jp/document/01mvhjy00e7xxkb7ygk07kek1210461k/summary" TargetMode="External"/><Relationship Id="rId135" Type="http://schemas.openxmlformats.org/officeDocument/2006/relationships/hyperlink" Target="https://www.cloudsign.jp/document/01mw7h37mprw2bhrzv6c5397mmsqc50x/summary" TargetMode="External"/><Relationship Id="rId134" Type="http://schemas.openxmlformats.org/officeDocument/2006/relationships/hyperlink" Target="https://www.cloudsign.jp/document/01mw7gdckk6g98x62zpfjxe181cagbm6/summary" TargetMode="External"/><Relationship Id="rId255" Type="http://schemas.openxmlformats.org/officeDocument/2006/relationships/drawing" Target="../drawings/drawing1.xml"/><Relationship Id="rId133" Type="http://schemas.openxmlformats.org/officeDocument/2006/relationships/hyperlink" Target="https://www.cloudsign.jp/document/01mw7gd6gfn02gy3417902q8w2zysphx/summary" TargetMode="External"/><Relationship Id="rId254" Type="http://schemas.openxmlformats.org/officeDocument/2006/relationships/hyperlink" Target="https://www.cloudsign.jp/document/01mww7dwzy1yah5zq653gsyk6yh8k30n/summary" TargetMode="External"/><Relationship Id="rId62" Type="http://schemas.openxmlformats.org/officeDocument/2006/relationships/hyperlink" Target="https://www.cloudsign.jp/document/01mw7frkdxk2td1kfh4kf6y3gkyb5xd9/summary" TargetMode="External"/><Relationship Id="rId61" Type="http://schemas.openxmlformats.org/officeDocument/2006/relationships/hyperlink" Target="https://www.cloudsign.jp/document/01mw7frdx45xbfxrydccxpk82zm9x7t4/summary" TargetMode="External"/><Relationship Id="rId64" Type="http://schemas.openxmlformats.org/officeDocument/2006/relationships/hyperlink" Target="https://www.cloudsign.jp/document/01mwm82cewghh43v02re5ehzpbht1v76/summary" TargetMode="External"/><Relationship Id="rId63" Type="http://schemas.openxmlformats.org/officeDocument/2006/relationships/hyperlink" Target="https://www.cloudsign.jp/document/01mw7frrx6y10j1yf4x44sfkqzh0mpgt/summary" TargetMode="External"/><Relationship Id="rId66" Type="http://schemas.openxmlformats.org/officeDocument/2006/relationships/hyperlink" Target="https://www.cloudsign.jp/document/01mw7fs4c81hjqr8e7dvm57n0qdwketb/summary" TargetMode="External"/><Relationship Id="rId172" Type="http://schemas.openxmlformats.org/officeDocument/2006/relationships/hyperlink" Target="https://www.cloudsign.jp/document/01mv4wc220140bptdbj70vrrqj6adfcz/summary" TargetMode="External"/><Relationship Id="rId65" Type="http://schemas.openxmlformats.org/officeDocument/2006/relationships/hyperlink" Target="https://www.cloudsign.jp/document/01mt02t73fv6x42f0533xfat3y5jtc7f/summary" TargetMode="External"/><Relationship Id="rId171" Type="http://schemas.openxmlformats.org/officeDocument/2006/relationships/hyperlink" Target="https://www.cloudsign.jp/document/01mw7hcvg7dms405kt8jzz6xc10tjtjb/summary" TargetMode="External"/><Relationship Id="rId68" Type="http://schemas.openxmlformats.org/officeDocument/2006/relationships/hyperlink" Target="https://www.cloudsign.jp/document/01mt2jxn5xp8zj3ehckdsf5qkf6266ft/summary" TargetMode="External"/><Relationship Id="rId170" Type="http://schemas.openxmlformats.org/officeDocument/2006/relationships/hyperlink" Target="https://www.cloudsign.jp/document/01mv4wbjec1kra2a60ps9yy2s4xfq6rz/summary" TargetMode="External"/><Relationship Id="rId67" Type="http://schemas.openxmlformats.org/officeDocument/2006/relationships/hyperlink" Target="https://www.cloudsign.jp/document/01mw7fsfek3g7ahkcye2p58kat4bhz7c/summary" TargetMode="External"/><Relationship Id="rId60" Type="http://schemas.openxmlformats.org/officeDocument/2006/relationships/hyperlink" Target="https://www.cloudsign.jp/document/01mw7g76w7eqpfy2ytm2c2a9y66q37s7/summary" TargetMode="External"/><Relationship Id="rId165" Type="http://schemas.openxmlformats.org/officeDocument/2006/relationships/hyperlink" Target="https://www.cloudsign.jp/document/01mv4w7x6kd853d87rtfxga9zzwj1ek5/summary" TargetMode="External"/><Relationship Id="rId69" Type="http://schemas.openxmlformats.org/officeDocument/2006/relationships/hyperlink" Target="https://www.cloudsign.jp/document/01mt2k10p3ezrgek6a2abb614jd0kf0a/summary" TargetMode="External"/><Relationship Id="rId164" Type="http://schemas.openxmlformats.org/officeDocument/2006/relationships/hyperlink" Target="https://www.cloudsign.jp/document/01mv4w701e7meg3zdmd671ndqgn5mrr2/summary" TargetMode="External"/><Relationship Id="rId163" Type="http://schemas.openxmlformats.org/officeDocument/2006/relationships/hyperlink" Target="https://www.cloudsign.jp/document/01mw7hbrej53m0tt5zyhs3sa9tqygc4b/summary" TargetMode="External"/><Relationship Id="rId162" Type="http://schemas.openxmlformats.org/officeDocument/2006/relationships/hyperlink" Target="https://www.cloudsign.jp/document/01mv4w6f8te039peh3vzgqgfgmn6p2gh/summary" TargetMode="External"/><Relationship Id="rId169" Type="http://schemas.openxmlformats.org/officeDocument/2006/relationships/hyperlink" Target="https://www.cloudsign.jp/document/01mw7hcnw8r6dr7f1ygft6kvtb4wzd68/summary" TargetMode="External"/><Relationship Id="rId168" Type="http://schemas.openxmlformats.org/officeDocument/2006/relationships/hyperlink" Target="https://www.cloudsign.jp/document/01mv4x68frbj20scnnmes1mdwh7b345y/summary" TargetMode="External"/><Relationship Id="rId167" Type="http://schemas.openxmlformats.org/officeDocument/2006/relationships/hyperlink" Target="https://www.cloudsign.jp/document/01mv4w8ex54rv9ksa20sjjmwpfsxh4zc/summary" TargetMode="External"/><Relationship Id="rId166" Type="http://schemas.openxmlformats.org/officeDocument/2006/relationships/hyperlink" Target="https://www.cloudsign.jp/document/01mw7hc31a9zk0aj9snnwfcmcp8p19ah/summary" TargetMode="External"/><Relationship Id="rId51" Type="http://schemas.openxmlformats.org/officeDocument/2006/relationships/hyperlink" Target="https://www.cloudsign.jp/document/01mw7fn17g9xncns5sr47665kexmem4m/summary" TargetMode="External"/><Relationship Id="rId50" Type="http://schemas.openxmlformats.org/officeDocument/2006/relationships/hyperlink" Target="https://www.cloudsign.jp/document/01msff85n6fxwsd19gvz278nzrdqdd0g/summary" TargetMode="External"/><Relationship Id="rId53" Type="http://schemas.openxmlformats.org/officeDocument/2006/relationships/hyperlink" Target="https://www.cloudsign.jp/document/01mw7fp9ew504dywtx5909a36bfasgr1/summary" TargetMode="External"/><Relationship Id="rId52" Type="http://schemas.openxmlformats.org/officeDocument/2006/relationships/hyperlink" Target="https://www.cloudsign.jp/document/01mw7fnn6kq8sctrdxd9sa2cxpjsb7jf/summary" TargetMode="External"/><Relationship Id="rId55" Type="http://schemas.openxmlformats.org/officeDocument/2006/relationships/hyperlink" Target="https://www.cloudsign.jp/document/01mst1g2ra71kv3t3d5dtk73szrsag5y/summary" TargetMode="External"/><Relationship Id="rId161" Type="http://schemas.openxmlformats.org/officeDocument/2006/relationships/hyperlink" Target="https://www.cloudsign.jp/document/01mw7hbj6kgwhrd9rq311fq5httzc6s6/summary" TargetMode="External"/><Relationship Id="rId54" Type="http://schemas.openxmlformats.org/officeDocument/2006/relationships/hyperlink" Target="https://www.cloudsign.jp/document/01mst189mbdcbk2hjq9w3023mg4mdr6n/summary" TargetMode="External"/><Relationship Id="rId160" Type="http://schemas.openxmlformats.org/officeDocument/2006/relationships/hyperlink" Target="https://www.cloudsign.jp/document/01mw7hbd8930kdjwys86qjzt7cbrmd0m/summary" TargetMode="External"/><Relationship Id="rId57" Type="http://schemas.openxmlformats.org/officeDocument/2006/relationships/hyperlink" Target="https://www.cloudsign.jp/document/01mw7fq5mn8rmtjrb6b6p4gz2398842q/summary" TargetMode="External"/><Relationship Id="rId56" Type="http://schemas.openxmlformats.org/officeDocument/2006/relationships/hyperlink" Target="https://www.cloudsign.jp/document/01mw7fq0sg30znr0cj5z8mrvbarct4zc/summary" TargetMode="External"/><Relationship Id="rId159" Type="http://schemas.openxmlformats.org/officeDocument/2006/relationships/hyperlink" Target="https://www.cloudsign.jp/document/01mv4w59gafmv79cfmptmaqsj1wq6b3c/summary" TargetMode="External"/><Relationship Id="rId59" Type="http://schemas.openxmlformats.org/officeDocument/2006/relationships/hyperlink" Target="https://www.cloudsign.jp/document/01mstqvb0b1fja4359g3hvv030cyq5zn/summary" TargetMode="External"/><Relationship Id="rId154" Type="http://schemas.openxmlformats.org/officeDocument/2006/relationships/hyperlink" Target="https://www.cloudsign.jp/document/01mw9x65yjp1abrb0p6c15fdxgvkt9e9/summary" TargetMode="External"/><Relationship Id="rId58" Type="http://schemas.openxmlformats.org/officeDocument/2006/relationships/hyperlink" Target="https://www.cloudsign.jp/document/01mw7fqba8xtnbze35we3n8nmmet0c9q/summary" TargetMode="External"/><Relationship Id="rId153" Type="http://schemas.openxmlformats.org/officeDocument/2006/relationships/hyperlink" Target="https://www.cloudsign.jp/document/01mv26gsa21pkes3sh3rbfa3sd71rqs9/summary" TargetMode="External"/><Relationship Id="rId152" Type="http://schemas.openxmlformats.org/officeDocument/2006/relationships/hyperlink" Target="https://www.cloudsign.jp/document/01mw7h949ppvewre93ryy8a9gfejrpcy/summary" TargetMode="External"/><Relationship Id="rId151" Type="http://schemas.openxmlformats.org/officeDocument/2006/relationships/hyperlink" Target="https://www.cloudsign.jp/document/01mv26g6vg5hh2bw58n7bsh7v5xyehha/summary" TargetMode="External"/><Relationship Id="rId158" Type="http://schemas.openxmlformats.org/officeDocument/2006/relationships/hyperlink" Target="https://www.cloudsign.jp/document/01mw7hb6z99ahyh8t1tmwq4n0c0h276s/summary" TargetMode="External"/><Relationship Id="rId157" Type="http://schemas.openxmlformats.org/officeDocument/2006/relationships/hyperlink" Target="https://www.cloudsign.jp/document/01mv26p8w0spvnzgrmadqfjrqeys0vd4/summary" TargetMode="External"/><Relationship Id="rId156" Type="http://schemas.openxmlformats.org/officeDocument/2006/relationships/hyperlink" Target="https://www.cloudsign.jp/document/01mv26nnekgnr869bn2n2vn0sdk6hcew/summary" TargetMode="External"/><Relationship Id="rId155" Type="http://schemas.openxmlformats.org/officeDocument/2006/relationships/hyperlink" Target="https://www.cloudsign.jp/document/01mv26n43erfn42rdg1w1qy5tjs2d3jb/summary" TargetMode="External"/><Relationship Id="rId107" Type="http://schemas.openxmlformats.org/officeDocument/2006/relationships/hyperlink" Target="https://www.cloudsign.jp/document/01mtj38hvz2b28cnedd1z4yxz3es8sne/summary" TargetMode="External"/><Relationship Id="rId228" Type="http://schemas.openxmlformats.org/officeDocument/2006/relationships/hyperlink" Target="https://www.cloudsign.jp/document/01mwkt3r370va5kbfpp3nq569gtpwf2t/summary" TargetMode="External"/><Relationship Id="rId106" Type="http://schemas.openxmlformats.org/officeDocument/2006/relationships/hyperlink" Target="https://www.cloudsign.jp/document/01mw7g8f3929y432gy7pxhwzw1n9sqwd/summary" TargetMode="External"/><Relationship Id="rId227" Type="http://schemas.openxmlformats.org/officeDocument/2006/relationships/hyperlink" Target="https://www.cloudsign.jp/document/01mwkq9zgb4k5bkj1xp5380nbf71jyh0/summary" TargetMode="External"/><Relationship Id="rId105" Type="http://schemas.openxmlformats.org/officeDocument/2006/relationships/hyperlink" Target="https://www.cloudsign.jp/document/01mtj35hsse1zjaqb7px70hn7j343q5m/summary" TargetMode="External"/><Relationship Id="rId226" Type="http://schemas.openxmlformats.org/officeDocument/2006/relationships/hyperlink" Target="https://www.cloudsign.jp/document/01mwkp2hr8pcdf738efnx9fnca42dxbm/summary" TargetMode="External"/><Relationship Id="rId104" Type="http://schemas.openxmlformats.org/officeDocument/2006/relationships/hyperlink" Target="https://www.cloudsign.jp/document/01mw7g8aph9s7gt3qcxvptsnnp3e32kg/summary" TargetMode="External"/><Relationship Id="rId225" Type="http://schemas.openxmlformats.org/officeDocument/2006/relationships/hyperlink" Target="https://www.cloudsign.jp/document/01mwknztj9yv6n4d9fcr6xh35vvrkvg6/summary" TargetMode="External"/><Relationship Id="rId109" Type="http://schemas.openxmlformats.org/officeDocument/2006/relationships/hyperlink" Target="https://www.cloudsign.jp/document/01mw7g91m1p4q3jy8ted0vsvbcq6zeay/summary" TargetMode="External"/><Relationship Id="rId108" Type="http://schemas.openxmlformats.org/officeDocument/2006/relationships/hyperlink" Target="https://www.cloudsign.jp/document/01mw7g8qtxddq2r38zc5eck18r9xbzhw/summary" TargetMode="External"/><Relationship Id="rId229" Type="http://schemas.openxmlformats.org/officeDocument/2006/relationships/hyperlink" Target="https://www.cloudsign.jp/document/01mwktbwnnrsd877e7gna3ntp00kh6nn/summary" TargetMode="External"/><Relationship Id="rId220" Type="http://schemas.openxmlformats.org/officeDocument/2006/relationships/hyperlink" Target="https://www.cloudsign.jp/document/01mwcpd4s8k6k22fs12q6r56rqvdagaf/summary" TargetMode="External"/><Relationship Id="rId103" Type="http://schemas.openxmlformats.org/officeDocument/2006/relationships/hyperlink" Target="https://www.cloudsign.jp/document/01mtj32t0413wrr94e8mfjqdy3v1axcf/summary" TargetMode="External"/><Relationship Id="rId224" Type="http://schemas.openxmlformats.org/officeDocument/2006/relationships/hyperlink" Target="https://www.cloudsign.jp/document/01mwkm5mx2mfext7sy6bh3etqcbgm3ss/summary" TargetMode="External"/><Relationship Id="rId102" Type="http://schemas.openxmlformats.org/officeDocument/2006/relationships/hyperlink" Target="https://www.cloudsign.jp/document/01mtj32t0413wrr94e8mfjqdy3v1axcf/summary" TargetMode="External"/><Relationship Id="rId223" Type="http://schemas.openxmlformats.org/officeDocument/2006/relationships/hyperlink" Target="https://www.cloudsign.jp/document/01mwkjnkn4717c1qfm33xx3hy7qz02zf/summary" TargetMode="External"/><Relationship Id="rId101" Type="http://schemas.openxmlformats.org/officeDocument/2006/relationships/hyperlink" Target="https://www.cloudsign.jp/document/01mtj2xacep1tpnt90t9d111khss5wy9/summary" TargetMode="External"/><Relationship Id="rId222" Type="http://schemas.openxmlformats.org/officeDocument/2006/relationships/hyperlink" Target="https://www.cloudsign.jp/document/01mwkj261k19t4hxq691k03pnevkbfdh/summary" TargetMode="External"/><Relationship Id="rId100" Type="http://schemas.openxmlformats.org/officeDocument/2006/relationships/hyperlink" Target="https://www.cloudsign.jp/document/01mtj2xacep1tpnt90t9d111khss5wy9/summary" TargetMode="External"/><Relationship Id="rId221" Type="http://schemas.openxmlformats.org/officeDocument/2006/relationships/hyperlink" Target="https://www.cloudsign.jp/document/01mwkg0xw5aq322bba0d5pjf58vac4nj/summary" TargetMode="External"/><Relationship Id="rId217" Type="http://schemas.openxmlformats.org/officeDocument/2006/relationships/hyperlink" Target="https://www.cloudsign.jp/document/01mwbwt630hhpd3abm7j935bnvaf0trb/summary" TargetMode="External"/><Relationship Id="rId216" Type="http://schemas.openxmlformats.org/officeDocument/2006/relationships/hyperlink" Target="https://www.cloudsign.jp/document/01mwa1td1mgwf5e309e9yee6vc0kr6gj/summary" TargetMode="External"/><Relationship Id="rId215" Type="http://schemas.openxmlformats.org/officeDocument/2006/relationships/hyperlink" Target="https://www.cloudsign.jp/document/01mwa1nvjx3zbvpqz51a9f2wjem456re/summary" TargetMode="External"/><Relationship Id="rId214" Type="http://schemas.openxmlformats.org/officeDocument/2006/relationships/hyperlink" Target="https://www.cloudsign.jp/document/01mw9pyqkymgqjtc26t9kzskwev4b0r7/summary" TargetMode="External"/><Relationship Id="rId219" Type="http://schemas.openxmlformats.org/officeDocument/2006/relationships/hyperlink" Target="https://www.cloudsign.jp/document/01mwchnz32h39mk4erpeksqp6k9c4995/summary" TargetMode="External"/><Relationship Id="rId218" Type="http://schemas.openxmlformats.org/officeDocument/2006/relationships/hyperlink" Target="https://www.cloudsign.jp/document/01mwcbb6py35zbkgc6az035mqt8q5n46/summary" TargetMode="External"/><Relationship Id="rId213" Type="http://schemas.openxmlformats.org/officeDocument/2006/relationships/hyperlink" Target="https://www.cloudsign.jp/document/01mw9pxwj14qp690dkmetb0rdve73e9p/summary" TargetMode="External"/><Relationship Id="rId212" Type="http://schemas.openxmlformats.org/officeDocument/2006/relationships/hyperlink" Target="https://www.cloudsign.jp/document/01mw9p3exkrfcz2fkjd4g26w8cda7hc0/summary" TargetMode="External"/><Relationship Id="rId211" Type="http://schemas.openxmlformats.org/officeDocument/2006/relationships/hyperlink" Target="https://www.cloudsign.jp/document/01mw75bdk8vekv1ke2j4rk6b6sfx3ae2/summary" TargetMode="External"/><Relationship Id="rId210" Type="http://schemas.openxmlformats.org/officeDocument/2006/relationships/hyperlink" Target="https://www.cloudsign.jp/document/01mw6rze8dym1hc2ke81tjdgabd7q44k/summary" TargetMode="External"/><Relationship Id="rId129" Type="http://schemas.openxmlformats.org/officeDocument/2006/relationships/hyperlink" Target="https://www.cloudsign.jp/document/01mw7gcafqdc7ncc46vbr62syga48dyc/summary" TargetMode="External"/><Relationship Id="rId128" Type="http://schemas.openxmlformats.org/officeDocument/2006/relationships/hyperlink" Target="https://www.cloudsign.jp/document/01mw7gc31sag6fnb0fvqxj055xqxjdcv/summary" TargetMode="External"/><Relationship Id="rId249" Type="http://schemas.openxmlformats.org/officeDocument/2006/relationships/hyperlink" Target="https://www.cloudsign.jp/document/01mwsktnv8vy9rr42pzg6mhnmpj96w72/summary" TargetMode="External"/><Relationship Id="rId127" Type="http://schemas.openxmlformats.org/officeDocument/2006/relationships/hyperlink" Target="https://www.cloudsign.jp/document/01mw7gbyzfts90znacpvmgn3pvam09zk/summary" TargetMode="External"/><Relationship Id="rId248" Type="http://schemas.openxmlformats.org/officeDocument/2006/relationships/hyperlink" Target="https://www.cloudsign.jp/document/01mwsjfqm3ksxrvdfe06m2qpwjjfhwcg/summary" TargetMode="External"/><Relationship Id="rId126" Type="http://schemas.openxmlformats.org/officeDocument/2006/relationships/hyperlink" Target="https://www.cloudsign.jp/document/01mw7gbr46em5t7wspp3j7m4k6fng2n3/summary" TargetMode="External"/><Relationship Id="rId247" Type="http://schemas.openxmlformats.org/officeDocument/2006/relationships/hyperlink" Target="https://www.cloudsign.jp/document/01mws6zm7rqeq7qn4z0s2mfhx0bcwg23/summary" TargetMode="External"/><Relationship Id="rId121" Type="http://schemas.openxmlformats.org/officeDocument/2006/relationships/hyperlink" Target="https://www.cloudsign.jp/document/01mw7gawxf61zxxfjgnw24k4v1wfqx2d/summary" TargetMode="External"/><Relationship Id="rId242" Type="http://schemas.openxmlformats.org/officeDocument/2006/relationships/hyperlink" Target="https://www.cloudsign.jp/document/01mwrx34k5a94thr0e6062dxa51wcy18/summary" TargetMode="External"/><Relationship Id="rId120" Type="http://schemas.openxmlformats.org/officeDocument/2006/relationships/hyperlink" Target="https://www.cloudsign.jp/document/01mww80gkpxev9k9p8863ak44xgnzrgm/summary" TargetMode="External"/><Relationship Id="rId241" Type="http://schemas.openxmlformats.org/officeDocument/2006/relationships/hyperlink" Target="https://www.cloudsign.jp/document/01mwrx1dg09v68j50gg4awxvb8gxqa8y/summary" TargetMode="External"/><Relationship Id="rId240" Type="http://schemas.openxmlformats.org/officeDocument/2006/relationships/hyperlink" Target="https://www.cloudsign.jp/document/01mwrx9brm7thvpp72myvg56ep5d1wxy/summary" TargetMode="External"/><Relationship Id="rId125" Type="http://schemas.openxmlformats.org/officeDocument/2006/relationships/hyperlink" Target="https://www.cloudsign.jp/document/01mtj7k71rksnkat8b4d6z4vjwdwzjqw/summary" TargetMode="External"/><Relationship Id="rId246" Type="http://schemas.openxmlformats.org/officeDocument/2006/relationships/hyperlink" Target="https://www.cloudsign.jp/document/01mws6w6v9bz16dwbkbzpf5kka7y1zqt/summary" TargetMode="External"/><Relationship Id="rId124" Type="http://schemas.openxmlformats.org/officeDocument/2006/relationships/hyperlink" Target="https://www.cloudsign.jp/document/01mtj7fpw3wxf3qg3s58597bm21dk5vf/summary" TargetMode="External"/><Relationship Id="rId245" Type="http://schemas.openxmlformats.org/officeDocument/2006/relationships/hyperlink" Target="https://www.cloudsign.jp/document/01mws5pvqwzp2qhy6thbyp4qrhpxm83j/summary" TargetMode="External"/><Relationship Id="rId123" Type="http://schemas.openxmlformats.org/officeDocument/2006/relationships/hyperlink" Target="https://www.cloudsign.jp/document/01mtj776vx9ryv6r1e1fk41sw02tc34z/summary" TargetMode="External"/><Relationship Id="rId244" Type="http://schemas.openxmlformats.org/officeDocument/2006/relationships/hyperlink" Target="https://www.cloudsign.jp/document/01mwrzkm0d9zcn3bj555a0qeh7spnxa5/summary" TargetMode="External"/><Relationship Id="rId122" Type="http://schemas.openxmlformats.org/officeDocument/2006/relationships/hyperlink" Target="https://www.cloudsign.jp/document/01mtj6dteekwc3gcmkddbk9f29srrv5z/summary" TargetMode="External"/><Relationship Id="rId243" Type="http://schemas.openxmlformats.org/officeDocument/2006/relationships/hyperlink" Target="https://www.cloudsign.jp/document/01mwry9hq8tg8bk7syqfdea1vgcmy5bg/summary" TargetMode="External"/><Relationship Id="rId95" Type="http://schemas.openxmlformats.org/officeDocument/2006/relationships/hyperlink" Target="https://www.cloudsign.jp/document/01mww29jyv54d6xf1chh31ez4vm2nc2f/summary" TargetMode="External"/><Relationship Id="rId94" Type="http://schemas.openxmlformats.org/officeDocument/2006/relationships/hyperlink" Target="https://www.cloudsign.jp/document/01mtj1yf4tn0e8n2rjw9w89hgvcfsc5z/summary" TargetMode="External"/><Relationship Id="rId97" Type="http://schemas.openxmlformats.org/officeDocument/2006/relationships/hyperlink" Target="https://www.cloudsign.jp/document/01mw7fytgrhw03nt3bqtd4vrgb5g7aty/summary" TargetMode="External"/><Relationship Id="rId96" Type="http://schemas.openxmlformats.org/officeDocument/2006/relationships/hyperlink" Target="https://www.cloudsign.jp/document/01mtj25awt0gztawn41b5e0a4jphw81s/summary" TargetMode="External"/><Relationship Id="rId99" Type="http://schemas.openxmlformats.org/officeDocument/2006/relationships/hyperlink" Target="https://www.cloudsign.jp/document/01mw7g7x0d1fejb1p7c96kjr1yxp2zaw/summary" TargetMode="External"/><Relationship Id="rId98" Type="http://schemas.openxmlformats.org/officeDocument/2006/relationships/hyperlink" Target="https://www.cloudsign.jp/document/01mw7fyzz8a9x81cs3bq7k42nwj2ff36/summary" TargetMode="External"/><Relationship Id="rId91" Type="http://schemas.openxmlformats.org/officeDocument/2006/relationships/hyperlink" Target="https://www.cloudsign.jp/document/01mthwe06hmq378j200tr1bswm1apgs0/summary" TargetMode="External"/><Relationship Id="rId90" Type="http://schemas.openxmlformats.org/officeDocument/2006/relationships/hyperlink" Target="https://www.cloudsign.jp/document/01mw7fxydqfje7q72bq0rwd9yhxnn87x/summary" TargetMode="External"/><Relationship Id="rId93" Type="http://schemas.openxmlformats.org/officeDocument/2006/relationships/hyperlink" Target="https://www.cloudsign.jp/document/01mtj1nw5e4yqth87v492kz6bst3hxej/summary" TargetMode="External"/><Relationship Id="rId92" Type="http://schemas.openxmlformats.org/officeDocument/2006/relationships/hyperlink" Target="https://www.cloudsign.jp/document/01mthwe06hmq378j200tr1bswm1apgs0/summary" TargetMode="External"/><Relationship Id="rId118" Type="http://schemas.openxmlformats.org/officeDocument/2006/relationships/hyperlink" Target="https://www.cloudsign.jp/document/01mtj4cv89sjrstqyhbvx1w9j5meea8t/summary" TargetMode="External"/><Relationship Id="rId239" Type="http://schemas.openxmlformats.org/officeDocument/2006/relationships/hyperlink" Target="https://www.cloudsign.jp/document/01mwq11xbqpg6bfgs7yvjje428s6zb7p/summary" TargetMode="External"/><Relationship Id="rId117" Type="http://schemas.openxmlformats.org/officeDocument/2006/relationships/hyperlink" Target="https://www.cloudsign.jp/document/01mw7ga6wy2bvv9hp11s8s3jb0k6xssn/summary" TargetMode="External"/><Relationship Id="rId238" Type="http://schemas.openxmlformats.org/officeDocument/2006/relationships/hyperlink" Target="https://www.cloudsign.jp/document/01mwq0w6wd8v3vga30e7hp1p65rdbv5w/summary" TargetMode="External"/><Relationship Id="rId116" Type="http://schemas.openxmlformats.org/officeDocument/2006/relationships/hyperlink" Target="https://www.cloudsign.jp/document/01mw7ga0zeqwym9fc4ab7ren8vp1qkw4/summary" TargetMode="External"/><Relationship Id="rId237" Type="http://schemas.openxmlformats.org/officeDocument/2006/relationships/hyperlink" Target="https://www.cloudsign.jp/document/01mwpw8r6337xyx9qs25131whpzpct7p/summary" TargetMode="External"/><Relationship Id="rId115" Type="http://schemas.openxmlformats.org/officeDocument/2006/relationships/hyperlink" Target="https://www.cloudsign.jp/document/01mw7h31jq59d69kg1kcp9sw9pgwgkg4/summary" TargetMode="External"/><Relationship Id="rId236" Type="http://schemas.openxmlformats.org/officeDocument/2006/relationships/hyperlink" Target="https://www.cloudsign.jp/document/01mwph1feth9kk1y0wxpm0yqe7d30h6k/summary" TargetMode="External"/><Relationship Id="rId119" Type="http://schemas.openxmlformats.org/officeDocument/2006/relationships/hyperlink" Target="https://www.cloudsign.jp/document/01mw7gab0ak40h6w2548nvf1fqg5qs53/summary" TargetMode="External"/><Relationship Id="rId110" Type="http://schemas.openxmlformats.org/officeDocument/2006/relationships/hyperlink" Target="https://www.cloudsign.jp/document/01mw7g97am9brh3qjevw7bndccwnavj6/summary" TargetMode="External"/><Relationship Id="rId231" Type="http://schemas.openxmlformats.org/officeDocument/2006/relationships/hyperlink" Target="https://www.cloudsign.jp/document/01mwkw4mhc1hckbnb6cbe3avvj2aqca5/summary" TargetMode="External"/><Relationship Id="rId230" Type="http://schemas.openxmlformats.org/officeDocument/2006/relationships/hyperlink" Target="https://www.cloudsign.jp/document/01mwkw2txw07q0p1ywzpfm41bvwhma1k/summary" TargetMode="External"/><Relationship Id="rId114" Type="http://schemas.openxmlformats.org/officeDocument/2006/relationships/hyperlink" Target="https://www.cloudsign.jp/document/01mw7g9sevbggwqgc1mdhbyx1jr8ved1/summary" TargetMode="External"/><Relationship Id="rId235" Type="http://schemas.openxmlformats.org/officeDocument/2006/relationships/hyperlink" Target="https://www.cloudsign.jp/document/01mwpevp8tr74g235cd2bnbj590742zp/summary" TargetMode="External"/><Relationship Id="rId113" Type="http://schemas.openxmlformats.org/officeDocument/2006/relationships/hyperlink" Target="https://www.cloudsign.jp/document/01mtj3zjz83xgwd48n0xs56nb9h1053p/summary" TargetMode="External"/><Relationship Id="rId234" Type="http://schemas.openxmlformats.org/officeDocument/2006/relationships/hyperlink" Target="https://www.cloudsign.jp/document/01mwp8q8j1fr6ysenpqgqwrbda5qcxtg/summary" TargetMode="External"/><Relationship Id="rId112" Type="http://schemas.openxmlformats.org/officeDocument/2006/relationships/hyperlink" Target="https://www.cloudsign.jp/document/01mw7g9kceqam927ym2zgybv1brydzdg/summary" TargetMode="External"/><Relationship Id="rId233" Type="http://schemas.openxmlformats.org/officeDocument/2006/relationships/hyperlink" Target="https://www.cloudsign.jp/document/01mwmjn075qqd32ywpj9zjsvnzzzgcsn/summary" TargetMode="External"/><Relationship Id="rId111" Type="http://schemas.openxmlformats.org/officeDocument/2006/relationships/hyperlink" Target="https://www.cloudsign.jp/document/01mw7g9ea0bnb5wfdyepq9xksvrpex32/summary" TargetMode="External"/><Relationship Id="rId232" Type="http://schemas.openxmlformats.org/officeDocument/2006/relationships/hyperlink" Target="https://www.cloudsign.jp/document/01mwm2zs6vj5f3k3y8253vjz89kh4sc7/summary" TargetMode="External"/><Relationship Id="rId206" Type="http://schemas.openxmlformats.org/officeDocument/2006/relationships/hyperlink" Target="https://www.cloudsign.jp/document/01mw4fgt4z5fxmjr48k21tct0xvxj4dz/summary" TargetMode="External"/><Relationship Id="rId205" Type="http://schemas.openxmlformats.org/officeDocument/2006/relationships/hyperlink" Target="https://www.cloudsign.jp/document/01mvqdxny50rbb1g59qqqnz66vareqhk/summary" TargetMode="External"/><Relationship Id="rId204" Type="http://schemas.openxmlformats.org/officeDocument/2006/relationships/hyperlink" Target="https://www.cloudsign.jp/document/01mw7hk41ksxppkj3aecg6383brvvgfm/summary" TargetMode="External"/><Relationship Id="rId203" Type="http://schemas.openxmlformats.org/officeDocument/2006/relationships/hyperlink" Target="https://www.cloudsign.jp/document/01mvq5gxnc2fk92tj76y6q7v2eg8qqwb/summary" TargetMode="External"/><Relationship Id="rId209" Type="http://schemas.openxmlformats.org/officeDocument/2006/relationships/hyperlink" Target="https://www.cloudsign.jp/document/01mw3ydrgs3qc572th11v7fqr1v28ema/summary" TargetMode="External"/><Relationship Id="rId208" Type="http://schemas.openxmlformats.org/officeDocument/2006/relationships/hyperlink" Target="https://www.cloudsign.jp/document/01mw4fkskk6nb2t6y8rx3t5939rgz8ng/summary" TargetMode="External"/><Relationship Id="rId207" Type="http://schemas.openxmlformats.org/officeDocument/2006/relationships/hyperlink" Target="https://www.cloudsign.jp/document/01mw4fj131tr9dt0jv4knmj7pwpnbh47/summary" TargetMode="External"/><Relationship Id="rId202" Type="http://schemas.openxmlformats.org/officeDocument/2006/relationships/hyperlink" Target="https://www.cloudsign.jp/document/01mw7hjxxm1wtjjxvwgcg5yg750ya743/summary" TargetMode="External"/><Relationship Id="rId201" Type="http://schemas.openxmlformats.org/officeDocument/2006/relationships/hyperlink" Target="https://www.cloudsign.jp/document/01mw7hjr84tpsqm0he17qf047z9anwe4/summary" TargetMode="External"/><Relationship Id="rId200" Type="http://schemas.openxmlformats.org/officeDocument/2006/relationships/hyperlink" Target="https://www.cloudsign.jp/document/01mvmjb6zr9z4tfhhms18fyad0jf1vqw/summar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0" Type="http://schemas.openxmlformats.org/officeDocument/2006/relationships/drawing" Target="../drawings/drawing4.xml"/><Relationship Id="rId1" Type="http://schemas.openxmlformats.org/officeDocument/2006/relationships/hyperlink" Target="https://docs.google.com/document/d/1V90H2s1zm1b-XNFs5H24UM4h9embSJn_/edit" TargetMode="External"/><Relationship Id="rId2" Type="http://schemas.openxmlformats.org/officeDocument/2006/relationships/hyperlink" Target="https://docs.google.com/document/d/1MkRNIu8xz3P2NNc5LyMn91Et1nR4lyjj/edit" TargetMode="External"/><Relationship Id="rId3" Type="http://schemas.openxmlformats.org/officeDocument/2006/relationships/hyperlink" Target="https://docs.google.com/document/d/1hqv2d1nJSrb0nQ1UVJJHJZojjxdr4ptz/edit" TargetMode="External"/><Relationship Id="rId4" Type="http://schemas.openxmlformats.org/officeDocument/2006/relationships/hyperlink" Target="https://docs.google.com/document/d/1KxJj7WxzFk8zpy0mniKBU-d0OQvTQuk4/edit" TargetMode="External"/><Relationship Id="rId9" Type="http://schemas.openxmlformats.org/officeDocument/2006/relationships/hyperlink" Target="https://docs.google.com/document/d/1CcUUHrM11dGUU09Nrv5ViWVmtE6YMdyO3kqJ_xGHqlc/edit?tab=t.0" TargetMode="External"/><Relationship Id="rId5" Type="http://schemas.openxmlformats.org/officeDocument/2006/relationships/hyperlink" Target="https://docs.google.com/document/d/1Lv76RUlCs8aFLdonFDs6oh7K7bqXib4a/edit" TargetMode="External"/><Relationship Id="rId6" Type="http://schemas.openxmlformats.org/officeDocument/2006/relationships/hyperlink" Target="https://docs.google.com/document/d/1EC_8ybiWhBFpNH_lUHvJ1wkYUNw02ZH_8UsWDFqM7sc/edit?tab=t.0" TargetMode="External"/><Relationship Id="rId7" Type="http://schemas.openxmlformats.org/officeDocument/2006/relationships/hyperlink" Target="https://docs.google.com/document/d/1ovNXuKyi43XYavrgCTlCvavXigo5kNMl/edit" TargetMode="External"/><Relationship Id="rId8" Type="http://schemas.openxmlformats.org/officeDocument/2006/relationships/hyperlink" Target="https://docs.google.com/document/d/13faEW6By_fX6K4rjNshUye5C6oAnAjUwr5cDmU0lyNs/edit?tab=t.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forms.gle/zftF5VZPxHCRYtrCA" TargetMode="External"/><Relationship Id="rId2" Type="http://schemas.openxmlformats.org/officeDocument/2006/relationships/hyperlink" Target="https://docs.google.com/forms/d/1aGe_IjCSVTHPEwQ5okrSzLf0ddRNFOKZG8qZ0zNkUGU/edit" TargetMode="External"/><Relationship Id="rId3" Type="http://schemas.openxmlformats.org/officeDocument/2006/relationships/hyperlink" Target="https://forms.gle/yHVUY6hzuTyuUWde6" TargetMode="External"/><Relationship Id="rId4" Type="http://schemas.openxmlformats.org/officeDocument/2006/relationships/hyperlink" Target="https://docs.google.com/forms/d/1brpnY6VBoPnuO735oC0RhDV8gI_uTWB0_HCI6Q_lQKY/edit" TargetMode="External"/><Relationship Id="rId5" Type="http://schemas.openxmlformats.org/officeDocument/2006/relationships/hyperlink" Target="https://docs.google.com/spreadsheets/d/1C6NymtxuBqP1vLMswJTxDnX0SxvtIdsO8BoHSH5eOrs/edit?usp=sharing" TargetMode="External"/><Relationship Id="rId6" Type="http://schemas.openxmlformats.org/officeDocument/2006/relationships/hyperlink" Target="https://docs.google.com/spreadsheets/d/1qjNACHsS6r82qBPFERNrDExtIhi9m3iv/edit?gid=380300159"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drive.google.com/drive/folders/1bk7reKFZYjMxSKlhvlzkCDb7ou5_oiiL?usp=drive_link" TargetMode="External"/><Relationship Id="rId42" Type="http://schemas.openxmlformats.org/officeDocument/2006/relationships/hyperlink" Target="https://drive.google.com/drive/folders/1MRd7KSTj-nsIhhljgU8xLMREQ4uL9JHk?usp=drive_link" TargetMode="External"/><Relationship Id="rId41" Type="http://schemas.openxmlformats.org/officeDocument/2006/relationships/hyperlink" Target="https://drive.google.com/drive/folders/1RxnBuGzvivC2ZTnZfG6c-kJTmem7zZFY?usp=drive_link" TargetMode="External"/><Relationship Id="rId44" Type="http://schemas.openxmlformats.org/officeDocument/2006/relationships/hyperlink" Target="https://drive.google.com/drive/folders/1Af3KOefEMgCGg-hU2Cu7GmT6kXa5dDBD?usp=drive_link" TargetMode="External"/><Relationship Id="rId43" Type="http://schemas.openxmlformats.org/officeDocument/2006/relationships/hyperlink" Target="https://drive.google.com/drive/folders/1Hfm4-9Q4AEkcDGGJQoJ2SnOiwMxzrY_n?usp=drive_link" TargetMode="External"/><Relationship Id="rId46" Type="http://schemas.openxmlformats.org/officeDocument/2006/relationships/hyperlink" Target="https://drive.google.com/drive/folders/10RpyeMHTZFskyfzgWY3rER-7xQyNPw6L?usp=drive_link" TargetMode="External"/><Relationship Id="rId45" Type="http://schemas.openxmlformats.org/officeDocument/2006/relationships/hyperlink" Target="https://drive.google.com/drive/folders/1ASlDv9YUUPXl7NTzt22lLJrP5K5MH3SS?usp=drive_link" TargetMode="External"/><Relationship Id="rId47" Type="http://schemas.openxmlformats.org/officeDocument/2006/relationships/drawing" Target="../drawings/drawing6.xml"/><Relationship Id="rId31" Type="http://schemas.openxmlformats.org/officeDocument/2006/relationships/hyperlink" Target="https://drive.google.com/drive/folders/17Ak1ZGq5iBWwGVZRatkc0wYuIddfBXsh" TargetMode="External"/><Relationship Id="rId30" Type="http://schemas.openxmlformats.org/officeDocument/2006/relationships/hyperlink" Target="https://drive.google.com/drive/folders/1AxCL_CozYeta4SUkc9Ir1Yn76FTrOuJ5?usp=drive_link" TargetMode="External"/><Relationship Id="rId33" Type="http://schemas.openxmlformats.org/officeDocument/2006/relationships/hyperlink" Target="https://drive.google.com/drive/folders/1ZINJ3Ntsz76KgZfYTxRROuVQqPDiDgKE" TargetMode="External"/><Relationship Id="rId32" Type="http://schemas.openxmlformats.org/officeDocument/2006/relationships/hyperlink" Target="https://drive.google.com/drive/folders/16oPyT7yD546p6nr-AZaXW2Z11Fs0L89D?usp=drive_link" TargetMode="External"/><Relationship Id="rId35" Type="http://schemas.openxmlformats.org/officeDocument/2006/relationships/hyperlink" Target="https://drive.google.com/drive/folders/1Tu5OX6Nr0jwgUh1CS2X2ay0iCAcWtjLO" TargetMode="External"/><Relationship Id="rId34" Type="http://schemas.openxmlformats.org/officeDocument/2006/relationships/hyperlink" Target="https://drive.google.com/drive/folders/1jFlMnBccZjYaUrToXMQzaakuD4RD36BW?usp=drive_link" TargetMode="External"/><Relationship Id="rId37" Type="http://schemas.openxmlformats.org/officeDocument/2006/relationships/hyperlink" Target="https://drive.google.com/drive/folders/1xgSQpBfLYppF_z3elh05ibp5lPRCxdaN?usp=drive_link" TargetMode="External"/><Relationship Id="rId36" Type="http://schemas.openxmlformats.org/officeDocument/2006/relationships/hyperlink" Target="https://drive.google.com/drive/folders/1yUs6nicHaoDRZbWm4oxECAFQstOQ6RfV?usp=drive_link" TargetMode="External"/><Relationship Id="rId39" Type="http://schemas.openxmlformats.org/officeDocument/2006/relationships/hyperlink" Target="https://drive.google.com/drive/folders/1cXR78HzITlsbCk4NUDemNWree9LErynY?usp=drive_link" TargetMode="External"/><Relationship Id="rId38" Type="http://schemas.openxmlformats.org/officeDocument/2006/relationships/hyperlink" Target="https://drive.google.com/drive/folders/1hWGWdqkHnUXHAzTh5dGcq7SH8YvybVAy?usp=drive_link" TargetMode="External"/><Relationship Id="rId20" Type="http://schemas.openxmlformats.org/officeDocument/2006/relationships/hyperlink" Target="https://drive.google.com/drive/folders/1z25XIjyDhllINrsKEYVlWiFHFjuKTjdx?usp=sharing" TargetMode="External"/><Relationship Id="rId22" Type="http://schemas.openxmlformats.org/officeDocument/2006/relationships/hyperlink" Target="https://drive.google.com/drive/folders/1FILKYriYaYciipHV1X14tll5bVwtijI0?usp=sharing" TargetMode="External"/><Relationship Id="rId21" Type="http://schemas.openxmlformats.org/officeDocument/2006/relationships/hyperlink" Target="https://drive.google.com/drive/folders/1HSD6Kny6NpETJFvYq2tbq7LNyb14sP9m?usp=drive_link" TargetMode="External"/><Relationship Id="rId24" Type="http://schemas.openxmlformats.org/officeDocument/2006/relationships/hyperlink" Target="https://docs.google.com/spreadsheets/d/11L8W_df9wEOK69JVliTEM2mxfRh1V7PHiVBxrvA9EzM/edit?usp=sharing" TargetMode="External"/><Relationship Id="rId23" Type="http://schemas.openxmlformats.org/officeDocument/2006/relationships/hyperlink" Target="https://drive.google.com/drive/folders/1moDm_27z9F5Df0bKLgvQ-FyInvXg3kQW?usp=sharing" TargetMode="External"/><Relationship Id="rId26" Type="http://schemas.openxmlformats.org/officeDocument/2006/relationships/hyperlink" Target="https://docs.google.com/spreadsheets/d/1GizzvL42FNEK5A199EnOmxOgSv5CPL3S6yrJrN3QlNw/edit?usp=sharing" TargetMode="External"/><Relationship Id="rId25" Type="http://schemas.openxmlformats.org/officeDocument/2006/relationships/hyperlink" Target="https://drive.google.com/drive/folders/1moDm_27z9F5Df0bKLgvQ-FyInvXg3kQW?usp=sharing" TargetMode="External"/><Relationship Id="rId28" Type="http://schemas.openxmlformats.org/officeDocument/2006/relationships/hyperlink" Target="https://drive.google.com/drive/folders/1Mn0nTOVt1CHUKhuwPZjUPd5orhtm08r_?usp=drive_link" TargetMode="External"/><Relationship Id="rId27" Type="http://schemas.openxmlformats.org/officeDocument/2006/relationships/hyperlink" Target="https://drive.google.com/drive/folders/1_BYKwCfLzaW61QFGv4AVMJc_qvrWbG4q?usp=drive_link" TargetMode="External"/><Relationship Id="rId29" Type="http://schemas.openxmlformats.org/officeDocument/2006/relationships/hyperlink" Target="https://drive.google.com/drive/folders/1yFeFBOmzW7cbEi38oeYwKPM37bzStCNL" TargetMode="External"/><Relationship Id="rId11" Type="http://schemas.openxmlformats.org/officeDocument/2006/relationships/hyperlink" Target="https://drive.google.com/drive/folders/1s-xQ5KPC2BhuPd28epESClY0K-KYu2yQ?usp=sharing" TargetMode="External"/><Relationship Id="rId10" Type="http://schemas.openxmlformats.org/officeDocument/2006/relationships/hyperlink" Target="https://drive.google.com/drive/folders/15YhdKX2gbnH2pfEgAsIysrjnsHQGT6zz?usp=sharing" TargetMode="External"/><Relationship Id="rId13" Type="http://schemas.openxmlformats.org/officeDocument/2006/relationships/hyperlink" Target="https://drive.google.com/drive/folders/1Ry1wQBQ7QC52-TJOOZvp6S-q6rshBXtH?usp=sharing" TargetMode="External"/><Relationship Id="rId12" Type="http://schemas.openxmlformats.org/officeDocument/2006/relationships/hyperlink" Target="https://docs.google.com/spreadsheets/d/1ijToObXfF5brlCLUhKieKfXdDfJLE7salGjLHdDcXD0/edit?usp=sharing" TargetMode="External"/><Relationship Id="rId15" Type="http://schemas.openxmlformats.org/officeDocument/2006/relationships/hyperlink" Target="https://drive.google.com/drive/folders/1zDPa_Z9wF6SkvOoi0WWV0R0nvTCzNhZG?usp=sharing" TargetMode="External"/><Relationship Id="rId14" Type="http://schemas.openxmlformats.org/officeDocument/2006/relationships/hyperlink" Target="https://drive.google.com/drive/folders/1SFoPCgUWjVQoJNXxfcZ-HkJ-nGNLMput?usp=drive_link" TargetMode="External"/><Relationship Id="rId17" Type="http://schemas.openxmlformats.org/officeDocument/2006/relationships/hyperlink" Target="https://drive.google.com/drive/folders/1g-8xtcXR4_Tt2ASFOMCsirDkrM7joNgF" TargetMode="External"/><Relationship Id="rId16" Type="http://schemas.openxmlformats.org/officeDocument/2006/relationships/hyperlink" Target="https://docs.google.com/spreadsheets/d/1hLEZm_tf--4cDSSPZtf2PLxyBVMZ17b5/edit?usp=sharing&amp;ouid=109881889232746515764&amp;rtpof=true&amp;sd=true" TargetMode="External"/><Relationship Id="rId19" Type="http://schemas.openxmlformats.org/officeDocument/2006/relationships/hyperlink" Target="https://docs.google.com/spreadsheets/d/1ivVNDviuSf_Gt_N7NBaLwUWQfq03uw2S/edit?gid=649822253" TargetMode="External"/><Relationship Id="rId18" Type="http://schemas.openxmlformats.org/officeDocument/2006/relationships/hyperlink" Target="https://docs.google.com/spreadsheets/d/1rvkygYdVMvhVfmNrKe8oSZS6LM1zxLy-5gUnGSkRkLU/edit?usp=sharing" TargetMode="External"/><Relationship Id="rId1" Type="http://schemas.openxmlformats.org/officeDocument/2006/relationships/hyperlink" Target="https://drive.google.com/drive/folders/1KPrf6Fev_4qbIKuUJrqsfUrmJd_7cC26?usp=sharing" TargetMode="External"/><Relationship Id="rId2" Type="http://schemas.openxmlformats.org/officeDocument/2006/relationships/hyperlink" Target="https://drive.google.com/drive/folders/1KPrf6Fev_4qbIKuUJrqsfUrmJd_7cC26?usp=sharing" TargetMode="External"/><Relationship Id="rId3" Type="http://schemas.openxmlformats.org/officeDocument/2006/relationships/hyperlink" Target="https://drive.google.com/drive/folders/1OyTAtQzaBoJZMhqieuT8p-uww35EvR_s?usp=sharing" TargetMode="External"/><Relationship Id="rId4" Type="http://schemas.openxmlformats.org/officeDocument/2006/relationships/hyperlink" Target="https://docs.google.com/spreadsheets/d/1RLlKj8I9zeCE9BCAUKt1Z-8lFw48bvmhoMUnO3SiHWo/edit?usp=sharing" TargetMode="External"/><Relationship Id="rId9" Type="http://schemas.openxmlformats.org/officeDocument/2006/relationships/hyperlink" Target="https://drive.google.com/drive/folders/1RXvJ0YVUGTVlXtPxy0UZ7raPoaBBH7e9?usp=sharing" TargetMode="External"/><Relationship Id="rId5" Type="http://schemas.openxmlformats.org/officeDocument/2006/relationships/hyperlink" Target="https://drive.google.com/drive/folders/1dwakvflY9pOgv_Mp840by1MsEE3Bql6Q?usp=sharing" TargetMode="External"/><Relationship Id="rId6" Type="http://schemas.openxmlformats.org/officeDocument/2006/relationships/hyperlink" Target="https://docs.google.com/spreadsheets/d/1hgG3_uR7MSvhC9kHMhUKRZ5F5Jld-cx_yfPVhZxkpAk/edit?usp=sharing" TargetMode="External"/><Relationship Id="rId7" Type="http://schemas.openxmlformats.org/officeDocument/2006/relationships/hyperlink" Target="https://drive.google.com/drive/folders/1V3kxanVQkv1LMgU2Y1ynsv8QwceoN9ud?usp=sharing" TargetMode="External"/><Relationship Id="rId8" Type="http://schemas.openxmlformats.org/officeDocument/2006/relationships/hyperlink" Target="https://docs.google.com/spreadsheets/d/1CnDyDrlX_6LjCtK5Nst0NGboVTwdzB-IhnCC4T_lpUI/edit?usp=sharing"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https://yjpv5pf0p3pj.jp.larksuite.com/share/base/form/shrjp1ksluRzpVbtKSG0VwOaTYe" TargetMode="External"/><Relationship Id="rId10" Type="http://schemas.openxmlformats.org/officeDocument/2006/relationships/hyperlink" Target="https://www.canva.com/design/DAG-D0UMy1s/Gt3ICNEMs3JH1-oaBb4v2A/view?utm_content=DAG-D0UMy1s&amp;utm_campaign=designshare&amp;utm_medium=link2&amp;utm_source=uniquelinks&amp;utlId=hec288880b9" TargetMode="External"/><Relationship Id="rId13" Type="http://schemas.openxmlformats.org/officeDocument/2006/relationships/hyperlink" Target="https://docs.google.com/spreadsheets/d/1mE2582OK3Sy8POqKTShjK9eSLI3cc2gB4zhqkf-syFI/edit?usp=sharing" TargetMode="External"/><Relationship Id="rId12" Type="http://schemas.openxmlformats.org/officeDocument/2006/relationships/hyperlink" Target="https://st022187.static.jp/d/social-insurance-simulator/" TargetMode="External"/><Relationship Id="rId14" Type="http://schemas.openxmlformats.org/officeDocument/2006/relationships/drawing" Target="../drawings/drawing10.xml"/><Relationship Id="rId1" Type="http://schemas.openxmlformats.org/officeDocument/2006/relationships/hyperlink" Target="https://docs.google.com/document/d/10-VrAL2LJeN1zCDoCIbBPoYFEctPAaMmkyVrnG474dk/edit?tab=t.0" TargetMode="External"/><Relationship Id="rId2" Type="http://schemas.openxmlformats.org/officeDocument/2006/relationships/hyperlink" Target="https://docs.google.com/document/d/1iPK2y4dy5PZvpkpI3fK8S4_A0RbQg3WYXCTIzGvqRJc/edit?usp=sharing" TargetMode="External"/><Relationship Id="rId3" Type="http://schemas.openxmlformats.org/officeDocument/2006/relationships/hyperlink" Target="https://docs.google.com/document/d/1ktuLrfRa47YU0trBCXB_K1QkfWXXlmhGN0Co245UtGE/edit?tab=t.0" TargetMode="External"/><Relationship Id="rId4" Type="http://schemas.openxmlformats.org/officeDocument/2006/relationships/hyperlink" Target="https://docs.google.com/document/d/1FgSSlzyvZcQ2Zw8jPO869CIqX9X4KhHyJU2luncwQqo/edit?usp=sharing" TargetMode="External"/><Relationship Id="rId9" Type="http://schemas.openxmlformats.org/officeDocument/2006/relationships/hyperlink" Target="https://www.canva.com/design/DAG-esrNdQo/pa4F3wjPArqqaN8-T72ZTA/view?utm_content=DAG-esrNdQo&amp;utm_campaign=designshare&amp;utm_medium=link2&amp;utm_source=uniquelinks&amp;utlId=h115d8fd5a7" TargetMode="External"/><Relationship Id="rId5" Type="http://schemas.openxmlformats.org/officeDocument/2006/relationships/hyperlink" Target="https://docs.google.com/document/d/1PmYDTBTh2e0Qb7kZtHiWXCQZluRcKGcn3B_cuJY5qms/edit?usp=sharing" TargetMode="External"/><Relationship Id="rId6" Type="http://schemas.openxmlformats.org/officeDocument/2006/relationships/hyperlink" Target="https://docs.google.com/document/d/1SJdWNy1dzF9gIQoPVrMiZ2o6FjfPcZItKQpubZCWVuQ/edit?usp=sharing" TargetMode="External"/><Relationship Id="rId7" Type="http://schemas.openxmlformats.org/officeDocument/2006/relationships/hyperlink" Target="https://docs.google.com/document/d/17HRwAb2JJMneLaPYGED_-ZfcxzHG5ddRTvHVYje4D9Q/edit?tab=t.0" TargetMode="External"/><Relationship Id="rId8" Type="http://schemas.openxmlformats.org/officeDocument/2006/relationships/hyperlink" Target="https://docs.google.com/document/d/1Ml6mlJ0yM4VNEMLQ66PGF_EO_5ruKDx41LtUK6s3jkI/edit?tab=t.0"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document/d/1Gp0FHn5IcjWwPpf4G71qpxKWaVSx2av8ENS7ja50Niw/edit"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4.43" defaultRowHeight="15.0"/>
  <cols>
    <col customWidth="1" min="1" max="1" width="6.86"/>
    <col customWidth="1" min="2" max="2" width="33.57"/>
    <col customWidth="1" min="3" max="3" width="38.57"/>
    <col customWidth="1" min="4" max="4" width="26.43"/>
    <col customWidth="1" min="5" max="7" width="18.86"/>
    <col customWidth="1" min="8" max="10" width="38.86"/>
    <col customWidth="1" min="11" max="11" width="22.0"/>
    <col customWidth="1" min="12" max="14" width="38.86"/>
    <col customWidth="1" min="15" max="15" width="24.14"/>
    <col customWidth="1" min="16" max="16" width="34.29"/>
    <col customWidth="1" min="17" max="17" width="24.43"/>
    <col customWidth="1" min="18" max="18" width="17.86"/>
    <col customWidth="1" min="19" max="19" width="26.86"/>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1" t="s">
        <v>17</v>
      </c>
      <c r="S1" s="3" t="s">
        <v>18</v>
      </c>
      <c r="T1" s="3" t="s">
        <v>19</v>
      </c>
      <c r="U1" s="3" t="s">
        <v>20</v>
      </c>
      <c r="V1" s="4" t="s">
        <v>21</v>
      </c>
      <c r="W1" s="4" t="s">
        <v>22</v>
      </c>
      <c r="X1" s="4" t="s">
        <v>23</v>
      </c>
      <c r="Y1" s="3" t="s">
        <v>24</v>
      </c>
      <c r="Z1" s="5"/>
      <c r="AA1" s="5"/>
      <c r="AB1" s="5"/>
      <c r="AC1" s="5"/>
      <c r="AD1" s="5"/>
      <c r="AE1" s="6"/>
    </row>
    <row r="2">
      <c r="A2" s="7">
        <v>1.0</v>
      </c>
      <c r="B2" s="8" t="s">
        <v>25</v>
      </c>
      <c r="C2" s="9" t="s">
        <v>26</v>
      </c>
      <c r="D2" s="9" t="s">
        <v>27</v>
      </c>
      <c r="E2" s="10">
        <v>46106.80486111111</v>
      </c>
      <c r="F2" s="8"/>
      <c r="G2" s="8" t="s">
        <v>28</v>
      </c>
      <c r="H2" s="8" t="s">
        <v>29</v>
      </c>
      <c r="I2" s="8"/>
      <c r="J2" s="8"/>
      <c r="K2" s="8"/>
      <c r="L2" s="8"/>
      <c r="M2" s="11" t="s">
        <v>30</v>
      </c>
      <c r="N2" s="8"/>
      <c r="O2" s="12"/>
      <c r="P2" s="13" t="s">
        <v>31</v>
      </c>
      <c r="Q2" s="14"/>
      <c r="R2" s="15">
        <v>1.0</v>
      </c>
      <c r="S2" s="9" t="s">
        <v>27</v>
      </c>
      <c r="T2" s="16">
        <v>46038.0</v>
      </c>
      <c r="U2" s="8" t="s">
        <v>32</v>
      </c>
      <c r="V2" s="14"/>
      <c r="W2" s="14"/>
      <c r="X2" s="12"/>
      <c r="Y2" s="8" t="s">
        <v>33</v>
      </c>
      <c r="Z2" s="12"/>
      <c r="AA2" s="12"/>
      <c r="AB2" s="12"/>
      <c r="AC2" s="12"/>
      <c r="AD2" s="12"/>
      <c r="AE2" s="6"/>
    </row>
    <row r="3">
      <c r="A3" s="7">
        <f t="shared" ref="A3:A33" si="1">IF(B3="","",COUNTA($B$2:B3))</f>
        <v>2</v>
      </c>
      <c r="B3" s="17" t="s">
        <v>34</v>
      </c>
      <c r="C3" s="9" t="s">
        <v>35</v>
      </c>
      <c r="D3" s="9" t="s">
        <v>27</v>
      </c>
      <c r="E3" s="10">
        <v>46106.80486111111</v>
      </c>
      <c r="F3" s="16"/>
      <c r="G3" s="8" t="s">
        <v>36</v>
      </c>
      <c r="H3" s="8" t="s">
        <v>29</v>
      </c>
      <c r="I3" s="8"/>
      <c r="J3" s="8"/>
      <c r="K3" s="8"/>
      <c r="L3" s="8"/>
      <c r="M3" s="18"/>
      <c r="N3" s="8"/>
      <c r="O3" s="12"/>
      <c r="P3" s="13" t="s">
        <v>37</v>
      </c>
      <c r="Q3" s="14"/>
      <c r="R3" s="15">
        <v>1.0</v>
      </c>
      <c r="S3" s="9" t="s">
        <v>38</v>
      </c>
      <c r="T3" s="16">
        <v>46038.0</v>
      </c>
      <c r="U3" s="16">
        <v>46038.0</v>
      </c>
      <c r="V3" s="14"/>
      <c r="W3" s="14"/>
      <c r="X3" s="12"/>
      <c r="Y3" s="8" t="s">
        <v>33</v>
      </c>
      <c r="Z3" s="12"/>
      <c r="AA3" s="12"/>
      <c r="AB3" s="12"/>
      <c r="AC3" s="12"/>
      <c r="AD3" s="12"/>
      <c r="AE3" s="6"/>
    </row>
    <row r="4">
      <c r="A4" s="19">
        <f t="shared" si="1"/>
        <v>3</v>
      </c>
      <c r="B4" s="20" t="s">
        <v>39</v>
      </c>
      <c r="C4" s="20" t="s">
        <v>40</v>
      </c>
      <c r="D4" s="21" t="s">
        <v>38</v>
      </c>
      <c r="E4" s="22">
        <v>46106.80486111111</v>
      </c>
      <c r="F4" s="22">
        <v>46106.84305555555</v>
      </c>
      <c r="G4" s="20" t="s">
        <v>41</v>
      </c>
      <c r="H4" s="23" t="s">
        <v>29</v>
      </c>
      <c r="I4" s="23"/>
      <c r="J4" s="23"/>
      <c r="K4" s="23"/>
      <c r="L4" s="23"/>
      <c r="M4" s="24"/>
      <c r="N4" s="23"/>
      <c r="O4" s="25"/>
      <c r="P4" s="26" t="s">
        <v>42</v>
      </c>
      <c r="Q4" s="27" t="s">
        <v>43</v>
      </c>
      <c r="R4" s="25"/>
      <c r="S4" s="21" t="s">
        <v>38</v>
      </c>
      <c r="T4" s="28">
        <v>46039.0</v>
      </c>
      <c r="U4" s="28">
        <v>46040.0</v>
      </c>
      <c r="V4" s="29"/>
      <c r="W4" s="29"/>
      <c r="X4" s="25"/>
      <c r="Y4" s="20" t="s">
        <v>33</v>
      </c>
      <c r="Z4" s="6"/>
      <c r="AA4" s="6"/>
      <c r="AB4" s="6"/>
      <c r="AC4" s="6"/>
      <c r="AD4" s="6"/>
      <c r="AE4" s="6"/>
    </row>
    <row r="5">
      <c r="A5" s="19">
        <f t="shared" si="1"/>
        <v>4</v>
      </c>
      <c r="B5" s="20" t="s">
        <v>44</v>
      </c>
      <c r="C5" s="20" t="s">
        <v>45</v>
      </c>
      <c r="D5" s="21" t="s">
        <v>38</v>
      </c>
      <c r="E5" s="22">
        <v>46106.80486111111</v>
      </c>
      <c r="F5" s="22">
        <v>46114.69652777778</v>
      </c>
      <c r="G5" s="20" t="s">
        <v>41</v>
      </c>
      <c r="H5" s="23" t="s">
        <v>29</v>
      </c>
      <c r="I5" s="23"/>
      <c r="J5" s="23"/>
      <c r="K5" s="23"/>
      <c r="L5" s="23"/>
      <c r="M5" s="24"/>
      <c r="N5" s="23"/>
      <c r="O5" s="25"/>
      <c r="P5" s="26" t="s">
        <v>46</v>
      </c>
      <c r="Q5" s="27" t="s">
        <v>47</v>
      </c>
      <c r="R5" s="30">
        <v>1.0</v>
      </c>
      <c r="S5" s="21" t="s">
        <v>38</v>
      </c>
      <c r="T5" s="28">
        <v>46039.0</v>
      </c>
      <c r="U5" s="28">
        <v>46042.0</v>
      </c>
      <c r="V5" s="29"/>
      <c r="W5" s="29"/>
      <c r="X5" s="25"/>
      <c r="Y5" s="20" t="s">
        <v>33</v>
      </c>
      <c r="Z5" s="6"/>
      <c r="AA5" s="6"/>
      <c r="AB5" s="6"/>
      <c r="AC5" s="6"/>
      <c r="AD5" s="6"/>
      <c r="AE5" s="6"/>
    </row>
    <row r="6">
      <c r="A6" s="7">
        <f t="shared" si="1"/>
        <v>5</v>
      </c>
      <c r="B6" s="31" t="s">
        <v>48</v>
      </c>
      <c r="C6" s="31" t="s">
        <v>49</v>
      </c>
      <c r="D6" s="9" t="s">
        <v>27</v>
      </c>
      <c r="E6" s="32">
        <v>46106.80763888889</v>
      </c>
      <c r="F6" s="33"/>
      <c r="G6" s="31" t="s">
        <v>41</v>
      </c>
      <c r="H6" s="8" t="s">
        <v>29</v>
      </c>
      <c r="I6" s="8"/>
      <c r="J6" s="8"/>
      <c r="K6" s="8"/>
      <c r="L6" s="8"/>
      <c r="M6" s="8"/>
      <c r="N6" s="8"/>
      <c r="O6" s="6"/>
      <c r="P6" s="34" t="s">
        <v>50</v>
      </c>
      <c r="Q6" s="35"/>
      <c r="R6" s="36">
        <v>1.0</v>
      </c>
      <c r="S6" s="9" t="s">
        <v>38</v>
      </c>
      <c r="T6" s="33">
        <v>46039.0</v>
      </c>
      <c r="U6" s="33">
        <v>46042.0</v>
      </c>
      <c r="V6" s="35"/>
      <c r="W6" s="35"/>
      <c r="X6" s="6"/>
      <c r="Y6" s="31" t="s">
        <v>33</v>
      </c>
      <c r="Z6" s="6"/>
      <c r="AA6" s="6"/>
      <c r="AB6" s="6"/>
      <c r="AC6" s="6"/>
      <c r="AD6" s="6"/>
      <c r="AE6" s="6"/>
    </row>
    <row r="7">
      <c r="A7" s="19">
        <f t="shared" si="1"/>
        <v>6</v>
      </c>
      <c r="B7" s="20" t="s">
        <v>51</v>
      </c>
      <c r="C7" s="20" t="s">
        <v>52</v>
      </c>
      <c r="D7" s="21" t="s">
        <v>38</v>
      </c>
      <c r="E7" s="22">
        <v>46106.80763888889</v>
      </c>
      <c r="F7" s="22">
        <v>46107.33472222222</v>
      </c>
      <c r="G7" s="20" t="s">
        <v>41</v>
      </c>
      <c r="H7" s="23" t="s">
        <v>29</v>
      </c>
      <c r="I7" s="23"/>
      <c r="J7" s="23"/>
      <c r="K7" s="23"/>
      <c r="L7" s="23"/>
      <c r="M7" s="23"/>
      <c r="N7" s="23"/>
      <c r="O7" s="25"/>
      <c r="P7" s="26" t="s">
        <v>53</v>
      </c>
      <c r="Q7" s="27" t="s">
        <v>54</v>
      </c>
      <c r="R7" s="25"/>
      <c r="S7" s="21" t="s">
        <v>38</v>
      </c>
      <c r="T7" s="28">
        <v>46039.0</v>
      </c>
      <c r="U7" s="28">
        <v>46040.0</v>
      </c>
      <c r="V7" s="29"/>
      <c r="W7" s="29"/>
      <c r="X7" s="25"/>
      <c r="Y7" s="20" t="s">
        <v>33</v>
      </c>
      <c r="Z7" s="6"/>
      <c r="AA7" s="6"/>
      <c r="AB7" s="6"/>
      <c r="AC7" s="6"/>
      <c r="AD7" s="6"/>
      <c r="AE7" s="6"/>
    </row>
    <row r="8">
      <c r="A8" s="7">
        <f t="shared" si="1"/>
        <v>7</v>
      </c>
      <c r="B8" s="31" t="s">
        <v>55</v>
      </c>
      <c r="C8" s="31" t="s">
        <v>56</v>
      </c>
      <c r="D8" s="9" t="s">
        <v>27</v>
      </c>
      <c r="E8" s="32">
        <v>46106.80763888889</v>
      </c>
      <c r="F8" s="33"/>
      <c r="G8" s="31" t="s">
        <v>41</v>
      </c>
      <c r="H8" s="8" t="s">
        <v>29</v>
      </c>
      <c r="I8" s="8"/>
      <c r="J8" s="8"/>
      <c r="K8" s="8"/>
      <c r="L8" s="8"/>
      <c r="M8" s="8"/>
      <c r="N8" s="8"/>
      <c r="O8" s="6"/>
      <c r="P8" s="34" t="s">
        <v>57</v>
      </c>
      <c r="Q8" s="35"/>
      <c r="R8" s="36">
        <v>1.0</v>
      </c>
      <c r="S8" s="9" t="s">
        <v>38</v>
      </c>
      <c r="T8" s="33">
        <v>46039.0</v>
      </c>
      <c r="U8" s="33">
        <v>46042.0</v>
      </c>
      <c r="V8" s="35"/>
      <c r="W8" s="35"/>
      <c r="X8" s="6"/>
      <c r="Y8" s="31" t="s">
        <v>33</v>
      </c>
      <c r="Z8" s="6"/>
      <c r="AA8" s="6"/>
      <c r="AB8" s="6"/>
      <c r="AC8" s="6"/>
      <c r="AD8" s="6"/>
      <c r="AE8" s="6"/>
    </row>
    <row r="9">
      <c r="A9" s="19">
        <f t="shared" si="1"/>
        <v>8</v>
      </c>
      <c r="B9" s="20" t="s">
        <v>58</v>
      </c>
      <c r="C9" s="20" t="s">
        <v>59</v>
      </c>
      <c r="D9" s="21" t="s">
        <v>38</v>
      </c>
      <c r="E9" s="22">
        <v>46106.80763888889</v>
      </c>
      <c r="F9" s="22">
        <v>46106.81597222222</v>
      </c>
      <c r="G9" s="20" t="s">
        <v>41</v>
      </c>
      <c r="H9" s="23" t="s">
        <v>29</v>
      </c>
      <c r="I9" s="23"/>
      <c r="J9" s="23"/>
      <c r="K9" s="23"/>
      <c r="L9" s="23"/>
      <c r="M9" s="23"/>
      <c r="N9" s="23"/>
      <c r="O9" s="25"/>
      <c r="P9" s="26" t="s">
        <v>60</v>
      </c>
      <c r="Q9" s="27" t="s">
        <v>61</v>
      </c>
      <c r="R9" s="25"/>
      <c r="S9" s="21" t="s">
        <v>38</v>
      </c>
      <c r="T9" s="28">
        <v>46039.0</v>
      </c>
      <c r="U9" s="28">
        <v>46040.0</v>
      </c>
      <c r="V9" s="29"/>
      <c r="W9" s="29"/>
      <c r="X9" s="25"/>
      <c r="Y9" s="20" t="s">
        <v>33</v>
      </c>
      <c r="Z9" s="6"/>
      <c r="AA9" s="6"/>
      <c r="AB9" s="6"/>
      <c r="AC9" s="6"/>
      <c r="AD9" s="6"/>
      <c r="AE9" s="6"/>
    </row>
    <row r="10">
      <c r="A10" s="19">
        <f t="shared" si="1"/>
        <v>9</v>
      </c>
      <c r="B10" s="20" t="s">
        <v>62</v>
      </c>
      <c r="C10" s="20" t="s">
        <v>63</v>
      </c>
      <c r="D10" s="21" t="s">
        <v>38</v>
      </c>
      <c r="E10" s="22">
        <v>46106.80763888889</v>
      </c>
      <c r="F10" s="22">
        <v>46106.854166666664</v>
      </c>
      <c r="G10" s="20" t="s">
        <v>41</v>
      </c>
      <c r="H10" s="23" t="s">
        <v>29</v>
      </c>
      <c r="I10" s="23"/>
      <c r="J10" s="23"/>
      <c r="K10" s="23"/>
      <c r="L10" s="23"/>
      <c r="M10" s="23"/>
      <c r="N10" s="23"/>
      <c r="O10" s="25"/>
      <c r="P10" s="26" t="s">
        <v>64</v>
      </c>
      <c r="Q10" s="27" t="s">
        <v>65</v>
      </c>
      <c r="R10" s="25"/>
      <c r="S10" s="21" t="s">
        <v>38</v>
      </c>
      <c r="T10" s="28">
        <v>46041.0</v>
      </c>
      <c r="U10" s="28">
        <v>46041.0</v>
      </c>
      <c r="V10" s="29"/>
      <c r="W10" s="29"/>
      <c r="X10" s="25"/>
      <c r="Y10" s="20" t="s">
        <v>33</v>
      </c>
      <c r="Z10" s="6"/>
      <c r="AA10" s="6"/>
      <c r="AB10" s="6"/>
      <c r="AC10" s="6"/>
      <c r="AD10" s="6"/>
      <c r="AE10" s="6"/>
    </row>
    <row r="11">
      <c r="A11" s="7">
        <f t="shared" si="1"/>
        <v>10</v>
      </c>
      <c r="B11" s="31" t="s">
        <v>66</v>
      </c>
      <c r="C11" s="31" t="s">
        <v>67</v>
      </c>
      <c r="D11" s="9" t="s">
        <v>27</v>
      </c>
      <c r="E11" s="32">
        <v>46106.80763888889</v>
      </c>
      <c r="F11" s="33"/>
      <c r="G11" s="31" t="s">
        <v>41</v>
      </c>
      <c r="H11" s="8" t="s">
        <v>29</v>
      </c>
      <c r="I11" s="8"/>
      <c r="J11" s="8"/>
      <c r="K11" s="8"/>
      <c r="L11" s="8"/>
      <c r="M11" s="8"/>
      <c r="N11" s="8"/>
      <c r="O11" s="6"/>
      <c r="P11" s="34" t="s">
        <v>68</v>
      </c>
      <c r="Q11" s="35"/>
      <c r="R11" s="36">
        <v>1.0</v>
      </c>
      <c r="S11" s="9" t="s">
        <v>38</v>
      </c>
      <c r="T11" s="33">
        <v>46041.0</v>
      </c>
      <c r="U11" s="33">
        <v>46041.0</v>
      </c>
      <c r="V11" s="35"/>
      <c r="W11" s="35"/>
      <c r="X11" s="6"/>
      <c r="Y11" s="31" t="s">
        <v>33</v>
      </c>
      <c r="Z11" s="6"/>
      <c r="AA11" s="6"/>
      <c r="AB11" s="6"/>
      <c r="AC11" s="6"/>
      <c r="AD11" s="6"/>
      <c r="AE11" s="6"/>
    </row>
    <row r="12">
      <c r="A12" s="19">
        <f t="shared" si="1"/>
        <v>11</v>
      </c>
      <c r="B12" s="20" t="s">
        <v>69</v>
      </c>
      <c r="C12" s="20" t="s">
        <v>70</v>
      </c>
      <c r="D12" s="21" t="s">
        <v>38</v>
      </c>
      <c r="E12" s="22">
        <v>46106.80763888889</v>
      </c>
      <c r="F12" s="22">
        <v>46114.72986111111</v>
      </c>
      <c r="G12" s="20" t="s">
        <v>41</v>
      </c>
      <c r="H12" s="23" t="s">
        <v>29</v>
      </c>
      <c r="I12" s="23"/>
      <c r="J12" s="23"/>
      <c r="K12" s="23"/>
      <c r="L12" s="23"/>
      <c r="M12" s="23"/>
      <c r="N12" s="23"/>
      <c r="O12" s="25"/>
      <c r="P12" s="26" t="s">
        <v>71</v>
      </c>
      <c r="Q12" s="27" t="s">
        <v>72</v>
      </c>
      <c r="R12" s="30">
        <v>1.0</v>
      </c>
      <c r="S12" s="21" t="s">
        <v>38</v>
      </c>
      <c r="T12" s="28">
        <v>46041.0</v>
      </c>
      <c r="U12" s="28">
        <v>46042.0</v>
      </c>
      <c r="V12" s="29"/>
      <c r="W12" s="29"/>
      <c r="X12" s="25"/>
      <c r="Y12" s="20" t="s">
        <v>33</v>
      </c>
      <c r="Z12" s="6"/>
      <c r="AA12" s="6"/>
      <c r="AB12" s="6"/>
      <c r="AC12" s="6"/>
      <c r="AD12" s="6"/>
      <c r="AE12" s="6"/>
    </row>
    <row r="13">
      <c r="A13" s="7">
        <f t="shared" si="1"/>
        <v>12</v>
      </c>
      <c r="B13" s="31" t="s">
        <v>73</v>
      </c>
      <c r="C13" s="31" t="s">
        <v>74</v>
      </c>
      <c r="D13" s="9" t="s">
        <v>27</v>
      </c>
      <c r="E13" s="32">
        <v>46106.80763888889</v>
      </c>
      <c r="F13" s="33"/>
      <c r="G13" s="31" t="s">
        <v>75</v>
      </c>
      <c r="H13" s="8" t="s">
        <v>76</v>
      </c>
      <c r="I13" s="8"/>
      <c r="J13" s="8"/>
      <c r="K13" s="8"/>
      <c r="L13" s="8"/>
      <c r="M13" s="8"/>
      <c r="N13" s="8"/>
      <c r="O13" s="6"/>
      <c r="P13" s="34" t="s">
        <v>77</v>
      </c>
      <c r="Q13" s="35"/>
      <c r="R13" s="36">
        <v>1.0</v>
      </c>
      <c r="S13" s="9" t="s">
        <v>38</v>
      </c>
      <c r="T13" s="33">
        <v>46039.0</v>
      </c>
      <c r="U13" s="33">
        <v>46040.0</v>
      </c>
      <c r="V13" s="35"/>
      <c r="W13" s="35"/>
      <c r="X13" s="6"/>
      <c r="Y13" s="31" t="s">
        <v>33</v>
      </c>
      <c r="Z13" s="6"/>
      <c r="AA13" s="6"/>
      <c r="AB13" s="6"/>
      <c r="AC13" s="6"/>
      <c r="AD13" s="6"/>
      <c r="AE13" s="6"/>
    </row>
    <row r="14">
      <c r="A14" s="19">
        <f t="shared" si="1"/>
        <v>13</v>
      </c>
      <c r="B14" s="20" t="s">
        <v>78</v>
      </c>
      <c r="C14" s="20" t="s">
        <v>79</v>
      </c>
      <c r="D14" s="21" t="s">
        <v>38</v>
      </c>
      <c r="E14" s="22">
        <v>46106.80763888889</v>
      </c>
      <c r="F14" s="22">
        <v>46114.76944444444</v>
      </c>
      <c r="G14" s="23" t="s">
        <v>36</v>
      </c>
      <c r="H14" s="20" t="s">
        <v>80</v>
      </c>
      <c r="I14" s="20"/>
      <c r="J14" s="20"/>
      <c r="K14" s="20"/>
      <c r="L14" s="20"/>
      <c r="M14" s="20"/>
      <c r="N14" s="20"/>
      <c r="O14" s="25"/>
      <c r="P14" s="26" t="s">
        <v>81</v>
      </c>
      <c r="Q14" s="27" t="s">
        <v>82</v>
      </c>
      <c r="R14" s="30">
        <v>1.0</v>
      </c>
      <c r="S14" s="21" t="s">
        <v>38</v>
      </c>
      <c r="T14" s="28">
        <v>46039.0</v>
      </c>
      <c r="U14" s="28">
        <v>46040.0</v>
      </c>
      <c r="V14" s="29"/>
      <c r="W14" s="29"/>
      <c r="X14" s="25"/>
      <c r="Y14" s="20" t="s">
        <v>33</v>
      </c>
      <c r="Z14" s="6"/>
      <c r="AA14" s="6"/>
      <c r="AB14" s="6"/>
      <c r="AC14" s="6"/>
      <c r="AD14" s="6"/>
      <c r="AE14" s="6"/>
    </row>
    <row r="15">
      <c r="A15" s="7">
        <f t="shared" si="1"/>
        <v>14</v>
      </c>
      <c r="B15" s="31" t="s">
        <v>83</v>
      </c>
      <c r="C15" s="31" t="s">
        <v>84</v>
      </c>
      <c r="D15" s="9" t="s">
        <v>85</v>
      </c>
      <c r="E15" s="33"/>
      <c r="F15" s="6"/>
      <c r="G15" s="6"/>
      <c r="H15" s="31" t="s">
        <v>86</v>
      </c>
      <c r="I15" s="31"/>
      <c r="J15" s="31"/>
      <c r="K15" s="31"/>
      <c r="L15" s="31"/>
      <c r="M15" s="31"/>
      <c r="N15" s="31"/>
      <c r="O15" s="6"/>
      <c r="P15" s="35"/>
      <c r="Q15" s="35"/>
      <c r="R15" s="6"/>
      <c r="S15" s="9" t="s">
        <v>87</v>
      </c>
      <c r="T15" s="33">
        <v>46039.0</v>
      </c>
      <c r="U15" s="6"/>
      <c r="V15" s="35"/>
      <c r="W15" s="35"/>
      <c r="X15" s="6"/>
      <c r="Y15" s="6"/>
      <c r="Z15" s="6"/>
      <c r="AA15" s="6"/>
      <c r="AB15" s="6"/>
      <c r="AC15" s="6"/>
      <c r="AD15" s="6"/>
      <c r="AE15" s="6"/>
    </row>
    <row r="16">
      <c r="A16" s="19">
        <f t="shared" si="1"/>
        <v>15</v>
      </c>
      <c r="B16" s="20" t="s">
        <v>88</v>
      </c>
      <c r="C16" s="20" t="s">
        <v>89</v>
      </c>
      <c r="D16" s="21" t="s">
        <v>38</v>
      </c>
      <c r="E16" s="22">
        <v>46106.808333333334</v>
      </c>
      <c r="F16" s="22">
        <v>46108.419444444444</v>
      </c>
      <c r="G16" s="23" t="s">
        <v>36</v>
      </c>
      <c r="H16" s="25"/>
      <c r="I16" s="25"/>
      <c r="J16" s="25"/>
      <c r="K16" s="25"/>
      <c r="L16" s="25"/>
      <c r="M16" s="25"/>
      <c r="N16" s="25"/>
      <c r="O16" s="25"/>
      <c r="P16" s="26" t="s">
        <v>90</v>
      </c>
      <c r="Q16" s="27" t="s">
        <v>91</v>
      </c>
      <c r="R16" s="25"/>
      <c r="S16" s="21" t="s">
        <v>38</v>
      </c>
      <c r="T16" s="28">
        <v>46040.0</v>
      </c>
      <c r="U16" s="28">
        <v>46040.0</v>
      </c>
      <c r="V16" s="29"/>
      <c r="W16" s="29"/>
      <c r="X16" s="25"/>
      <c r="Y16" s="20" t="s">
        <v>33</v>
      </c>
      <c r="Z16" s="6"/>
      <c r="AA16" s="6"/>
      <c r="AB16" s="6"/>
      <c r="AC16" s="6"/>
      <c r="AD16" s="6"/>
      <c r="AE16" s="6"/>
    </row>
    <row r="17">
      <c r="A17" s="19">
        <f t="shared" si="1"/>
        <v>16</v>
      </c>
      <c r="B17" s="20" t="s">
        <v>92</v>
      </c>
      <c r="C17" s="20" t="s">
        <v>93</v>
      </c>
      <c r="D17" s="21" t="s">
        <v>38</v>
      </c>
      <c r="E17" s="22">
        <v>46106.808333333334</v>
      </c>
      <c r="F17" s="22">
        <v>46107.40625</v>
      </c>
      <c r="G17" s="25"/>
      <c r="H17" s="20" t="s">
        <v>94</v>
      </c>
      <c r="I17" s="20"/>
      <c r="J17" s="20"/>
      <c r="K17" s="20"/>
      <c r="L17" s="20"/>
      <c r="M17" s="20"/>
      <c r="N17" s="20"/>
      <c r="O17" s="25"/>
      <c r="P17" s="26" t="s">
        <v>95</v>
      </c>
      <c r="Q17" s="27" t="s">
        <v>96</v>
      </c>
      <c r="R17" s="25"/>
      <c r="S17" s="21" t="s">
        <v>38</v>
      </c>
      <c r="T17" s="28">
        <v>46041.0</v>
      </c>
      <c r="U17" s="28">
        <v>46044.0</v>
      </c>
      <c r="V17" s="29"/>
      <c r="W17" s="29"/>
      <c r="X17" s="25"/>
      <c r="Y17" s="20" t="s">
        <v>33</v>
      </c>
      <c r="Z17" s="6"/>
      <c r="AA17" s="6"/>
      <c r="AB17" s="6"/>
      <c r="AC17" s="6"/>
      <c r="AD17" s="6"/>
      <c r="AE17" s="6"/>
    </row>
    <row r="18">
      <c r="A18" s="7">
        <f t="shared" si="1"/>
        <v>17</v>
      </c>
      <c r="B18" s="31" t="s">
        <v>97</v>
      </c>
      <c r="C18" s="31" t="s">
        <v>98</v>
      </c>
      <c r="D18" s="9" t="s">
        <v>27</v>
      </c>
      <c r="E18" s="32">
        <v>46106.808333333334</v>
      </c>
      <c r="F18" s="33"/>
      <c r="G18" s="31" t="s">
        <v>99</v>
      </c>
      <c r="H18" s="31" t="s">
        <v>100</v>
      </c>
      <c r="I18" s="31"/>
      <c r="J18" s="31"/>
      <c r="K18" s="31"/>
      <c r="L18" s="31"/>
      <c r="M18" s="31"/>
      <c r="N18" s="31"/>
      <c r="O18" s="6"/>
      <c r="P18" s="34" t="s">
        <v>101</v>
      </c>
      <c r="Q18" s="35"/>
      <c r="R18" s="36">
        <v>1.0</v>
      </c>
      <c r="S18" s="9" t="s">
        <v>38</v>
      </c>
      <c r="T18" s="33">
        <v>46042.0</v>
      </c>
      <c r="U18" s="33">
        <v>46042.0</v>
      </c>
      <c r="V18" s="35"/>
      <c r="W18" s="35"/>
      <c r="X18" s="6"/>
      <c r="Y18" s="31" t="s">
        <v>33</v>
      </c>
      <c r="Z18" s="6"/>
      <c r="AA18" s="6"/>
      <c r="AB18" s="6"/>
      <c r="AC18" s="6"/>
      <c r="AD18" s="6"/>
      <c r="AE18" s="6"/>
    </row>
    <row r="19">
      <c r="A19" s="7">
        <f t="shared" si="1"/>
        <v>18</v>
      </c>
      <c r="B19" s="31" t="s">
        <v>102</v>
      </c>
      <c r="C19" s="31" t="s">
        <v>103</v>
      </c>
      <c r="D19" s="9" t="s">
        <v>27</v>
      </c>
      <c r="E19" s="32">
        <v>46106.808333333334</v>
      </c>
      <c r="F19" s="33"/>
      <c r="G19" s="31" t="s">
        <v>104</v>
      </c>
      <c r="H19" s="31" t="s">
        <v>105</v>
      </c>
      <c r="I19" s="31"/>
      <c r="J19" s="31"/>
      <c r="K19" s="31"/>
      <c r="L19" s="31"/>
      <c r="M19" s="31"/>
      <c r="N19" s="31"/>
      <c r="O19" s="6"/>
      <c r="P19" s="34" t="s">
        <v>106</v>
      </c>
      <c r="Q19" s="35"/>
      <c r="R19" s="36">
        <v>1.0</v>
      </c>
      <c r="S19" s="9" t="s">
        <v>38</v>
      </c>
      <c r="T19" s="33">
        <v>46042.0</v>
      </c>
      <c r="U19" s="33">
        <v>46042.0</v>
      </c>
      <c r="V19" s="35"/>
      <c r="W19" s="35"/>
      <c r="X19" s="6"/>
      <c r="Y19" s="31" t="s">
        <v>33</v>
      </c>
      <c r="Z19" s="6"/>
      <c r="AA19" s="6"/>
      <c r="AB19" s="6"/>
      <c r="AC19" s="6"/>
      <c r="AD19" s="6"/>
      <c r="AE19" s="6"/>
    </row>
    <row r="20">
      <c r="A20" s="7">
        <f t="shared" si="1"/>
        <v>19</v>
      </c>
      <c r="B20" s="31" t="s">
        <v>107</v>
      </c>
      <c r="C20" s="31" t="s">
        <v>108</v>
      </c>
      <c r="D20" s="9" t="s">
        <v>27</v>
      </c>
      <c r="E20" s="32">
        <v>46106.808333333334</v>
      </c>
      <c r="F20" s="33"/>
      <c r="G20" s="31" t="s">
        <v>109</v>
      </c>
      <c r="H20" s="31" t="s">
        <v>110</v>
      </c>
      <c r="I20" s="31"/>
      <c r="J20" s="31"/>
      <c r="K20" s="31"/>
      <c r="L20" s="31"/>
      <c r="M20" s="37" t="s">
        <v>30</v>
      </c>
      <c r="N20" s="31"/>
      <c r="O20" s="31" t="s">
        <v>111</v>
      </c>
      <c r="P20" s="34" t="s">
        <v>112</v>
      </c>
      <c r="Q20" s="35"/>
      <c r="R20" s="36">
        <v>1.0</v>
      </c>
      <c r="S20" s="9" t="s">
        <v>38</v>
      </c>
      <c r="T20" s="33">
        <v>46042.0</v>
      </c>
      <c r="U20" s="33">
        <v>46071.0</v>
      </c>
      <c r="V20" s="35"/>
      <c r="W20" s="35"/>
      <c r="X20" s="6"/>
      <c r="Y20" s="31" t="s">
        <v>33</v>
      </c>
      <c r="Z20" s="6"/>
      <c r="AA20" s="6"/>
      <c r="AB20" s="6"/>
      <c r="AC20" s="6"/>
      <c r="AD20" s="6"/>
      <c r="AE20" s="6"/>
    </row>
    <row r="21">
      <c r="A21" s="38">
        <f t="shared" si="1"/>
        <v>20</v>
      </c>
      <c r="B21" s="39" t="s">
        <v>113</v>
      </c>
      <c r="C21" s="39" t="s">
        <v>114</v>
      </c>
      <c r="D21" s="40" t="s">
        <v>27</v>
      </c>
      <c r="E21" s="41">
        <v>46106.8125</v>
      </c>
      <c r="F21" s="39"/>
      <c r="G21" s="39" t="s">
        <v>109</v>
      </c>
      <c r="H21" s="39" t="s">
        <v>115</v>
      </c>
      <c r="I21" s="39"/>
      <c r="J21" s="39"/>
      <c r="K21" s="39"/>
      <c r="L21" s="39"/>
      <c r="M21" s="42" t="s">
        <v>30</v>
      </c>
      <c r="N21" s="39"/>
      <c r="O21" s="43"/>
      <c r="P21" s="44" t="s">
        <v>116</v>
      </c>
      <c r="Q21" s="45"/>
      <c r="R21" s="46">
        <v>1.0</v>
      </c>
      <c r="S21" s="40" t="s">
        <v>87</v>
      </c>
      <c r="T21" s="47">
        <v>46042.0</v>
      </c>
      <c r="U21" s="39" t="s">
        <v>32</v>
      </c>
      <c r="V21" s="44" t="s">
        <v>117</v>
      </c>
      <c r="W21" s="45"/>
      <c r="X21" s="46">
        <v>4.0</v>
      </c>
      <c r="Y21" s="39" t="s">
        <v>33</v>
      </c>
      <c r="Z21" s="6"/>
      <c r="AA21" s="6"/>
      <c r="AB21" s="6"/>
      <c r="AC21" s="6"/>
      <c r="AD21" s="6"/>
      <c r="AE21" s="6"/>
    </row>
    <row r="22">
      <c r="A22" s="7">
        <f t="shared" si="1"/>
        <v>21</v>
      </c>
      <c r="B22" s="31" t="s">
        <v>118</v>
      </c>
      <c r="C22" s="31" t="s">
        <v>119</v>
      </c>
      <c r="D22" s="9" t="s">
        <v>27</v>
      </c>
      <c r="E22" s="32">
        <v>46106.808333333334</v>
      </c>
      <c r="F22" s="33"/>
      <c r="G22" s="31" t="s">
        <v>109</v>
      </c>
      <c r="H22" s="31" t="s">
        <v>120</v>
      </c>
      <c r="I22" s="31"/>
      <c r="J22" s="31"/>
      <c r="K22" s="31"/>
      <c r="L22" s="31"/>
      <c r="M22" s="37" t="s">
        <v>30</v>
      </c>
      <c r="N22" s="31"/>
      <c r="O22" s="31" t="s">
        <v>111</v>
      </c>
      <c r="P22" s="34" t="s">
        <v>121</v>
      </c>
      <c r="Q22" s="35"/>
      <c r="R22" s="36">
        <v>1.0</v>
      </c>
      <c r="S22" s="9" t="s">
        <v>38</v>
      </c>
      <c r="T22" s="33">
        <v>46042.0</v>
      </c>
      <c r="U22" s="33">
        <v>46071.0</v>
      </c>
      <c r="V22" s="35"/>
      <c r="W22" s="35"/>
      <c r="X22" s="6"/>
      <c r="Y22" s="31" t="s">
        <v>33</v>
      </c>
      <c r="Z22" s="6"/>
      <c r="AA22" s="6"/>
      <c r="AB22" s="6"/>
      <c r="AC22" s="6"/>
      <c r="AD22" s="6"/>
      <c r="AE22" s="6"/>
    </row>
    <row r="23">
      <c r="A23" s="19">
        <f t="shared" si="1"/>
        <v>22</v>
      </c>
      <c r="B23" s="20" t="s">
        <v>122</v>
      </c>
      <c r="C23" s="20" t="s">
        <v>123</v>
      </c>
      <c r="D23" s="21" t="s">
        <v>38</v>
      </c>
      <c r="E23" s="22">
        <v>46106.808333333334</v>
      </c>
      <c r="F23" s="22">
        <v>46112.424305555556</v>
      </c>
      <c r="G23" s="20" t="s">
        <v>109</v>
      </c>
      <c r="H23" s="20" t="s">
        <v>124</v>
      </c>
      <c r="I23" s="20"/>
      <c r="J23" s="20"/>
      <c r="K23" s="20"/>
      <c r="L23" s="20"/>
      <c r="M23" s="48" t="s">
        <v>30</v>
      </c>
      <c r="N23" s="20"/>
      <c r="O23" s="25"/>
      <c r="P23" s="26" t="s">
        <v>125</v>
      </c>
      <c r="Q23" s="27" t="s">
        <v>126</v>
      </c>
      <c r="R23" s="25"/>
      <c r="S23" s="21" t="s">
        <v>38</v>
      </c>
      <c r="T23" s="28">
        <v>46042.0</v>
      </c>
      <c r="U23" s="28">
        <v>46042.0</v>
      </c>
      <c r="V23" s="29"/>
      <c r="W23" s="29"/>
      <c r="X23" s="25"/>
      <c r="Y23" s="20" t="s">
        <v>33</v>
      </c>
      <c r="Z23" s="6"/>
      <c r="AA23" s="6"/>
      <c r="AB23" s="6"/>
      <c r="AC23" s="6"/>
      <c r="AD23" s="6"/>
      <c r="AE23" s="6"/>
    </row>
    <row r="24">
      <c r="A24" s="7">
        <f t="shared" si="1"/>
        <v>23</v>
      </c>
      <c r="B24" s="31" t="s">
        <v>127</v>
      </c>
      <c r="C24" s="31" t="s">
        <v>128</v>
      </c>
      <c r="D24" s="9" t="s">
        <v>27</v>
      </c>
      <c r="E24" s="32">
        <v>46106.808333333334</v>
      </c>
      <c r="F24" s="33"/>
      <c r="G24" s="6"/>
      <c r="H24" s="6"/>
      <c r="I24" s="6"/>
      <c r="J24" s="6"/>
      <c r="K24" s="6"/>
      <c r="L24" s="6"/>
      <c r="M24" s="37"/>
      <c r="N24" s="6"/>
      <c r="O24" s="6"/>
      <c r="P24" s="34" t="s">
        <v>129</v>
      </c>
      <c r="Q24" s="35"/>
      <c r="R24" s="36">
        <v>1.0</v>
      </c>
      <c r="S24" s="9" t="s">
        <v>38</v>
      </c>
      <c r="T24" s="33">
        <v>46043.0</v>
      </c>
      <c r="U24" s="33">
        <v>46045.0</v>
      </c>
      <c r="V24" s="35"/>
      <c r="W24" s="35"/>
      <c r="X24" s="6"/>
      <c r="Y24" s="31" t="s">
        <v>33</v>
      </c>
      <c r="Z24" s="6"/>
      <c r="AA24" s="6"/>
      <c r="AB24" s="6"/>
      <c r="AC24" s="6"/>
      <c r="AD24" s="6"/>
      <c r="AE24" s="6"/>
    </row>
    <row r="25">
      <c r="A25" s="7">
        <f t="shared" si="1"/>
        <v>24</v>
      </c>
      <c r="B25" s="31" t="s">
        <v>130</v>
      </c>
      <c r="C25" s="31" t="s">
        <v>131</v>
      </c>
      <c r="D25" s="9" t="s">
        <v>27</v>
      </c>
      <c r="E25" s="32">
        <v>46106.808333333334</v>
      </c>
      <c r="F25" s="33"/>
      <c r="G25" s="6"/>
      <c r="H25" s="6"/>
      <c r="I25" s="6"/>
      <c r="J25" s="6"/>
      <c r="K25" s="6"/>
      <c r="L25" s="6"/>
      <c r="M25" s="37"/>
      <c r="N25" s="6"/>
      <c r="O25" s="6"/>
      <c r="P25" s="34" t="s">
        <v>132</v>
      </c>
      <c r="Q25" s="35"/>
      <c r="R25" s="36">
        <v>1.0</v>
      </c>
      <c r="S25" s="9" t="s">
        <v>38</v>
      </c>
      <c r="T25" s="33">
        <v>46043.0</v>
      </c>
      <c r="U25" s="33">
        <v>46044.0</v>
      </c>
      <c r="V25" s="35"/>
      <c r="W25" s="35"/>
      <c r="X25" s="6"/>
      <c r="Y25" s="31" t="s">
        <v>33</v>
      </c>
      <c r="Z25" s="6"/>
      <c r="AA25" s="6"/>
      <c r="AB25" s="6"/>
      <c r="AC25" s="6"/>
      <c r="AD25" s="6"/>
      <c r="AE25" s="6"/>
    </row>
    <row r="26">
      <c r="A26" s="7">
        <f t="shared" si="1"/>
        <v>25</v>
      </c>
      <c r="B26" s="31" t="s">
        <v>133</v>
      </c>
      <c r="C26" s="31" t="s">
        <v>134</v>
      </c>
      <c r="D26" s="9" t="s">
        <v>27</v>
      </c>
      <c r="E26" s="32">
        <v>46106.80902777778</v>
      </c>
      <c r="F26" s="33"/>
      <c r="G26" s="6"/>
      <c r="H26" s="6"/>
      <c r="I26" s="6"/>
      <c r="J26" s="6"/>
      <c r="K26" s="6"/>
      <c r="L26" s="6"/>
      <c r="M26" s="37"/>
      <c r="N26" s="6"/>
      <c r="O26" s="6"/>
      <c r="P26" s="34" t="s">
        <v>135</v>
      </c>
      <c r="Q26" s="35"/>
      <c r="R26" s="36">
        <v>1.0</v>
      </c>
      <c r="S26" s="9" t="s">
        <v>38</v>
      </c>
      <c r="T26" s="33">
        <v>46043.0</v>
      </c>
      <c r="U26" s="33">
        <v>46050.0</v>
      </c>
      <c r="V26" s="35"/>
      <c r="W26" s="35"/>
      <c r="X26" s="6"/>
      <c r="Y26" s="31" t="s">
        <v>33</v>
      </c>
      <c r="Z26" s="6"/>
      <c r="AA26" s="6"/>
      <c r="AB26" s="6"/>
      <c r="AC26" s="6"/>
      <c r="AD26" s="6"/>
      <c r="AE26" s="6"/>
    </row>
    <row r="27">
      <c r="A27" s="19">
        <f t="shared" si="1"/>
        <v>26</v>
      </c>
      <c r="B27" s="20" t="s">
        <v>136</v>
      </c>
      <c r="C27" s="20" t="s">
        <v>137</v>
      </c>
      <c r="D27" s="21" t="s">
        <v>38</v>
      </c>
      <c r="E27" s="22">
        <v>46106.80902777778</v>
      </c>
      <c r="F27" s="22">
        <v>46106.82986111111</v>
      </c>
      <c r="G27" s="25"/>
      <c r="H27" s="25"/>
      <c r="I27" s="25"/>
      <c r="J27" s="25"/>
      <c r="K27" s="25"/>
      <c r="L27" s="25"/>
      <c r="M27" s="48"/>
      <c r="N27" s="25"/>
      <c r="O27" s="25"/>
      <c r="P27" s="26" t="s">
        <v>138</v>
      </c>
      <c r="Q27" s="27" t="s">
        <v>139</v>
      </c>
      <c r="R27" s="25"/>
      <c r="S27" s="21" t="s">
        <v>38</v>
      </c>
      <c r="T27" s="28">
        <v>46043.0</v>
      </c>
      <c r="U27" s="28">
        <v>46045.0</v>
      </c>
      <c r="V27" s="29"/>
      <c r="W27" s="29"/>
      <c r="X27" s="25"/>
      <c r="Y27" s="20" t="s">
        <v>33</v>
      </c>
      <c r="Z27" s="6"/>
      <c r="AA27" s="6"/>
      <c r="AB27" s="6"/>
      <c r="AC27" s="6"/>
      <c r="AD27" s="6"/>
      <c r="AE27" s="6"/>
    </row>
    <row r="28">
      <c r="A28" s="7">
        <f t="shared" si="1"/>
        <v>27</v>
      </c>
      <c r="B28" s="31" t="s">
        <v>140</v>
      </c>
      <c r="C28" s="31" t="s">
        <v>141</v>
      </c>
      <c r="D28" s="9" t="s">
        <v>27</v>
      </c>
      <c r="E28" s="32">
        <v>46106.80902777778</v>
      </c>
      <c r="F28" s="33"/>
      <c r="G28" s="31" t="s">
        <v>142</v>
      </c>
      <c r="H28" s="6"/>
      <c r="I28" s="6"/>
      <c r="J28" s="6"/>
      <c r="K28" s="6"/>
      <c r="L28" s="6"/>
      <c r="M28" s="6"/>
      <c r="N28" s="6"/>
      <c r="O28" s="6"/>
      <c r="P28" s="34" t="s">
        <v>143</v>
      </c>
      <c r="Q28" s="35"/>
      <c r="R28" s="36">
        <v>1.0</v>
      </c>
      <c r="S28" s="9" t="s">
        <v>38</v>
      </c>
      <c r="T28" s="33">
        <v>46042.0</v>
      </c>
      <c r="U28" s="33">
        <v>46043.0</v>
      </c>
      <c r="V28" s="35"/>
      <c r="W28" s="35"/>
      <c r="X28" s="6"/>
      <c r="Y28" s="31" t="s">
        <v>33</v>
      </c>
      <c r="Z28" s="6"/>
      <c r="AA28" s="6"/>
      <c r="AB28" s="6"/>
      <c r="AC28" s="6"/>
      <c r="AD28" s="6"/>
      <c r="AE28" s="6"/>
    </row>
    <row r="29">
      <c r="A29" s="7">
        <f t="shared" si="1"/>
        <v>28</v>
      </c>
      <c r="B29" s="31" t="s">
        <v>144</v>
      </c>
      <c r="C29" s="31" t="s">
        <v>145</v>
      </c>
      <c r="D29" s="9" t="s">
        <v>27</v>
      </c>
      <c r="E29" s="32">
        <v>46106.80902777778</v>
      </c>
      <c r="F29" s="33"/>
      <c r="G29" s="31" t="s">
        <v>142</v>
      </c>
      <c r="H29" s="6"/>
      <c r="I29" s="6"/>
      <c r="J29" s="6"/>
      <c r="K29" s="6"/>
      <c r="L29" s="6"/>
      <c r="M29" s="6"/>
      <c r="N29" s="6"/>
      <c r="O29" s="6"/>
      <c r="P29" s="34" t="s">
        <v>146</v>
      </c>
      <c r="Q29" s="35"/>
      <c r="R29" s="36">
        <v>1.0</v>
      </c>
      <c r="S29" s="9" t="s">
        <v>38</v>
      </c>
      <c r="T29" s="33">
        <v>46042.0</v>
      </c>
      <c r="U29" s="33">
        <v>46043.0</v>
      </c>
      <c r="V29" s="35"/>
      <c r="W29" s="35"/>
      <c r="X29" s="6"/>
      <c r="Y29" s="31" t="s">
        <v>33</v>
      </c>
      <c r="Z29" s="6"/>
      <c r="AA29" s="6"/>
      <c r="AB29" s="6"/>
      <c r="AC29" s="6"/>
      <c r="AD29" s="6"/>
      <c r="AE29" s="6"/>
    </row>
    <row r="30">
      <c r="A30" s="19">
        <f t="shared" si="1"/>
        <v>29</v>
      </c>
      <c r="B30" s="20" t="s">
        <v>147</v>
      </c>
      <c r="C30" s="20" t="s">
        <v>148</v>
      </c>
      <c r="D30" s="21" t="s">
        <v>38</v>
      </c>
      <c r="E30" s="22">
        <v>46106.80902777778</v>
      </c>
      <c r="F30" s="22">
        <v>46111.60763888889</v>
      </c>
      <c r="G30" s="20" t="s">
        <v>142</v>
      </c>
      <c r="H30" s="25"/>
      <c r="I30" s="25"/>
      <c r="J30" s="25"/>
      <c r="K30" s="25"/>
      <c r="L30" s="25"/>
      <c r="M30" s="25"/>
      <c r="N30" s="25"/>
      <c r="O30" s="25"/>
      <c r="P30" s="26" t="s">
        <v>149</v>
      </c>
      <c r="Q30" s="27" t="s">
        <v>150</v>
      </c>
      <c r="R30" s="25"/>
      <c r="S30" s="21" t="s">
        <v>38</v>
      </c>
      <c r="T30" s="28">
        <v>46042.0</v>
      </c>
      <c r="U30" s="28">
        <v>46043.0</v>
      </c>
      <c r="V30" s="29"/>
      <c r="W30" s="29"/>
      <c r="X30" s="25"/>
      <c r="Y30" s="20" t="s">
        <v>33</v>
      </c>
      <c r="Z30" s="6"/>
      <c r="AA30" s="6"/>
      <c r="AB30" s="6"/>
      <c r="AC30" s="6"/>
      <c r="AD30" s="6"/>
      <c r="AE30" s="6"/>
    </row>
    <row r="31">
      <c r="A31" s="19">
        <f t="shared" si="1"/>
        <v>30</v>
      </c>
      <c r="B31" s="20" t="s">
        <v>151</v>
      </c>
      <c r="C31" s="20" t="s">
        <v>152</v>
      </c>
      <c r="D31" s="21" t="s">
        <v>38</v>
      </c>
      <c r="E31" s="22">
        <v>46106.80902777778</v>
      </c>
      <c r="F31" s="22">
        <v>46106.81180555555</v>
      </c>
      <c r="G31" s="20" t="s">
        <v>75</v>
      </c>
      <c r="H31" s="25"/>
      <c r="I31" s="25"/>
      <c r="J31" s="25"/>
      <c r="K31" s="25"/>
      <c r="L31" s="25"/>
      <c r="M31" s="25"/>
      <c r="N31" s="25"/>
      <c r="O31" s="25"/>
      <c r="P31" s="26" t="s">
        <v>153</v>
      </c>
      <c r="Q31" s="27" t="s">
        <v>154</v>
      </c>
      <c r="R31" s="25"/>
      <c r="S31" s="21" t="s">
        <v>38</v>
      </c>
      <c r="T31" s="28">
        <v>46041.0</v>
      </c>
      <c r="U31" s="28">
        <v>46042.0</v>
      </c>
      <c r="V31" s="29"/>
      <c r="W31" s="29"/>
      <c r="X31" s="25"/>
      <c r="Y31" s="20" t="s">
        <v>33</v>
      </c>
      <c r="Z31" s="6"/>
      <c r="AA31" s="6"/>
      <c r="AB31" s="6"/>
      <c r="AC31" s="6"/>
      <c r="AD31" s="6"/>
      <c r="AE31" s="6"/>
    </row>
    <row r="32">
      <c r="A32" s="7">
        <f t="shared" si="1"/>
        <v>31</v>
      </c>
      <c r="B32" s="31" t="s">
        <v>155</v>
      </c>
      <c r="C32" s="31" t="s">
        <v>156</v>
      </c>
      <c r="D32" s="9" t="s">
        <v>27</v>
      </c>
      <c r="E32" s="32">
        <v>46106.80902777778</v>
      </c>
      <c r="F32" s="33"/>
      <c r="G32" s="6"/>
      <c r="H32" s="6"/>
      <c r="I32" s="6"/>
      <c r="J32" s="6"/>
      <c r="K32" s="6"/>
      <c r="L32" s="6"/>
      <c r="M32" s="6"/>
      <c r="N32" s="6"/>
      <c r="O32" s="31" t="s">
        <v>157</v>
      </c>
      <c r="P32" s="34" t="s">
        <v>158</v>
      </c>
      <c r="Q32" s="35"/>
      <c r="R32" s="36">
        <v>1.0</v>
      </c>
      <c r="S32" s="9" t="s">
        <v>38</v>
      </c>
      <c r="T32" s="33">
        <v>46044.0</v>
      </c>
      <c r="U32" s="33">
        <v>46049.0</v>
      </c>
      <c r="V32" s="35"/>
      <c r="W32" s="35"/>
      <c r="X32" s="6"/>
      <c r="Y32" s="31" t="s">
        <v>33</v>
      </c>
      <c r="Z32" s="6"/>
      <c r="AA32" s="6"/>
      <c r="AB32" s="6"/>
      <c r="AC32" s="6"/>
      <c r="AD32" s="6"/>
      <c r="AE32" s="6"/>
    </row>
    <row r="33">
      <c r="A33" s="7">
        <f t="shared" si="1"/>
        <v>32</v>
      </c>
      <c r="B33" s="31" t="s">
        <v>159</v>
      </c>
      <c r="C33" s="31" t="s">
        <v>160</v>
      </c>
      <c r="D33" s="9" t="s">
        <v>27</v>
      </c>
      <c r="E33" s="32">
        <v>46106.80902777778</v>
      </c>
      <c r="F33" s="33"/>
      <c r="G33" s="6"/>
      <c r="H33" s="6"/>
      <c r="I33" s="6"/>
      <c r="J33" s="6"/>
      <c r="K33" s="6"/>
      <c r="L33" s="6"/>
      <c r="M33" s="6"/>
      <c r="N33" s="6"/>
      <c r="O33" s="31" t="s">
        <v>161</v>
      </c>
      <c r="P33" s="34" t="s">
        <v>162</v>
      </c>
      <c r="Q33" s="35"/>
      <c r="R33" s="36">
        <v>1.0</v>
      </c>
      <c r="S33" s="9" t="s">
        <v>38</v>
      </c>
      <c r="T33" s="33">
        <v>46044.0</v>
      </c>
      <c r="U33" s="33">
        <v>46048.0</v>
      </c>
      <c r="V33" s="35"/>
      <c r="W33" s="35"/>
      <c r="X33" s="6"/>
      <c r="Y33" s="31" t="s">
        <v>33</v>
      </c>
      <c r="Z33" s="6"/>
      <c r="AA33" s="6"/>
      <c r="AB33" s="6"/>
      <c r="AC33" s="6"/>
      <c r="AD33" s="6"/>
      <c r="AE33" s="6"/>
    </row>
    <row r="34">
      <c r="A34" s="38">
        <v>33.0</v>
      </c>
      <c r="B34" s="39" t="s">
        <v>163</v>
      </c>
      <c r="C34" s="39" t="s">
        <v>164</v>
      </c>
      <c r="D34" s="40" t="s">
        <v>165</v>
      </c>
      <c r="E34" s="41">
        <v>46106.8125</v>
      </c>
      <c r="F34" s="39"/>
      <c r="G34" s="43"/>
      <c r="H34" s="43"/>
      <c r="I34" s="49"/>
      <c r="J34" s="43"/>
      <c r="K34" s="43"/>
      <c r="L34" s="43"/>
      <c r="M34" s="43"/>
      <c r="N34" s="43"/>
      <c r="O34" s="43"/>
      <c r="P34" s="49" t="s">
        <v>166</v>
      </c>
      <c r="Q34" s="45"/>
      <c r="R34" s="46">
        <v>1.0</v>
      </c>
      <c r="S34" s="40" t="s">
        <v>87</v>
      </c>
      <c r="T34" s="47">
        <v>46044.0</v>
      </c>
      <c r="U34" s="39" t="s">
        <v>32</v>
      </c>
      <c r="V34" s="50" t="s">
        <v>167</v>
      </c>
      <c r="W34" s="45"/>
      <c r="X34" s="46">
        <v>4.0</v>
      </c>
      <c r="Y34" s="39" t="s">
        <v>33</v>
      </c>
      <c r="Z34" s="6"/>
      <c r="AA34" s="6"/>
      <c r="AB34" s="6"/>
      <c r="AC34" s="6"/>
      <c r="AD34" s="6"/>
      <c r="AE34" s="6"/>
    </row>
    <row r="35">
      <c r="A35" s="7">
        <f t="shared" ref="A35:A999" si="2">IF(B35="","",COUNTA($B$2:B35))</f>
        <v>34</v>
      </c>
      <c r="B35" s="31" t="s">
        <v>168</v>
      </c>
      <c r="C35" s="31" t="s">
        <v>169</v>
      </c>
      <c r="D35" s="9" t="s">
        <v>27</v>
      </c>
      <c r="E35" s="32">
        <v>46106.81319444445</v>
      </c>
      <c r="F35" s="33"/>
      <c r="G35" s="31" t="s">
        <v>170</v>
      </c>
      <c r="H35" s="31" t="s">
        <v>171</v>
      </c>
      <c r="I35" s="31"/>
      <c r="J35" s="31"/>
      <c r="K35" s="31"/>
      <c r="L35" s="31"/>
      <c r="M35" s="31"/>
      <c r="N35" s="31"/>
      <c r="O35" s="6"/>
      <c r="P35" s="34" t="s">
        <v>172</v>
      </c>
      <c r="Q35" s="35"/>
      <c r="R35" s="36">
        <v>1.0</v>
      </c>
      <c r="S35" s="9" t="s">
        <v>38</v>
      </c>
      <c r="T35" s="33">
        <v>46044.0</v>
      </c>
      <c r="U35" s="33">
        <v>46044.0</v>
      </c>
      <c r="V35" s="35"/>
      <c r="W35" s="35"/>
      <c r="X35" s="6"/>
      <c r="Y35" s="31" t="s">
        <v>33</v>
      </c>
      <c r="Z35" s="6"/>
      <c r="AA35" s="6"/>
      <c r="AB35" s="6"/>
      <c r="AC35" s="6"/>
      <c r="AD35" s="6"/>
      <c r="AE35" s="6"/>
    </row>
    <row r="36">
      <c r="A36" s="7">
        <f t="shared" si="2"/>
        <v>35</v>
      </c>
      <c r="B36" s="31" t="s">
        <v>173</v>
      </c>
      <c r="C36" s="31" t="s">
        <v>174</v>
      </c>
      <c r="D36" s="9" t="s">
        <v>27</v>
      </c>
      <c r="E36" s="32">
        <v>46106.80902777778</v>
      </c>
      <c r="F36" s="33"/>
      <c r="G36" s="6"/>
      <c r="H36" s="6"/>
      <c r="I36" s="6"/>
      <c r="J36" s="6"/>
      <c r="K36" s="6"/>
      <c r="L36" s="6"/>
      <c r="M36" s="6"/>
      <c r="N36" s="6"/>
      <c r="O36" s="6"/>
      <c r="P36" s="34" t="s">
        <v>175</v>
      </c>
      <c r="Q36" s="35"/>
      <c r="R36" s="36">
        <v>1.0</v>
      </c>
      <c r="S36" s="9" t="s">
        <v>38</v>
      </c>
      <c r="T36" s="33">
        <v>46047.0</v>
      </c>
      <c r="U36" s="33">
        <v>46055.0</v>
      </c>
      <c r="V36" s="35"/>
      <c r="W36" s="35"/>
      <c r="X36" s="6"/>
      <c r="Y36" s="31" t="s">
        <v>33</v>
      </c>
      <c r="Z36" s="6"/>
      <c r="AA36" s="6"/>
      <c r="AB36" s="6"/>
      <c r="AC36" s="6"/>
      <c r="AD36" s="6"/>
      <c r="AE36" s="6"/>
    </row>
    <row r="37">
      <c r="A37" s="19">
        <f t="shared" si="2"/>
        <v>36</v>
      </c>
      <c r="B37" s="20" t="s">
        <v>176</v>
      </c>
      <c r="C37" s="20" t="s">
        <v>177</v>
      </c>
      <c r="D37" s="21" t="s">
        <v>38</v>
      </c>
      <c r="E37" s="22">
        <v>46106.80972222222</v>
      </c>
      <c r="F37" s="22">
        <v>46113.43680555555</v>
      </c>
      <c r="G37" s="25"/>
      <c r="H37" s="20" t="s">
        <v>100</v>
      </c>
      <c r="I37" s="20"/>
      <c r="J37" s="20"/>
      <c r="K37" s="20"/>
      <c r="L37" s="20"/>
      <c r="M37" s="20"/>
      <c r="N37" s="20"/>
      <c r="O37" s="25"/>
      <c r="P37" s="26" t="s">
        <v>178</v>
      </c>
      <c r="Q37" s="27" t="s">
        <v>179</v>
      </c>
      <c r="R37" s="25"/>
      <c r="S37" s="21" t="s">
        <v>38</v>
      </c>
      <c r="T37" s="28">
        <v>46048.0</v>
      </c>
      <c r="U37" s="28">
        <v>46048.0</v>
      </c>
      <c r="V37" s="29"/>
      <c r="W37" s="29"/>
      <c r="X37" s="25"/>
      <c r="Y37" s="20" t="s">
        <v>33</v>
      </c>
      <c r="Z37" s="6"/>
      <c r="AA37" s="6"/>
      <c r="AB37" s="6"/>
      <c r="AC37" s="6"/>
      <c r="AD37" s="6"/>
      <c r="AE37" s="6"/>
    </row>
    <row r="38">
      <c r="A38" s="19">
        <f t="shared" si="2"/>
        <v>37</v>
      </c>
      <c r="B38" s="20" t="s">
        <v>180</v>
      </c>
      <c r="C38" s="20" t="s">
        <v>181</v>
      </c>
      <c r="D38" s="21" t="s">
        <v>38</v>
      </c>
      <c r="E38" s="22">
        <v>46106.80972222222</v>
      </c>
      <c r="F38" s="22">
        <v>46106.972916666666</v>
      </c>
      <c r="G38" s="25"/>
      <c r="H38" s="25"/>
      <c r="I38" s="25"/>
      <c r="J38" s="25"/>
      <c r="K38" s="25"/>
      <c r="L38" s="25"/>
      <c r="M38" s="25"/>
      <c r="N38" s="25"/>
      <c r="O38" s="25"/>
      <c r="P38" s="26" t="s">
        <v>182</v>
      </c>
      <c r="Q38" s="27" t="s">
        <v>183</v>
      </c>
      <c r="R38" s="25"/>
      <c r="S38" s="21" t="s">
        <v>38</v>
      </c>
      <c r="T38" s="28">
        <v>46048.0</v>
      </c>
      <c r="U38" s="28">
        <v>46049.0</v>
      </c>
      <c r="V38" s="29"/>
      <c r="W38" s="29"/>
      <c r="X38" s="25"/>
      <c r="Y38" s="20" t="s">
        <v>33</v>
      </c>
      <c r="Z38" s="6"/>
      <c r="AA38" s="6"/>
      <c r="AB38" s="6"/>
      <c r="AC38" s="6"/>
      <c r="AD38" s="6"/>
      <c r="AE38" s="6"/>
    </row>
    <row r="39">
      <c r="A39" s="38">
        <f t="shared" si="2"/>
        <v>38</v>
      </c>
      <c r="B39" s="39" t="s">
        <v>184</v>
      </c>
      <c r="C39" s="39" t="s">
        <v>185</v>
      </c>
      <c r="D39" s="40" t="s">
        <v>27</v>
      </c>
      <c r="E39" s="41">
        <v>46106.80972222222</v>
      </c>
      <c r="F39" s="39"/>
      <c r="G39" s="39" t="s">
        <v>186</v>
      </c>
      <c r="H39" s="39" t="s">
        <v>187</v>
      </c>
      <c r="I39" s="39"/>
      <c r="J39" s="39"/>
      <c r="K39" s="39"/>
      <c r="L39" s="39"/>
      <c r="M39" s="39"/>
      <c r="N39" s="39"/>
      <c r="O39" s="43"/>
      <c r="P39" s="51" t="s">
        <v>188</v>
      </c>
      <c r="Q39" s="45"/>
      <c r="R39" s="46">
        <v>1.0</v>
      </c>
      <c r="S39" s="40" t="s">
        <v>87</v>
      </c>
      <c r="T39" s="47">
        <v>46049.0</v>
      </c>
      <c r="U39" s="39" t="s">
        <v>32</v>
      </c>
      <c r="V39" s="52" t="s">
        <v>189</v>
      </c>
      <c r="W39" s="45"/>
      <c r="X39" s="46">
        <v>4.0</v>
      </c>
      <c r="Y39" s="39" t="s">
        <v>33</v>
      </c>
      <c r="Z39" s="6"/>
      <c r="AA39" s="6"/>
      <c r="AB39" s="6"/>
      <c r="AC39" s="6"/>
      <c r="AD39" s="6"/>
      <c r="AE39" s="6"/>
    </row>
    <row r="40">
      <c r="A40" s="38">
        <f t="shared" si="2"/>
        <v>39</v>
      </c>
      <c r="B40" s="39" t="s">
        <v>190</v>
      </c>
      <c r="C40" s="39" t="s">
        <v>191</v>
      </c>
      <c r="D40" s="40" t="s">
        <v>27</v>
      </c>
      <c r="E40" s="41">
        <v>46106.80972222222</v>
      </c>
      <c r="F40" s="39"/>
      <c r="G40" s="39" t="s">
        <v>192</v>
      </c>
      <c r="H40" s="39" t="s">
        <v>187</v>
      </c>
      <c r="I40" s="39"/>
      <c r="J40" s="39"/>
      <c r="K40" s="39"/>
      <c r="L40" s="39"/>
      <c r="M40" s="39"/>
      <c r="N40" s="39"/>
      <c r="O40" s="43"/>
      <c r="P40" s="51" t="s">
        <v>193</v>
      </c>
      <c r="Q40" s="45"/>
      <c r="R40" s="46">
        <v>1.0</v>
      </c>
      <c r="S40" s="40" t="s">
        <v>87</v>
      </c>
      <c r="T40" s="47">
        <v>46049.0</v>
      </c>
      <c r="U40" s="39" t="s">
        <v>32</v>
      </c>
      <c r="V40" s="52" t="s">
        <v>194</v>
      </c>
      <c r="W40" s="45"/>
      <c r="X40" s="46">
        <v>4.0</v>
      </c>
      <c r="Y40" s="39" t="s">
        <v>33</v>
      </c>
      <c r="Z40" s="6"/>
      <c r="AA40" s="6"/>
      <c r="AB40" s="6"/>
      <c r="AC40" s="6"/>
      <c r="AD40" s="6"/>
      <c r="AE40" s="6"/>
    </row>
    <row r="41">
      <c r="A41" s="7">
        <f t="shared" si="2"/>
        <v>40</v>
      </c>
      <c r="B41" s="31" t="s">
        <v>195</v>
      </c>
      <c r="C41" s="31" t="s">
        <v>196</v>
      </c>
      <c r="D41" s="9" t="s">
        <v>27</v>
      </c>
      <c r="E41" s="32">
        <v>46106.80972222222</v>
      </c>
      <c r="F41" s="33"/>
      <c r="G41" s="6"/>
      <c r="H41" s="6"/>
      <c r="I41" s="6"/>
      <c r="J41" s="6"/>
      <c r="K41" s="6"/>
      <c r="L41" s="6"/>
      <c r="M41" s="6"/>
      <c r="N41" s="6"/>
      <c r="O41" s="6"/>
      <c r="P41" s="34" t="s">
        <v>197</v>
      </c>
      <c r="Q41" s="35"/>
      <c r="R41" s="36">
        <v>1.0</v>
      </c>
      <c r="S41" s="9" t="s">
        <v>38</v>
      </c>
      <c r="T41" s="33">
        <v>46049.0</v>
      </c>
      <c r="U41" s="33">
        <v>46050.0</v>
      </c>
      <c r="V41" s="35"/>
      <c r="W41" s="35"/>
      <c r="X41" s="6"/>
      <c r="Y41" s="31" t="s">
        <v>33</v>
      </c>
      <c r="Z41" s="6"/>
      <c r="AA41" s="6"/>
      <c r="AB41" s="6"/>
      <c r="AC41" s="6"/>
      <c r="AD41" s="6"/>
      <c r="AE41" s="6"/>
    </row>
    <row r="42">
      <c r="A42" s="7">
        <f t="shared" si="2"/>
        <v>41</v>
      </c>
      <c r="B42" s="31" t="s">
        <v>198</v>
      </c>
      <c r="C42" s="31" t="s">
        <v>199</v>
      </c>
      <c r="D42" s="9" t="s">
        <v>27</v>
      </c>
      <c r="E42" s="32">
        <v>46106.80972222222</v>
      </c>
      <c r="F42" s="33"/>
      <c r="G42" s="31" t="s">
        <v>200</v>
      </c>
      <c r="H42" s="31" t="s">
        <v>201</v>
      </c>
      <c r="I42" s="31"/>
      <c r="J42" s="31"/>
      <c r="K42" s="31"/>
      <c r="L42" s="31"/>
      <c r="M42" s="37" t="s">
        <v>30</v>
      </c>
      <c r="N42" s="31"/>
      <c r="O42" s="6"/>
      <c r="P42" s="34" t="s">
        <v>202</v>
      </c>
      <c r="Q42" s="35"/>
      <c r="R42" s="36">
        <v>1.0</v>
      </c>
      <c r="S42" s="9" t="s">
        <v>38</v>
      </c>
      <c r="T42" s="33">
        <v>46049.0</v>
      </c>
      <c r="U42" s="33">
        <v>46072.0</v>
      </c>
      <c r="V42" s="35"/>
      <c r="W42" s="35"/>
      <c r="X42" s="6"/>
      <c r="Y42" s="31" t="s">
        <v>33</v>
      </c>
      <c r="Z42" s="6"/>
      <c r="AA42" s="6"/>
      <c r="AB42" s="6"/>
      <c r="AC42" s="6"/>
      <c r="AD42" s="6"/>
      <c r="AE42" s="6"/>
    </row>
    <row r="43">
      <c r="A43" s="19">
        <f t="shared" si="2"/>
        <v>42</v>
      </c>
      <c r="B43" s="20" t="s">
        <v>203</v>
      </c>
      <c r="C43" s="20" t="s">
        <v>204</v>
      </c>
      <c r="D43" s="21" t="s">
        <v>38</v>
      </c>
      <c r="E43" s="22">
        <v>46106.80972222222</v>
      </c>
      <c r="F43" s="22">
        <v>46114.506944444445</v>
      </c>
      <c r="G43" s="20" t="s">
        <v>200</v>
      </c>
      <c r="H43" s="20" t="s">
        <v>205</v>
      </c>
      <c r="I43" s="20"/>
      <c r="J43" s="20"/>
      <c r="K43" s="20"/>
      <c r="L43" s="20"/>
      <c r="M43" s="48" t="s">
        <v>30</v>
      </c>
      <c r="N43" s="20"/>
      <c r="O43" s="20" t="s">
        <v>111</v>
      </c>
      <c r="P43" s="26" t="s">
        <v>206</v>
      </c>
      <c r="Q43" s="27" t="s">
        <v>207</v>
      </c>
      <c r="R43" s="30">
        <v>1.0</v>
      </c>
      <c r="S43" s="21" t="s">
        <v>38</v>
      </c>
      <c r="T43" s="28">
        <v>46051.0</v>
      </c>
      <c r="U43" s="28">
        <v>46071.0</v>
      </c>
      <c r="V43" s="29"/>
      <c r="W43" s="29"/>
      <c r="X43" s="25"/>
      <c r="Y43" s="20" t="s">
        <v>33</v>
      </c>
      <c r="Z43" s="6"/>
      <c r="AA43" s="6"/>
      <c r="AB43" s="6"/>
      <c r="AC43" s="6"/>
      <c r="AD43" s="6"/>
      <c r="AE43" s="6"/>
    </row>
    <row r="44">
      <c r="A44" s="7">
        <f t="shared" si="2"/>
        <v>43</v>
      </c>
      <c r="B44" s="31" t="s">
        <v>208</v>
      </c>
      <c r="C44" s="31" t="s">
        <v>209</v>
      </c>
      <c r="D44" s="9" t="s">
        <v>27</v>
      </c>
      <c r="E44" s="32">
        <v>46106.80972222222</v>
      </c>
      <c r="F44" s="33"/>
      <c r="G44" s="31" t="s">
        <v>200</v>
      </c>
      <c r="H44" s="31" t="s">
        <v>210</v>
      </c>
      <c r="I44" s="31"/>
      <c r="J44" s="31"/>
      <c r="K44" s="31"/>
      <c r="L44" s="31"/>
      <c r="M44" s="37" t="s">
        <v>30</v>
      </c>
      <c r="N44" s="31"/>
      <c r="O44" s="6"/>
      <c r="P44" s="34" t="s">
        <v>211</v>
      </c>
      <c r="Q44" s="35"/>
      <c r="R44" s="36">
        <v>1.0</v>
      </c>
      <c r="S44" s="9" t="s">
        <v>38</v>
      </c>
      <c r="T44" s="33">
        <v>46050.0</v>
      </c>
      <c r="U44" s="33">
        <v>46053.0</v>
      </c>
      <c r="V44" s="35"/>
      <c r="W44" s="35"/>
      <c r="X44" s="6"/>
      <c r="Y44" s="31" t="s">
        <v>33</v>
      </c>
      <c r="Z44" s="6"/>
      <c r="AA44" s="6"/>
      <c r="AB44" s="6"/>
      <c r="AC44" s="6"/>
      <c r="AD44" s="6"/>
      <c r="AE44" s="6"/>
    </row>
    <row r="45">
      <c r="A45" s="7">
        <f t="shared" si="2"/>
        <v>44</v>
      </c>
      <c r="B45" s="31" t="s">
        <v>212</v>
      </c>
      <c r="C45" s="31" t="s">
        <v>213</v>
      </c>
      <c r="D45" s="9" t="s">
        <v>27</v>
      </c>
      <c r="E45" s="32">
        <v>46106.80972222222</v>
      </c>
      <c r="F45" s="33"/>
      <c r="G45" s="31" t="s">
        <v>214</v>
      </c>
      <c r="H45" s="31" t="s">
        <v>215</v>
      </c>
      <c r="I45" s="31"/>
      <c r="J45" s="31"/>
      <c r="K45" s="31"/>
      <c r="L45" s="31"/>
      <c r="M45" s="37" t="s">
        <v>30</v>
      </c>
      <c r="N45" s="31"/>
      <c r="O45" s="6"/>
      <c r="P45" s="34" t="s">
        <v>216</v>
      </c>
      <c r="Q45" s="35"/>
      <c r="R45" s="36">
        <v>1.0</v>
      </c>
      <c r="S45" s="9" t="s">
        <v>38</v>
      </c>
      <c r="T45" s="33">
        <v>46051.0</v>
      </c>
      <c r="U45" s="33">
        <v>46051.0</v>
      </c>
      <c r="V45" s="35"/>
      <c r="W45" s="35"/>
      <c r="X45" s="6"/>
      <c r="Y45" s="31" t="s">
        <v>33</v>
      </c>
      <c r="Z45" s="6"/>
      <c r="AA45" s="6"/>
      <c r="AB45" s="6"/>
      <c r="AC45" s="6"/>
      <c r="AD45" s="6"/>
      <c r="AE45" s="6"/>
    </row>
    <row r="46">
      <c r="A46" s="19">
        <f t="shared" si="2"/>
        <v>45</v>
      </c>
      <c r="B46" s="20" t="s">
        <v>217</v>
      </c>
      <c r="C46" s="53" t="s">
        <v>218</v>
      </c>
      <c r="D46" s="21" t="s">
        <v>27</v>
      </c>
      <c r="E46" s="22">
        <v>46106.80972222222</v>
      </c>
      <c r="F46" s="22"/>
      <c r="G46" s="25"/>
      <c r="H46" s="20" t="s">
        <v>100</v>
      </c>
      <c r="I46" s="20"/>
      <c r="J46" s="20"/>
      <c r="K46" s="20"/>
      <c r="L46" s="20"/>
      <c r="M46" s="20"/>
      <c r="N46" s="20"/>
      <c r="O46" s="25"/>
      <c r="P46" s="54" t="s">
        <v>219</v>
      </c>
      <c r="Q46" s="26"/>
      <c r="R46" s="30">
        <v>1.0</v>
      </c>
      <c r="S46" s="21" t="s">
        <v>38</v>
      </c>
      <c r="T46" s="28">
        <v>46052.0</v>
      </c>
      <c r="U46" s="22">
        <v>46097.436111111114</v>
      </c>
      <c r="V46" s="55" t="s">
        <v>220</v>
      </c>
      <c r="W46" s="27" t="s">
        <v>221</v>
      </c>
      <c r="X46" s="30">
        <v>4.0</v>
      </c>
      <c r="Y46" s="31" t="s">
        <v>33</v>
      </c>
      <c r="Z46" s="6"/>
      <c r="AA46" s="6"/>
      <c r="AB46" s="6"/>
      <c r="AC46" s="6"/>
      <c r="AD46" s="6"/>
      <c r="AE46" s="6"/>
    </row>
    <row r="47">
      <c r="A47" s="38">
        <f t="shared" si="2"/>
        <v>46</v>
      </c>
      <c r="B47" s="39" t="s">
        <v>222</v>
      </c>
      <c r="C47" s="39" t="s">
        <v>223</v>
      </c>
      <c r="D47" s="40" t="s">
        <v>27</v>
      </c>
      <c r="E47" s="41">
        <v>46106.81041666667</v>
      </c>
      <c r="F47" s="39"/>
      <c r="G47" s="43"/>
      <c r="H47" s="39" t="s">
        <v>100</v>
      </c>
      <c r="I47" s="39"/>
      <c r="J47" s="39"/>
      <c r="K47" s="39"/>
      <c r="L47" s="39"/>
      <c r="M47" s="39"/>
      <c r="N47" s="39"/>
      <c r="O47" s="43"/>
      <c r="P47" s="51" t="s">
        <v>224</v>
      </c>
      <c r="Q47" s="45"/>
      <c r="R47" s="46">
        <v>1.0</v>
      </c>
      <c r="S47" s="40" t="s">
        <v>87</v>
      </c>
      <c r="T47" s="47">
        <v>46052.0</v>
      </c>
      <c r="U47" s="39" t="s">
        <v>32</v>
      </c>
      <c r="V47" s="52" t="s">
        <v>225</v>
      </c>
      <c r="W47" s="45"/>
      <c r="X47" s="46">
        <v>4.0</v>
      </c>
      <c r="Y47" s="39" t="s">
        <v>33</v>
      </c>
      <c r="Z47" s="6"/>
      <c r="AA47" s="6"/>
      <c r="AB47" s="6"/>
      <c r="AC47" s="6"/>
      <c r="AD47" s="6"/>
      <c r="AE47" s="6"/>
    </row>
    <row r="48">
      <c r="A48" s="7">
        <f t="shared" si="2"/>
        <v>47</v>
      </c>
      <c r="B48" s="31" t="s">
        <v>97</v>
      </c>
      <c r="C48" s="31" t="s">
        <v>98</v>
      </c>
      <c r="D48" s="9" t="s">
        <v>85</v>
      </c>
      <c r="E48" s="33"/>
      <c r="F48" s="6"/>
      <c r="G48" s="6"/>
      <c r="H48" s="31" t="s">
        <v>100</v>
      </c>
      <c r="I48" s="31"/>
      <c r="J48" s="31"/>
      <c r="K48" s="31"/>
      <c r="L48" s="31"/>
      <c r="M48" s="31"/>
      <c r="N48" s="31"/>
      <c r="O48" s="6"/>
      <c r="P48" s="35"/>
      <c r="Q48" s="35"/>
      <c r="R48" s="6"/>
      <c r="S48" s="9" t="s">
        <v>27</v>
      </c>
      <c r="T48" s="33">
        <v>46052.0</v>
      </c>
      <c r="U48" s="6"/>
      <c r="V48" s="35"/>
      <c r="W48" s="35"/>
      <c r="X48" s="6"/>
      <c r="Y48" s="6"/>
      <c r="Z48" s="6"/>
      <c r="AA48" s="6"/>
      <c r="AB48" s="6"/>
      <c r="AC48" s="6"/>
      <c r="AD48" s="6"/>
      <c r="AE48" s="6"/>
    </row>
    <row r="49">
      <c r="A49" s="19">
        <f t="shared" si="2"/>
        <v>48</v>
      </c>
      <c r="B49" s="56" t="s">
        <v>226</v>
      </c>
      <c r="C49" s="57" t="s">
        <v>227</v>
      </c>
      <c r="D49" s="21" t="s">
        <v>38</v>
      </c>
      <c r="E49" s="22">
        <v>46106.81041666667</v>
      </c>
      <c r="F49" s="22">
        <v>46107.51180555556</v>
      </c>
      <c r="G49" s="25"/>
      <c r="H49" s="20" t="s">
        <v>100</v>
      </c>
      <c r="I49" s="20"/>
      <c r="J49" s="20"/>
      <c r="K49" s="20"/>
      <c r="L49" s="20"/>
      <c r="M49" s="20"/>
      <c r="N49" s="20"/>
      <c r="O49" s="25"/>
      <c r="P49" s="26" t="s">
        <v>228</v>
      </c>
      <c r="Q49" s="27" t="s">
        <v>229</v>
      </c>
      <c r="R49" s="25"/>
      <c r="S49" s="21" t="s">
        <v>38</v>
      </c>
      <c r="T49" s="28">
        <v>46052.0</v>
      </c>
      <c r="U49" s="28">
        <v>46052.0</v>
      </c>
      <c r="V49" s="29"/>
      <c r="W49" s="29"/>
      <c r="X49" s="25"/>
      <c r="Y49" s="20" t="s">
        <v>33</v>
      </c>
      <c r="Z49" s="6"/>
      <c r="AA49" s="6"/>
      <c r="AB49" s="6"/>
      <c r="AC49" s="6"/>
      <c r="AD49" s="6"/>
      <c r="AE49" s="6"/>
    </row>
    <row r="50">
      <c r="A50" s="19">
        <f t="shared" si="2"/>
        <v>49</v>
      </c>
      <c r="B50" s="56" t="s">
        <v>230</v>
      </c>
      <c r="C50" s="20" t="s">
        <v>231</v>
      </c>
      <c r="D50" s="21" t="s">
        <v>38</v>
      </c>
      <c r="E50" s="22">
        <v>46106.81041666667</v>
      </c>
      <c r="F50" s="22">
        <v>46111.868055555555</v>
      </c>
      <c r="G50" s="25"/>
      <c r="H50" s="20" t="s">
        <v>100</v>
      </c>
      <c r="I50" s="20"/>
      <c r="J50" s="20"/>
      <c r="K50" s="20"/>
      <c r="L50" s="20"/>
      <c r="M50" s="20"/>
      <c r="N50" s="20"/>
      <c r="O50" s="25"/>
      <c r="P50" s="26" t="s">
        <v>232</v>
      </c>
      <c r="Q50" s="27" t="s">
        <v>233</v>
      </c>
      <c r="R50" s="25"/>
      <c r="S50" s="21" t="s">
        <v>38</v>
      </c>
      <c r="T50" s="28">
        <v>46052.0</v>
      </c>
      <c r="U50" s="28">
        <v>46052.0</v>
      </c>
      <c r="V50" s="29"/>
      <c r="W50" s="29"/>
      <c r="X50" s="25"/>
      <c r="Y50" s="20" t="s">
        <v>33</v>
      </c>
      <c r="Z50" s="6"/>
      <c r="AA50" s="6"/>
      <c r="AB50" s="6"/>
      <c r="AC50" s="6"/>
      <c r="AD50" s="6"/>
      <c r="AE50" s="6"/>
    </row>
    <row r="51">
      <c r="A51" s="7">
        <f t="shared" si="2"/>
        <v>50</v>
      </c>
      <c r="B51" s="58" t="s">
        <v>234</v>
      </c>
      <c r="C51" s="11" t="s">
        <v>235</v>
      </c>
      <c r="D51" s="9" t="s">
        <v>27</v>
      </c>
      <c r="E51" s="32">
        <v>46106.81041666667</v>
      </c>
      <c r="F51" s="33"/>
      <c r="G51" s="6"/>
      <c r="H51" s="31" t="s">
        <v>100</v>
      </c>
      <c r="I51" s="31"/>
      <c r="J51" s="31"/>
      <c r="K51" s="31"/>
      <c r="L51" s="31"/>
      <c r="M51" s="31"/>
      <c r="N51" s="31"/>
      <c r="O51" s="6"/>
      <c r="P51" s="34" t="s">
        <v>236</v>
      </c>
      <c r="Q51" s="35"/>
      <c r="R51" s="36">
        <v>1.0</v>
      </c>
      <c r="S51" s="9" t="s">
        <v>38</v>
      </c>
      <c r="T51" s="33">
        <v>46052.0</v>
      </c>
      <c r="U51" s="33">
        <v>46052.0</v>
      </c>
      <c r="V51" s="35"/>
      <c r="W51" s="35"/>
      <c r="X51" s="6"/>
      <c r="Y51" s="31" t="s">
        <v>33</v>
      </c>
      <c r="Z51" s="6"/>
      <c r="AA51" s="6"/>
      <c r="AB51" s="6"/>
      <c r="AC51" s="6"/>
      <c r="AD51" s="6"/>
      <c r="AE51" s="6"/>
    </row>
    <row r="52">
      <c r="A52" s="19">
        <f t="shared" si="2"/>
        <v>51</v>
      </c>
      <c r="B52" s="56" t="s">
        <v>237</v>
      </c>
      <c r="C52" s="20" t="s">
        <v>238</v>
      </c>
      <c r="D52" s="21" t="s">
        <v>38</v>
      </c>
      <c r="E52" s="22">
        <v>46106.81041666667</v>
      </c>
      <c r="F52" s="22">
        <v>46107.441666666666</v>
      </c>
      <c r="G52" s="25"/>
      <c r="H52" s="20" t="s">
        <v>100</v>
      </c>
      <c r="I52" s="20"/>
      <c r="J52" s="20"/>
      <c r="K52" s="20"/>
      <c r="L52" s="20"/>
      <c r="M52" s="20"/>
      <c r="N52" s="20"/>
      <c r="O52" s="25"/>
      <c r="P52" s="54" t="s">
        <v>239</v>
      </c>
      <c r="Q52" s="27" t="s">
        <v>240</v>
      </c>
      <c r="R52" s="25"/>
      <c r="S52" s="21" t="s">
        <v>87</v>
      </c>
      <c r="T52" s="28">
        <v>46052.0</v>
      </c>
      <c r="U52" s="20" t="s">
        <v>32</v>
      </c>
      <c r="V52" s="55" t="s">
        <v>241</v>
      </c>
      <c r="W52" s="29"/>
      <c r="X52" s="25"/>
      <c r="Y52" s="20" t="s">
        <v>33</v>
      </c>
      <c r="Z52" s="6"/>
      <c r="AA52" s="6"/>
      <c r="AB52" s="6"/>
      <c r="AC52" s="6"/>
      <c r="AD52" s="6"/>
      <c r="AE52" s="6"/>
    </row>
    <row r="53">
      <c r="A53" s="38">
        <f t="shared" si="2"/>
        <v>52</v>
      </c>
      <c r="B53" s="39" t="s">
        <v>242</v>
      </c>
      <c r="C53" s="59" t="s">
        <v>243</v>
      </c>
      <c r="D53" s="40" t="s">
        <v>27</v>
      </c>
      <c r="E53" s="41">
        <v>46106.81041666667</v>
      </c>
      <c r="F53" s="39"/>
      <c r="G53" s="43"/>
      <c r="H53" s="39" t="s">
        <v>100</v>
      </c>
      <c r="I53" s="39"/>
      <c r="J53" s="39"/>
      <c r="K53" s="39"/>
      <c r="L53" s="39"/>
      <c r="M53" s="39"/>
      <c r="N53" s="39"/>
      <c r="O53" s="43"/>
      <c r="P53" s="51" t="s">
        <v>244</v>
      </c>
      <c r="Q53" s="45"/>
      <c r="R53" s="46">
        <v>1.0</v>
      </c>
      <c r="S53" s="40" t="s">
        <v>87</v>
      </c>
      <c r="T53" s="47">
        <v>46052.0</v>
      </c>
      <c r="U53" s="39" t="s">
        <v>32</v>
      </c>
      <c r="V53" s="52" t="s">
        <v>245</v>
      </c>
      <c r="W53" s="45"/>
      <c r="X53" s="43"/>
      <c r="Y53" s="39" t="s">
        <v>33</v>
      </c>
      <c r="Z53" s="6"/>
      <c r="AA53" s="6"/>
      <c r="AB53" s="6"/>
      <c r="AC53" s="6"/>
      <c r="AD53" s="6"/>
      <c r="AE53" s="6"/>
    </row>
    <row r="54">
      <c r="A54" s="7">
        <f t="shared" si="2"/>
        <v>53</v>
      </c>
      <c r="B54" s="31" t="s">
        <v>246</v>
      </c>
      <c r="C54" s="31" t="s">
        <v>247</v>
      </c>
      <c r="D54" s="9" t="s">
        <v>27</v>
      </c>
      <c r="E54" s="32">
        <v>46106.81041666667</v>
      </c>
      <c r="F54" s="33"/>
      <c r="G54" s="6"/>
      <c r="H54" s="31" t="s">
        <v>100</v>
      </c>
      <c r="I54" s="31"/>
      <c r="J54" s="31"/>
      <c r="K54" s="31"/>
      <c r="L54" s="31"/>
      <c r="M54" s="31"/>
      <c r="N54" s="31"/>
      <c r="O54" s="6"/>
      <c r="P54" s="34" t="s">
        <v>248</v>
      </c>
      <c r="Q54" s="35"/>
      <c r="R54" s="36">
        <v>1.0</v>
      </c>
      <c r="S54" s="9" t="s">
        <v>38</v>
      </c>
      <c r="T54" s="33">
        <v>46052.0</v>
      </c>
      <c r="U54" s="33">
        <v>46052.0</v>
      </c>
      <c r="V54" s="35"/>
      <c r="W54" s="35"/>
      <c r="X54" s="6"/>
      <c r="Y54" s="31" t="s">
        <v>33</v>
      </c>
      <c r="Z54" s="6"/>
      <c r="AA54" s="6"/>
      <c r="AB54" s="6"/>
      <c r="AC54" s="6"/>
      <c r="AD54" s="6"/>
      <c r="AE54" s="6"/>
    </row>
    <row r="55">
      <c r="A55" s="7">
        <f t="shared" si="2"/>
        <v>54</v>
      </c>
      <c r="B55" s="31" t="s">
        <v>249</v>
      </c>
      <c r="C55" s="31" t="s">
        <v>250</v>
      </c>
      <c r="D55" s="9" t="s">
        <v>27</v>
      </c>
      <c r="E55" s="32">
        <v>46106.81041666667</v>
      </c>
      <c r="F55" s="33"/>
      <c r="G55" s="6"/>
      <c r="H55" s="31" t="s">
        <v>100</v>
      </c>
      <c r="I55" s="31"/>
      <c r="J55" s="31"/>
      <c r="K55" s="31"/>
      <c r="L55" s="31"/>
      <c r="M55" s="37"/>
      <c r="N55" s="31"/>
      <c r="O55" s="6"/>
      <c r="P55" s="34" t="s">
        <v>251</v>
      </c>
      <c r="Q55" s="35"/>
      <c r="R55" s="36">
        <v>1.0</v>
      </c>
      <c r="S55" s="9" t="s">
        <v>38</v>
      </c>
      <c r="T55" s="33">
        <v>46052.0</v>
      </c>
      <c r="U55" s="33">
        <v>46052.0</v>
      </c>
      <c r="V55" s="35"/>
      <c r="W55" s="35"/>
      <c r="X55" s="6"/>
      <c r="Y55" s="31" t="s">
        <v>33</v>
      </c>
      <c r="Z55" s="6"/>
      <c r="AA55" s="6"/>
      <c r="AB55" s="6"/>
      <c r="AC55" s="6"/>
      <c r="AD55" s="6"/>
      <c r="AE55" s="6"/>
    </row>
    <row r="56">
      <c r="A56" s="19">
        <f t="shared" si="2"/>
        <v>55</v>
      </c>
      <c r="B56" s="20" t="s">
        <v>252</v>
      </c>
      <c r="C56" s="20" t="s">
        <v>253</v>
      </c>
      <c r="D56" s="21" t="s">
        <v>38</v>
      </c>
      <c r="E56" s="22">
        <v>46106.81041666667</v>
      </c>
      <c r="F56" s="22">
        <v>46114.55763888889</v>
      </c>
      <c r="G56" s="20" t="s">
        <v>214</v>
      </c>
      <c r="H56" s="20" t="s">
        <v>254</v>
      </c>
      <c r="I56" s="20"/>
      <c r="J56" s="20"/>
      <c r="K56" s="20"/>
      <c r="L56" s="20"/>
      <c r="M56" s="20"/>
      <c r="N56" s="20"/>
      <c r="O56" s="25"/>
      <c r="P56" s="26" t="s">
        <v>255</v>
      </c>
      <c r="Q56" s="27" t="s">
        <v>256</v>
      </c>
      <c r="R56" s="30">
        <v>1.0</v>
      </c>
      <c r="S56" s="21" t="s">
        <v>38</v>
      </c>
      <c r="T56" s="28">
        <v>46052.0</v>
      </c>
      <c r="U56" s="28">
        <v>46055.0</v>
      </c>
      <c r="V56" s="29"/>
      <c r="W56" s="29"/>
      <c r="X56" s="25"/>
      <c r="Y56" s="20" t="s">
        <v>33</v>
      </c>
      <c r="Z56" s="6"/>
      <c r="AA56" s="6"/>
      <c r="AB56" s="6"/>
      <c r="AC56" s="6"/>
      <c r="AD56" s="6"/>
      <c r="AE56" s="6"/>
    </row>
    <row r="57">
      <c r="A57" s="7">
        <f t="shared" si="2"/>
        <v>56</v>
      </c>
      <c r="B57" s="31" t="s">
        <v>257</v>
      </c>
      <c r="C57" s="31" t="s">
        <v>258</v>
      </c>
      <c r="D57" s="9" t="s">
        <v>27</v>
      </c>
      <c r="E57" s="32">
        <v>46106.81041666667</v>
      </c>
      <c r="F57" s="33"/>
      <c r="G57" s="6"/>
      <c r="H57" s="31"/>
      <c r="I57" s="31"/>
      <c r="J57" s="31"/>
      <c r="K57" s="31"/>
      <c r="L57" s="31"/>
      <c r="M57" s="31"/>
      <c r="N57" s="31"/>
      <c r="O57" s="6"/>
      <c r="P57" s="34" t="s">
        <v>259</v>
      </c>
      <c r="Q57" s="35"/>
      <c r="R57" s="36">
        <v>1.0</v>
      </c>
      <c r="S57" s="9" t="s">
        <v>38</v>
      </c>
      <c r="T57" s="33">
        <v>46052.0</v>
      </c>
      <c r="U57" s="33">
        <v>46055.0</v>
      </c>
      <c r="V57" s="35"/>
      <c r="W57" s="35"/>
      <c r="X57" s="6"/>
      <c r="Y57" s="31" t="s">
        <v>33</v>
      </c>
      <c r="Z57" s="6"/>
      <c r="AA57" s="6"/>
      <c r="AB57" s="6"/>
      <c r="AC57" s="6"/>
      <c r="AD57" s="6"/>
      <c r="AE57" s="6"/>
    </row>
    <row r="58">
      <c r="A58" s="7">
        <f t="shared" si="2"/>
        <v>57</v>
      </c>
      <c r="B58" s="31" t="s">
        <v>260</v>
      </c>
      <c r="C58" s="31" t="s">
        <v>261</v>
      </c>
      <c r="D58" s="9" t="s">
        <v>27</v>
      </c>
      <c r="E58" s="32">
        <v>46106.81041666667</v>
      </c>
      <c r="F58" s="33"/>
      <c r="G58" s="6"/>
      <c r="H58" s="31" t="s">
        <v>262</v>
      </c>
      <c r="I58" s="31"/>
      <c r="J58" s="31"/>
      <c r="K58" s="31"/>
      <c r="L58" s="31"/>
      <c r="M58" s="37"/>
      <c r="N58" s="31"/>
      <c r="O58" s="6"/>
      <c r="P58" s="34" t="s">
        <v>263</v>
      </c>
      <c r="Q58" s="35"/>
      <c r="R58" s="36">
        <v>1.0</v>
      </c>
      <c r="S58" s="9" t="s">
        <v>38</v>
      </c>
      <c r="T58" s="33">
        <v>46055.0</v>
      </c>
      <c r="U58" s="33">
        <v>46059.0</v>
      </c>
      <c r="V58" s="35"/>
      <c r="W58" s="35"/>
      <c r="X58" s="6"/>
      <c r="Y58" s="31" t="s">
        <v>33</v>
      </c>
      <c r="Z58" s="6"/>
      <c r="AA58" s="6"/>
      <c r="AB58" s="6"/>
      <c r="AC58" s="6"/>
      <c r="AD58" s="6"/>
      <c r="AE58" s="6"/>
    </row>
    <row r="59">
      <c r="A59" s="7">
        <f t="shared" si="2"/>
        <v>58</v>
      </c>
      <c r="B59" s="31" t="s">
        <v>264</v>
      </c>
      <c r="C59" s="31" t="s">
        <v>265</v>
      </c>
      <c r="D59" s="9" t="s">
        <v>27</v>
      </c>
      <c r="E59" s="32">
        <v>46106.811111111114</v>
      </c>
      <c r="F59" s="33"/>
      <c r="G59" s="6"/>
      <c r="H59" s="31" t="s">
        <v>266</v>
      </c>
      <c r="I59" s="31"/>
      <c r="J59" s="31"/>
      <c r="K59" s="31"/>
      <c r="L59" s="31"/>
      <c r="M59" s="37"/>
      <c r="N59" s="31"/>
      <c r="O59" s="6"/>
      <c r="P59" s="34" t="s">
        <v>267</v>
      </c>
      <c r="Q59" s="35"/>
      <c r="R59" s="36">
        <v>1.0</v>
      </c>
      <c r="S59" s="9" t="s">
        <v>38</v>
      </c>
      <c r="T59" s="33">
        <v>46056.0</v>
      </c>
      <c r="U59" s="33">
        <v>46056.0</v>
      </c>
      <c r="V59" s="35"/>
      <c r="W59" s="35"/>
      <c r="X59" s="6"/>
      <c r="Y59" s="31" t="s">
        <v>33</v>
      </c>
      <c r="Z59" s="6"/>
      <c r="AA59" s="6"/>
      <c r="AB59" s="6"/>
      <c r="AC59" s="6"/>
      <c r="AD59" s="6"/>
      <c r="AE59" s="6"/>
    </row>
    <row r="60">
      <c r="A60" s="7">
        <f t="shared" si="2"/>
        <v>59</v>
      </c>
      <c r="B60" s="31" t="s">
        <v>268</v>
      </c>
      <c r="C60" s="31" t="s">
        <v>269</v>
      </c>
      <c r="D60" s="9" t="s">
        <v>27</v>
      </c>
      <c r="E60" s="32">
        <v>46106.811111111114</v>
      </c>
      <c r="F60" s="33"/>
      <c r="G60" s="6"/>
      <c r="H60" s="31" t="s">
        <v>266</v>
      </c>
      <c r="I60" s="31"/>
      <c r="J60" s="31"/>
      <c r="K60" s="31"/>
      <c r="L60" s="31"/>
      <c r="M60" s="37"/>
      <c r="N60" s="31"/>
      <c r="O60" s="6"/>
      <c r="P60" s="34" t="s">
        <v>270</v>
      </c>
      <c r="Q60" s="35"/>
      <c r="R60" s="36">
        <v>1.0</v>
      </c>
      <c r="S60" s="9" t="s">
        <v>38</v>
      </c>
      <c r="T60" s="33">
        <v>46056.0</v>
      </c>
      <c r="U60" s="33">
        <v>46056.0</v>
      </c>
      <c r="V60" s="35"/>
      <c r="W60" s="35"/>
      <c r="X60" s="6"/>
      <c r="Y60" s="31" t="s">
        <v>33</v>
      </c>
      <c r="Z60" s="6"/>
      <c r="AA60" s="6"/>
      <c r="AB60" s="6"/>
      <c r="AC60" s="6"/>
      <c r="AD60" s="6"/>
      <c r="AE60" s="6"/>
    </row>
    <row r="61">
      <c r="A61" s="38">
        <f t="shared" si="2"/>
        <v>60</v>
      </c>
      <c r="B61" s="39" t="s">
        <v>271</v>
      </c>
      <c r="C61" s="39" t="s">
        <v>272</v>
      </c>
      <c r="D61" s="40" t="s">
        <v>27</v>
      </c>
      <c r="E61" s="41">
        <v>46106.811111111114</v>
      </c>
      <c r="F61" s="39"/>
      <c r="G61" s="43"/>
      <c r="H61" s="39" t="s">
        <v>273</v>
      </c>
      <c r="I61" s="39"/>
      <c r="J61" s="39"/>
      <c r="K61" s="39"/>
      <c r="L61" s="39"/>
      <c r="M61" s="42" t="s">
        <v>30</v>
      </c>
      <c r="N61" s="39"/>
      <c r="O61" s="43"/>
      <c r="P61" s="51" t="s">
        <v>274</v>
      </c>
      <c r="Q61" s="45"/>
      <c r="R61" s="46">
        <v>1.0</v>
      </c>
      <c r="S61" s="40" t="s">
        <v>87</v>
      </c>
      <c r="T61" s="47">
        <v>46057.0</v>
      </c>
      <c r="U61" s="39" t="s">
        <v>32</v>
      </c>
      <c r="V61" s="52" t="s">
        <v>275</v>
      </c>
      <c r="W61" s="45"/>
      <c r="X61" s="43"/>
      <c r="Y61" s="39" t="s">
        <v>33</v>
      </c>
      <c r="Z61" s="6"/>
      <c r="AA61" s="6"/>
      <c r="AB61" s="6"/>
      <c r="AC61" s="6"/>
      <c r="AD61" s="6"/>
      <c r="AE61" s="6"/>
    </row>
    <row r="62">
      <c r="A62" s="7">
        <f t="shared" si="2"/>
        <v>61</v>
      </c>
      <c r="B62" s="31" t="s">
        <v>276</v>
      </c>
      <c r="C62" s="31" t="s">
        <v>277</v>
      </c>
      <c r="D62" s="9" t="s">
        <v>27</v>
      </c>
      <c r="E62" s="32">
        <v>46106.811111111114</v>
      </c>
      <c r="F62" s="33"/>
      <c r="G62" s="6"/>
      <c r="H62" s="31" t="s">
        <v>278</v>
      </c>
      <c r="I62" s="31"/>
      <c r="J62" s="31"/>
      <c r="K62" s="31"/>
      <c r="L62" s="31"/>
      <c r="M62" s="31"/>
      <c r="N62" s="31"/>
      <c r="O62" s="6"/>
      <c r="P62" s="34" t="s">
        <v>279</v>
      </c>
      <c r="Q62" s="35"/>
      <c r="R62" s="36">
        <v>1.0</v>
      </c>
      <c r="S62" s="9" t="s">
        <v>38</v>
      </c>
      <c r="T62" s="33">
        <v>46058.0</v>
      </c>
      <c r="U62" s="33">
        <v>46058.0</v>
      </c>
      <c r="V62" s="35"/>
      <c r="W62" s="35"/>
      <c r="X62" s="6"/>
      <c r="Y62" s="31" t="s">
        <v>33</v>
      </c>
      <c r="Z62" s="6"/>
      <c r="AA62" s="6"/>
      <c r="AB62" s="6"/>
      <c r="AC62" s="6"/>
      <c r="AD62" s="6"/>
      <c r="AE62" s="6"/>
    </row>
    <row r="63">
      <c r="A63" s="19">
        <f t="shared" si="2"/>
        <v>62</v>
      </c>
      <c r="B63" s="20" t="s">
        <v>280</v>
      </c>
      <c r="C63" s="20" t="s">
        <v>281</v>
      </c>
      <c r="D63" s="21" t="s">
        <v>38</v>
      </c>
      <c r="E63" s="22">
        <v>46106.811111111114</v>
      </c>
      <c r="F63" s="22">
        <v>46106.83611111111</v>
      </c>
      <c r="G63" s="25"/>
      <c r="H63" s="25"/>
      <c r="I63" s="25"/>
      <c r="J63" s="25"/>
      <c r="K63" s="25"/>
      <c r="L63" s="25"/>
      <c r="M63" s="25"/>
      <c r="N63" s="25"/>
      <c r="O63" s="25"/>
      <c r="P63" s="26" t="s">
        <v>282</v>
      </c>
      <c r="Q63" s="27" t="s">
        <v>283</v>
      </c>
      <c r="R63" s="25"/>
      <c r="S63" s="21" t="s">
        <v>38</v>
      </c>
      <c r="T63" s="28">
        <v>46058.0</v>
      </c>
      <c r="U63" s="28">
        <v>46058.0</v>
      </c>
      <c r="V63" s="29"/>
      <c r="W63" s="29"/>
      <c r="X63" s="25"/>
      <c r="Y63" s="20" t="s">
        <v>33</v>
      </c>
      <c r="Z63" s="6"/>
      <c r="AA63" s="6"/>
      <c r="AB63" s="6"/>
      <c r="AC63" s="6"/>
      <c r="AD63" s="6"/>
      <c r="AE63" s="6"/>
    </row>
    <row r="64">
      <c r="A64" s="7">
        <f t="shared" si="2"/>
        <v>63</v>
      </c>
      <c r="B64" s="31" t="s">
        <v>284</v>
      </c>
      <c r="C64" s="31" t="s">
        <v>285</v>
      </c>
      <c r="D64" s="9" t="s">
        <v>27</v>
      </c>
      <c r="E64" s="32">
        <v>46106.811111111114</v>
      </c>
      <c r="F64" s="33"/>
      <c r="G64" s="6"/>
      <c r="H64" s="6"/>
      <c r="I64" s="6"/>
      <c r="J64" s="6"/>
      <c r="K64" s="6"/>
      <c r="L64" s="6"/>
      <c r="M64" s="6"/>
      <c r="N64" s="6"/>
      <c r="O64" s="6"/>
      <c r="P64" s="34" t="s">
        <v>286</v>
      </c>
      <c r="Q64" s="35"/>
      <c r="R64" s="36">
        <v>1.0</v>
      </c>
      <c r="S64" s="9" t="s">
        <v>38</v>
      </c>
      <c r="T64" s="33">
        <v>46058.0</v>
      </c>
      <c r="U64" s="33">
        <v>46072.0</v>
      </c>
      <c r="V64" s="35"/>
      <c r="W64" s="35"/>
      <c r="X64" s="6"/>
      <c r="Y64" s="31" t="s">
        <v>33</v>
      </c>
      <c r="Z64" s="6"/>
      <c r="AA64" s="6"/>
      <c r="AB64" s="6"/>
      <c r="AC64" s="6"/>
      <c r="AD64" s="6"/>
      <c r="AE64" s="6"/>
    </row>
    <row r="65">
      <c r="A65" s="38">
        <f t="shared" si="2"/>
        <v>64</v>
      </c>
      <c r="B65" s="39" t="s">
        <v>287</v>
      </c>
      <c r="C65" s="39" t="s">
        <v>288</v>
      </c>
      <c r="D65" s="40" t="s">
        <v>27</v>
      </c>
      <c r="E65" s="41">
        <v>46106.811111111114</v>
      </c>
      <c r="F65" s="39"/>
      <c r="G65" s="43"/>
      <c r="H65" s="43"/>
      <c r="I65" s="43"/>
      <c r="J65" s="43"/>
      <c r="K65" s="43"/>
      <c r="L65" s="43"/>
      <c r="M65" s="43"/>
      <c r="N65" s="43"/>
      <c r="O65" s="43"/>
      <c r="P65" s="51" t="s">
        <v>289</v>
      </c>
      <c r="Q65" s="45"/>
      <c r="R65" s="46">
        <v>1.0</v>
      </c>
      <c r="S65" s="40" t="s">
        <v>87</v>
      </c>
      <c r="T65" s="47">
        <v>46058.0</v>
      </c>
      <c r="U65" s="39" t="s">
        <v>32</v>
      </c>
      <c r="V65" s="52" t="s">
        <v>290</v>
      </c>
      <c r="W65" s="45"/>
      <c r="X65" s="43"/>
      <c r="Y65" s="39" t="s">
        <v>33</v>
      </c>
      <c r="Z65" s="6"/>
      <c r="AA65" s="6"/>
      <c r="AB65" s="6"/>
      <c r="AC65" s="6"/>
      <c r="AD65" s="6"/>
      <c r="AE65" s="6"/>
    </row>
    <row r="66">
      <c r="A66" s="19">
        <f t="shared" si="2"/>
        <v>65</v>
      </c>
      <c r="B66" s="20" t="s">
        <v>291</v>
      </c>
      <c r="C66" s="20" t="s">
        <v>292</v>
      </c>
      <c r="D66" s="21" t="s">
        <v>38</v>
      </c>
      <c r="E66" s="22">
        <v>46106.811111111114</v>
      </c>
      <c r="F66" s="22">
        <v>46107.010416666664</v>
      </c>
      <c r="G66" s="25"/>
      <c r="H66" s="25"/>
      <c r="I66" s="25"/>
      <c r="J66" s="25"/>
      <c r="K66" s="25"/>
      <c r="L66" s="25"/>
      <c r="M66" s="25"/>
      <c r="N66" s="25"/>
      <c r="O66" s="25"/>
      <c r="P66" s="26" t="s">
        <v>293</v>
      </c>
      <c r="Q66" s="27" t="s">
        <v>294</v>
      </c>
      <c r="R66" s="25"/>
      <c r="S66" s="21" t="s">
        <v>38</v>
      </c>
      <c r="T66" s="28">
        <v>46058.0</v>
      </c>
      <c r="U66" s="28">
        <v>46064.0</v>
      </c>
      <c r="V66" s="29"/>
      <c r="W66" s="29"/>
      <c r="X66" s="25"/>
      <c r="Y66" s="20" t="s">
        <v>33</v>
      </c>
      <c r="Z66" s="6"/>
      <c r="AA66" s="6"/>
      <c r="AB66" s="6"/>
      <c r="AC66" s="6"/>
      <c r="AD66" s="6"/>
      <c r="AE66" s="6"/>
    </row>
    <row r="67">
      <c r="A67" s="7">
        <f t="shared" si="2"/>
        <v>66</v>
      </c>
      <c r="B67" s="31" t="s">
        <v>295</v>
      </c>
      <c r="C67" s="31" t="s">
        <v>296</v>
      </c>
      <c r="D67" s="9" t="s">
        <v>27</v>
      </c>
      <c r="E67" s="32">
        <v>46106.811111111114</v>
      </c>
      <c r="F67" s="33"/>
      <c r="G67" s="31" t="s">
        <v>297</v>
      </c>
      <c r="H67" s="31" t="s">
        <v>298</v>
      </c>
      <c r="I67" s="31"/>
      <c r="J67" s="31"/>
      <c r="K67" s="31"/>
      <c r="L67" s="31"/>
      <c r="M67" s="31"/>
      <c r="N67" s="31"/>
      <c r="O67" s="6"/>
      <c r="P67" s="34" t="s">
        <v>299</v>
      </c>
      <c r="Q67" s="35"/>
      <c r="R67" s="36">
        <v>1.0</v>
      </c>
      <c r="S67" s="9" t="s">
        <v>38</v>
      </c>
      <c r="T67" s="33">
        <v>46059.0</v>
      </c>
      <c r="U67" s="33">
        <v>46059.0</v>
      </c>
      <c r="V67" s="35"/>
      <c r="W67" s="35"/>
      <c r="X67" s="6"/>
      <c r="Y67" s="31" t="s">
        <v>33</v>
      </c>
      <c r="Z67" s="6"/>
      <c r="AA67" s="6"/>
      <c r="AB67" s="6"/>
      <c r="AC67" s="6"/>
      <c r="AD67" s="6"/>
      <c r="AE67" s="6"/>
    </row>
    <row r="68">
      <c r="A68" s="19">
        <f t="shared" si="2"/>
        <v>67</v>
      </c>
      <c r="B68" s="20" t="s">
        <v>300</v>
      </c>
      <c r="C68" s="20" t="s">
        <v>301</v>
      </c>
      <c r="D68" s="21" t="s">
        <v>38</v>
      </c>
      <c r="E68" s="22">
        <v>46106.81319444445</v>
      </c>
      <c r="F68" s="22">
        <v>46114.45138888889</v>
      </c>
      <c r="G68" s="25"/>
      <c r="H68" s="25"/>
      <c r="I68" s="25"/>
      <c r="J68" s="25"/>
      <c r="K68" s="25"/>
      <c r="L68" s="25"/>
      <c r="M68" s="48"/>
      <c r="N68" s="25"/>
      <c r="O68" s="25"/>
      <c r="P68" s="26" t="s">
        <v>302</v>
      </c>
      <c r="Q68" s="27" t="s">
        <v>303</v>
      </c>
      <c r="R68" s="30">
        <v>1.0</v>
      </c>
      <c r="S68" s="21" t="s">
        <v>38</v>
      </c>
      <c r="T68" s="28">
        <v>46059.0</v>
      </c>
      <c r="U68" s="28">
        <v>46059.0</v>
      </c>
      <c r="V68" s="29"/>
      <c r="W68" s="29"/>
      <c r="X68" s="25"/>
      <c r="Y68" s="20" t="s">
        <v>33</v>
      </c>
      <c r="Z68" s="6"/>
      <c r="AA68" s="6"/>
      <c r="AB68" s="6"/>
      <c r="AC68" s="6"/>
      <c r="AD68" s="6"/>
      <c r="AE68" s="6"/>
    </row>
    <row r="69">
      <c r="A69" s="19">
        <f t="shared" si="2"/>
        <v>68</v>
      </c>
      <c r="B69" s="20" t="s">
        <v>304</v>
      </c>
      <c r="C69" s="20" t="s">
        <v>305</v>
      </c>
      <c r="D69" s="21" t="s">
        <v>38</v>
      </c>
      <c r="E69" s="22">
        <v>46106.81319444445</v>
      </c>
      <c r="F69" s="22">
        <v>46114.62986111111</v>
      </c>
      <c r="G69" s="25"/>
      <c r="H69" s="25"/>
      <c r="I69" s="25"/>
      <c r="J69" s="25"/>
      <c r="K69" s="25"/>
      <c r="L69" s="25"/>
      <c r="M69" s="25"/>
      <c r="N69" s="25"/>
      <c r="O69" s="25"/>
      <c r="P69" s="26" t="s">
        <v>306</v>
      </c>
      <c r="Q69" s="27" t="s">
        <v>307</v>
      </c>
      <c r="R69" s="30">
        <v>1.0</v>
      </c>
      <c r="S69" s="21" t="s">
        <v>38</v>
      </c>
      <c r="T69" s="28">
        <v>46059.0</v>
      </c>
      <c r="U69" s="28">
        <v>46059.0</v>
      </c>
      <c r="V69" s="29"/>
      <c r="W69" s="29"/>
      <c r="X69" s="25"/>
      <c r="Y69" s="20" t="s">
        <v>33</v>
      </c>
      <c r="Z69" s="6"/>
      <c r="AA69" s="6"/>
      <c r="AB69" s="6"/>
      <c r="AC69" s="6"/>
      <c r="AD69" s="6"/>
      <c r="AE69" s="6"/>
    </row>
    <row r="70">
      <c r="A70" s="7">
        <f t="shared" si="2"/>
        <v>69</v>
      </c>
      <c r="B70" s="31" t="s">
        <v>308</v>
      </c>
      <c r="C70" s="31" t="s">
        <v>309</v>
      </c>
      <c r="D70" s="9" t="s">
        <v>27</v>
      </c>
      <c r="E70" s="32">
        <v>46106.81319444445</v>
      </c>
      <c r="F70" s="33"/>
      <c r="G70" s="6"/>
      <c r="H70" s="6"/>
      <c r="I70" s="6"/>
      <c r="J70" s="6"/>
      <c r="K70" s="6"/>
      <c r="L70" s="6"/>
      <c r="M70" s="37"/>
      <c r="N70" s="6"/>
      <c r="O70" s="6"/>
      <c r="P70" s="34" t="s">
        <v>310</v>
      </c>
      <c r="Q70" s="35"/>
      <c r="R70" s="36">
        <v>1.0</v>
      </c>
      <c r="S70" s="9" t="s">
        <v>38</v>
      </c>
      <c r="T70" s="33">
        <v>46059.0</v>
      </c>
      <c r="U70" s="33">
        <v>46059.0</v>
      </c>
      <c r="V70" s="35"/>
      <c r="W70" s="35"/>
      <c r="X70" s="6"/>
      <c r="Y70" s="31" t="s">
        <v>33</v>
      </c>
      <c r="Z70" s="6"/>
      <c r="AA70" s="6"/>
      <c r="AB70" s="6"/>
      <c r="AC70" s="6"/>
      <c r="AD70" s="6"/>
      <c r="AE70" s="6"/>
    </row>
    <row r="71">
      <c r="A71" s="7">
        <f t="shared" si="2"/>
        <v>70</v>
      </c>
      <c r="B71" s="31" t="s">
        <v>311</v>
      </c>
      <c r="C71" s="31" t="s">
        <v>312</v>
      </c>
      <c r="D71" s="9" t="s">
        <v>27</v>
      </c>
      <c r="E71" s="32">
        <v>46106.81319444445</v>
      </c>
      <c r="F71" s="33"/>
      <c r="G71" s="6"/>
      <c r="H71" s="6"/>
      <c r="I71" s="6"/>
      <c r="J71" s="6"/>
      <c r="K71" s="6"/>
      <c r="L71" s="6"/>
      <c r="M71" s="6"/>
      <c r="N71" s="6"/>
      <c r="O71" s="6"/>
      <c r="P71" s="34" t="s">
        <v>313</v>
      </c>
      <c r="Q71" s="35"/>
      <c r="R71" s="36">
        <v>1.0</v>
      </c>
      <c r="S71" s="9" t="s">
        <v>38</v>
      </c>
      <c r="T71" s="33">
        <v>46059.0</v>
      </c>
      <c r="U71" s="33">
        <v>46059.0</v>
      </c>
      <c r="V71" s="35"/>
      <c r="W71" s="35"/>
      <c r="X71" s="6"/>
      <c r="Y71" s="31" t="s">
        <v>33</v>
      </c>
      <c r="Z71" s="6"/>
      <c r="AA71" s="6"/>
      <c r="AB71" s="6"/>
      <c r="AC71" s="6"/>
      <c r="AD71" s="6"/>
      <c r="AE71" s="6"/>
    </row>
    <row r="72">
      <c r="A72" s="7">
        <f t="shared" si="2"/>
        <v>71</v>
      </c>
      <c r="B72" s="31" t="s">
        <v>314</v>
      </c>
      <c r="C72" s="31" t="s">
        <v>315</v>
      </c>
      <c r="D72" s="9" t="s">
        <v>27</v>
      </c>
      <c r="E72" s="32">
        <v>46106.81319444445</v>
      </c>
      <c r="F72" s="33"/>
      <c r="G72" s="6"/>
      <c r="H72" s="6"/>
      <c r="I72" s="6"/>
      <c r="J72" s="6"/>
      <c r="K72" s="6"/>
      <c r="L72" s="6"/>
      <c r="M72" s="37"/>
      <c r="N72" s="6"/>
      <c r="O72" s="6"/>
      <c r="P72" s="34" t="s">
        <v>316</v>
      </c>
      <c r="Q72" s="35"/>
      <c r="R72" s="36">
        <v>1.0</v>
      </c>
      <c r="S72" s="9" t="s">
        <v>38</v>
      </c>
      <c r="T72" s="33">
        <v>46062.0</v>
      </c>
      <c r="U72" s="33">
        <v>46062.0</v>
      </c>
      <c r="V72" s="35"/>
      <c r="W72" s="35"/>
      <c r="X72" s="6"/>
      <c r="Y72" s="31" t="s">
        <v>33</v>
      </c>
      <c r="Z72" s="6"/>
      <c r="AA72" s="6"/>
      <c r="AB72" s="6"/>
      <c r="AC72" s="6"/>
      <c r="AD72" s="6"/>
      <c r="AE72" s="6"/>
    </row>
    <row r="73">
      <c r="A73" s="7">
        <f t="shared" si="2"/>
        <v>72</v>
      </c>
      <c r="B73" s="31" t="s">
        <v>317</v>
      </c>
      <c r="C73" s="31" t="s">
        <v>318</v>
      </c>
      <c r="D73" s="9" t="s">
        <v>27</v>
      </c>
      <c r="E73" s="32">
        <v>46106.81319444445</v>
      </c>
      <c r="F73" s="33"/>
      <c r="G73" s="31" t="s">
        <v>214</v>
      </c>
      <c r="H73" s="31" t="s">
        <v>319</v>
      </c>
      <c r="I73" s="31"/>
      <c r="J73" s="31"/>
      <c r="K73" s="31"/>
      <c r="L73" s="31"/>
      <c r="M73" s="37" t="s">
        <v>30</v>
      </c>
      <c r="N73" s="31"/>
      <c r="O73" s="6"/>
      <c r="P73" s="34" t="s">
        <v>320</v>
      </c>
      <c r="Q73" s="35"/>
      <c r="R73" s="36">
        <v>1.0</v>
      </c>
      <c r="S73" s="9" t="s">
        <v>38</v>
      </c>
      <c r="T73" s="33">
        <v>46062.0</v>
      </c>
      <c r="U73" s="33">
        <v>46069.0</v>
      </c>
      <c r="V73" s="35"/>
      <c r="W73" s="35"/>
      <c r="X73" s="6"/>
      <c r="Y73" s="31" t="s">
        <v>33</v>
      </c>
      <c r="Z73" s="6"/>
      <c r="AA73" s="6"/>
      <c r="AB73" s="6"/>
      <c r="AC73" s="6"/>
      <c r="AD73" s="6"/>
      <c r="AE73" s="6"/>
    </row>
    <row r="74">
      <c r="A74" s="7">
        <f t="shared" si="2"/>
        <v>73</v>
      </c>
      <c r="B74" s="31" t="s">
        <v>321</v>
      </c>
      <c r="C74" s="31" t="s">
        <v>322</v>
      </c>
      <c r="D74" s="9" t="s">
        <v>27</v>
      </c>
      <c r="E74" s="32">
        <v>46106.81319444445</v>
      </c>
      <c r="F74" s="33"/>
      <c r="G74" s="6"/>
      <c r="H74" s="31" t="s">
        <v>323</v>
      </c>
      <c r="I74" s="31"/>
      <c r="J74" s="31"/>
      <c r="K74" s="31"/>
      <c r="L74" s="31"/>
      <c r="M74" s="31"/>
      <c r="N74" s="31"/>
      <c r="O74" s="6"/>
      <c r="P74" s="34" t="s">
        <v>324</v>
      </c>
      <c r="Q74" s="35"/>
      <c r="R74" s="36">
        <v>1.0</v>
      </c>
      <c r="S74" s="9" t="s">
        <v>38</v>
      </c>
      <c r="T74" s="33">
        <v>46064.0</v>
      </c>
      <c r="U74" s="33">
        <v>46064.0</v>
      </c>
      <c r="V74" s="35"/>
      <c r="W74" s="35"/>
      <c r="X74" s="6"/>
      <c r="Y74" s="31" t="s">
        <v>33</v>
      </c>
      <c r="Z74" s="6"/>
      <c r="AA74" s="6"/>
      <c r="AB74" s="6"/>
      <c r="AC74" s="6"/>
      <c r="AD74" s="6"/>
      <c r="AE74" s="6"/>
    </row>
    <row r="75">
      <c r="A75" s="7">
        <f t="shared" si="2"/>
        <v>74</v>
      </c>
      <c r="B75" s="31" t="s">
        <v>325</v>
      </c>
      <c r="C75" s="31" t="s">
        <v>326</v>
      </c>
      <c r="D75" s="9" t="s">
        <v>27</v>
      </c>
      <c r="E75" s="32">
        <v>46106.81319444445</v>
      </c>
      <c r="F75" s="33"/>
      <c r="G75" s="6"/>
      <c r="H75" s="31" t="s">
        <v>327</v>
      </c>
      <c r="I75" s="31"/>
      <c r="J75" s="31"/>
      <c r="K75" s="31"/>
      <c r="L75" s="31"/>
      <c r="M75" s="37"/>
      <c r="N75" s="31"/>
      <c r="O75" s="6"/>
      <c r="P75" s="34" t="s">
        <v>328</v>
      </c>
      <c r="Q75" s="35"/>
      <c r="R75" s="36">
        <v>1.0</v>
      </c>
      <c r="S75" s="9" t="s">
        <v>38</v>
      </c>
      <c r="T75" s="33">
        <v>46066.0</v>
      </c>
      <c r="U75" s="33">
        <v>46066.0</v>
      </c>
      <c r="V75" s="35"/>
      <c r="W75" s="35"/>
      <c r="X75" s="6"/>
      <c r="Y75" s="31" t="s">
        <v>33</v>
      </c>
      <c r="Z75" s="6"/>
      <c r="AA75" s="6"/>
      <c r="AB75" s="6"/>
      <c r="AC75" s="6"/>
      <c r="AD75" s="6"/>
      <c r="AE75" s="6"/>
    </row>
    <row r="76">
      <c r="A76" s="38">
        <f t="shared" si="2"/>
        <v>75</v>
      </c>
      <c r="B76" s="39" t="s">
        <v>329</v>
      </c>
      <c r="C76" s="39" t="s">
        <v>330</v>
      </c>
      <c r="D76" s="40" t="s">
        <v>27</v>
      </c>
      <c r="E76" s="41">
        <v>46106.81319444445</v>
      </c>
      <c r="F76" s="39"/>
      <c r="G76" s="43"/>
      <c r="H76" s="39" t="s">
        <v>331</v>
      </c>
      <c r="I76" s="39"/>
      <c r="J76" s="39"/>
      <c r="K76" s="39"/>
      <c r="L76" s="39"/>
      <c r="M76" s="42" t="s">
        <v>30</v>
      </c>
      <c r="N76" s="39"/>
      <c r="O76" s="43"/>
      <c r="P76" s="51" t="s">
        <v>332</v>
      </c>
      <c r="Q76" s="45"/>
      <c r="R76" s="46">
        <v>1.0</v>
      </c>
      <c r="S76" s="40" t="s">
        <v>87</v>
      </c>
      <c r="T76" s="47">
        <v>46066.0</v>
      </c>
      <c r="U76" s="39" t="s">
        <v>32</v>
      </c>
      <c r="V76" s="52" t="s">
        <v>333</v>
      </c>
      <c r="W76" s="45"/>
      <c r="X76" s="43"/>
      <c r="Y76" s="39" t="s">
        <v>33</v>
      </c>
      <c r="Z76" s="6"/>
      <c r="AA76" s="6"/>
      <c r="AB76" s="6"/>
      <c r="AC76" s="6"/>
      <c r="AD76" s="6"/>
      <c r="AE76" s="6"/>
    </row>
    <row r="77">
      <c r="A77" s="19">
        <f t="shared" si="2"/>
        <v>76</v>
      </c>
      <c r="B77" s="20" t="s">
        <v>334</v>
      </c>
      <c r="C77" s="20" t="s">
        <v>335</v>
      </c>
      <c r="D77" s="21" t="s">
        <v>38</v>
      </c>
      <c r="E77" s="22">
        <v>46106.813888888886</v>
      </c>
      <c r="F77" s="22">
        <v>46107.48333333333</v>
      </c>
      <c r="G77" s="20" t="s">
        <v>214</v>
      </c>
      <c r="H77" s="20" t="s">
        <v>336</v>
      </c>
      <c r="I77" s="20"/>
      <c r="J77" s="20"/>
      <c r="K77" s="20"/>
      <c r="L77" s="20"/>
      <c r="M77" s="48" t="s">
        <v>30</v>
      </c>
      <c r="N77" s="20"/>
      <c r="O77" s="25"/>
      <c r="P77" s="26" t="s">
        <v>337</v>
      </c>
      <c r="Q77" s="27" t="s">
        <v>338</v>
      </c>
      <c r="R77" s="25"/>
      <c r="S77" s="21" t="s">
        <v>38</v>
      </c>
      <c r="T77" s="28">
        <v>46069.0</v>
      </c>
      <c r="U77" s="28">
        <v>46090.0</v>
      </c>
      <c r="V77" s="29"/>
      <c r="W77" s="29"/>
      <c r="X77" s="25"/>
      <c r="Y77" s="20" t="s">
        <v>33</v>
      </c>
      <c r="Z77" s="6"/>
      <c r="AA77" s="6"/>
      <c r="AB77" s="6"/>
      <c r="AC77" s="6"/>
      <c r="AD77" s="6"/>
      <c r="AE77" s="6"/>
    </row>
    <row r="78">
      <c r="A78" s="7">
        <f t="shared" si="2"/>
        <v>77</v>
      </c>
      <c r="B78" s="31" t="s">
        <v>339</v>
      </c>
      <c r="C78" s="31" t="s">
        <v>340</v>
      </c>
      <c r="D78" s="9" t="s">
        <v>27</v>
      </c>
      <c r="E78" s="32">
        <v>46106.813888888886</v>
      </c>
      <c r="F78" s="33"/>
      <c r="G78" s="31" t="s">
        <v>214</v>
      </c>
      <c r="H78" s="31" t="s">
        <v>341</v>
      </c>
      <c r="I78" s="31"/>
      <c r="J78" s="31"/>
      <c r="K78" s="31"/>
      <c r="L78" s="31"/>
      <c r="M78" s="37" t="s">
        <v>30</v>
      </c>
      <c r="N78" s="31"/>
      <c r="O78" s="6"/>
      <c r="P78" s="34" t="s">
        <v>342</v>
      </c>
      <c r="Q78" s="35"/>
      <c r="R78" s="36">
        <v>1.0</v>
      </c>
      <c r="S78" s="9" t="s">
        <v>38</v>
      </c>
      <c r="T78" s="33">
        <v>46069.0</v>
      </c>
      <c r="U78" s="33">
        <v>46069.0</v>
      </c>
      <c r="V78" s="35"/>
      <c r="W78" s="35"/>
      <c r="X78" s="6"/>
      <c r="Y78" s="31" t="s">
        <v>33</v>
      </c>
      <c r="Z78" s="6"/>
      <c r="AA78" s="6"/>
      <c r="AB78" s="6"/>
      <c r="AC78" s="6"/>
      <c r="AD78" s="6"/>
      <c r="AE78" s="6"/>
    </row>
    <row r="79">
      <c r="A79" s="7">
        <f t="shared" si="2"/>
        <v>78</v>
      </c>
      <c r="B79" s="31" t="s">
        <v>343</v>
      </c>
      <c r="C79" s="31" t="s">
        <v>344</v>
      </c>
      <c r="D79" s="9" t="s">
        <v>27</v>
      </c>
      <c r="E79" s="32">
        <v>46106.813888888886</v>
      </c>
      <c r="F79" s="33"/>
      <c r="G79" s="6"/>
      <c r="H79" s="31" t="s">
        <v>345</v>
      </c>
      <c r="I79" s="31"/>
      <c r="J79" s="31"/>
      <c r="K79" s="31"/>
      <c r="L79" s="31"/>
      <c r="M79" s="31"/>
      <c r="N79" s="31"/>
      <c r="O79" s="6"/>
      <c r="P79" s="34" t="s">
        <v>346</v>
      </c>
      <c r="Q79" s="35"/>
      <c r="R79" s="36">
        <v>1.0</v>
      </c>
      <c r="S79" s="9" t="s">
        <v>38</v>
      </c>
      <c r="T79" s="33">
        <v>46069.0</v>
      </c>
      <c r="U79" s="33">
        <v>46069.0</v>
      </c>
      <c r="V79" s="35"/>
      <c r="W79" s="35"/>
      <c r="X79" s="6"/>
      <c r="Y79" s="31" t="s">
        <v>33</v>
      </c>
      <c r="Z79" s="6"/>
      <c r="AA79" s="6"/>
      <c r="AB79" s="6"/>
      <c r="AC79" s="6"/>
      <c r="AD79" s="6"/>
      <c r="AE79" s="6"/>
    </row>
    <row r="80">
      <c r="A80" s="19">
        <f t="shared" si="2"/>
        <v>79</v>
      </c>
      <c r="B80" s="20" t="s">
        <v>347</v>
      </c>
      <c r="C80" s="20" t="s">
        <v>348</v>
      </c>
      <c r="D80" s="21" t="s">
        <v>38</v>
      </c>
      <c r="E80" s="22">
        <v>46106.813888888886</v>
      </c>
      <c r="F80" s="22">
        <v>46106.936111111114</v>
      </c>
      <c r="G80" s="25"/>
      <c r="H80" s="20" t="s">
        <v>349</v>
      </c>
      <c r="I80" s="20"/>
      <c r="J80" s="20"/>
      <c r="K80" s="20"/>
      <c r="L80" s="20"/>
      <c r="M80" s="20"/>
      <c r="N80" s="20"/>
      <c r="O80" s="25"/>
      <c r="P80" s="26" t="s">
        <v>350</v>
      </c>
      <c r="Q80" s="27" t="s">
        <v>351</v>
      </c>
      <c r="R80" s="25"/>
      <c r="S80" s="21" t="s">
        <v>38</v>
      </c>
      <c r="T80" s="28">
        <v>46070.0</v>
      </c>
      <c r="U80" s="28">
        <v>46072.0</v>
      </c>
      <c r="V80" s="29"/>
      <c r="W80" s="29"/>
      <c r="X80" s="25"/>
      <c r="Y80" s="20" t="s">
        <v>33</v>
      </c>
      <c r="Z80" s="6"/>
      <c r="AA80" s="6"/>
      <c r="AB80" s="6"/>
      <c r="AC80" s="6"/>
      <c r="AD80" s="6"/>
      <c r="AE80" s="6"/>
    </row>
    <row r="81">
      <c r="A81" s="7">
        <f t="shared" si="2"/>
        <v>80</v>
      </c>
      <c r="B81" s="31" t="s">
        <v>352</v>
      </c>
      <c r="C81" s="31" t="s">
        <v>353</v>
      </c>
      <c r="D81" s="9" t="s">
        <v>27</v>
      </c>
      <c r="E81" s="32">
        <v>46106.813888888886</v>
      </c>
      <c r="F81" s="33"/>
      <c r="G81" s="31" t="s">
        <v>354</v>
      </c>
      <c r="H81" s="31" t="s">
        <v>355</v>
      </c>
      <c r="I81" s="31"/>
      <c r="J81" s="31"/>
      <c r="K81" s="31"/>
      <c r="L81" s="31"/>
      <c r="M81" s="31"/>
      <c r="N81" s="31"/>
      <c r="O81" s="6"/>
      <c r="P81" s="34" t="s">
        <v>356</v>
      </c>
      <c r="Q81" s="35"/>
      <c r="R81" s="36">
        <v>1.0</v>
      </c>
      <c r="S81" s="9" t="s">
        <v>38</v>
      </c>
      <c r="T81" s="33">
        <v>46070.0</v>
      </c>
      <c r="U81" s="33">
        <v>46070.0</v>
      </c>
      <c r="V81" s="35"/>
      <c r="W81" s="35"/>
      <c r="X81" s="6"/>
      <c r="Y81" s="31" t="s">
        <v>33</v>
      </c>
      <c r="Z81" s="6"/>
      <c r="AA81" s="6"/>
      <c r="AB81" s="6"/>
      <c r="AC81" s="6"/>
      <c r="AD81" s="6"/>
      <c r="AE81" s="6"/>
    </row>
    <row r="82">
      <c r="A82" s="38">
        <f t="shared" si="2"/>
        <v>81</v>
      </c>
      <c r="B82" s="39" t="s">
        <v>357</v>
      </c>
      <c r="C82" s="39" t="s">
        <v>358</v>
      </c>
      <c r="D82" s="40" t="s">
        <v>27</v>
      </c>
      <c r="E82" s="41">
        <v>46106.813888888886</v>
      </c>
      <c r="F82" s="39"/>
      <c r="G82" s="43"/>
      <c r="H82" s="39" t="s">
        <v>359</v>
      </c>
      <c r="I82" s="39"/>
      <c r="J82" s="39"/>
      <c r="K82" s="39"/>
      <c r="L82" s="39"/>
      <c r="M82" s="39"/>
      <c r="N82" s="39"/>
      <c r="O82" s="43"/>
      <c r="P82" s="51" t="s">
        <v>360</v>
      </c>
      <c r="Q82" s="45"/>
      <c r="R82" s="46">
        <v>1.0</v>
      </c>
      <c r="S82" s="40" t="s">
        <v>87</v>
      </c>
      <c r="T82" s="47">
        <v>46070.0</v>
      </c>
      <c r="U82" s="39" t="s">
        <v>32</v>
      </c>
      <c r="V82" s="52" t="s">
        <v>361</v>
      </c>
      <c r="W82" s="45"/>
      <c r="X82" s="43"/>
      <c r="Y82" s="39" t="s">
        <v>33</v>
      </c>
      <c r="Z82" s="6"/>
      <c r="AA82" s="6"/>
      <c r="AB82" s="6"/>
      <c r="AC82" s="6"/>
      <c r="AD82" s="6"/>
      <c r="AE82" s="6"/>
    </row>
    <row r="83">
      <c r="A83" s="19">
        <f t="shared" si="2"/>
        <v>82</v>
      </c>
      <c r="B83" s="20" t="s">
        <v>362</v>
      </c>
      <c r="C83" s="20" t="s">
        <v>363</v>
      </c>
      <c r="D83" s="21" t="s">
        <v>38</v>
      </c>
      <c r="E83" s="22">
        <v>46106.813888888886</v>
      </c>
      <c r="F83" s="22">
        <v>46106.881944444445</v>
      </c>
      <c r="G83" s="25"/>
      <c r="H83" s="20" t="s">
        <v>364</v>
      </c>
      <c r="I83" s="20"/>
      <c r="J83" s="20"/>
      <c r="K83" s="20"/>
      <c r="L83" s="20"/>
      <c r="M83" s="48"/>
      <c r="N83" s="20"/>
      <c r="O83" s="25"/>
      <c r="P83" s="26" t="s">
        <v>365</v>
      </c>
      <c r="Q83" s="27" t="s">
        <v>366</v>
      </c>
      <c r="R83" s="25"/>
      <c r="S83" s="21" t="s">
        <v>87</v>
      </c>
      <c r="T83" s="28">
        <v>46070.0</v>
      </c>
      <c r="U83" s="20" t="s">
        <v>32</v>
      </c>
      <c r="V83" s="26" t="s">
        <v>367</v>
      </c>
      <c r="W83" s="29"/>
      <c r="X83" s="25"/>
      <c r="Y83" s="20" t="s">
        <v>33</v>
      </c>
      <c r="Z83" s="6"/>
      <c r="AA83" s="6"/>
      <c r="AB83" s="6"/>
      <c r="AC83" s="6"/>
      <c r="AD83" s="6"/>
      <c r="AE83" s="6"/>
    </row>
    <row r="84">
      <c r="A84" s="7">
        <f t="shared" si="2"/>
        <v>83</v>
      </c>
      <c r="B84" s="31" t="s">
        <v>368</v>
      </c>
      <c r="C84" s="31" t="s">
        <v>369</v>
      </c>
      <c r="D84" s="9" t="s">
        <v>27</v>
      </c>
      <c r="E84" s="32">
        <v>46106.813888888886</v>
      </c>
      <c r="F84" s="33"/>
      <c r="G84" s="6"/>
      <c r="H84" s="31" t="s">
        <v>370</v>
      </c>
      <c r="I84" s="31"/>
      <c r="J84" s="31"/>
      <c r="K84" s="31"/>
      <c r="L84" s="31"/>
      <c r="M84" s="37"/>
      <c r="N84" s="31"/>
      <c r="O84" s="6"/>
      <c r="P84" s="34" t="s">
        <v>371</v>
      </c>
      <c r="Q84" s="35"/>
      <c r="R84" s="36">
        <v>1.0</v>
      </c>
      <c r="S84" s="9" t="s">
        <v>38</v>
      </c>
      <c r="T84" s="33">
        <v>46070.0</v>
      </c>
      <c r="U84" s="33">
        <v>46072.0</v>
      </c>
      <c r="V84" s="35"/>
      <c r="W84" s="35"/>
      <c r="X84" s="6"/>
      <c r="Y84" s="31" t="s">
        <v>33</v>
      </c>
      <c r="Z84" s="6"/>
      <c r="AA84" s="6"/>
      <c r="AB84" s="6"/>
      <c r="AC84" s="6"/>
      <c r="AD84" s="6"/>
      <c r="AE84" s="6"/>
    </row>
    <row r="85">
      <c r="A85" s="19">
        <f t="shared" si="2"/>
        <v>84</v>
      </c>
      <c r="B85" s="20" t="s">
        <v>372</v>
      </c>
      <c r="C85" s="20" t="s">
        <v>373</v>
      </c>
      <c r="D85" s="21" t="s">
        <v>38</v>
      </c>
      <c r="E85" s="22">
        <v>46106.813888888886</v>
      </c>
      <c r="F85" s="22">
        <v>46106.81597222222</v>
      </c>
      <c r="G85" s="25"/>
      <c r="H85" s="25"/>
      <c r="I85" s="25"/>
      <c r="J85" s="25"/>
      <c r="K85" s="25"/>
      <c r="L85" s="25"/>
      <c r="M85" s="25"/>
      <c r="N85" s="25"/>
      <c r="O85" s="25"/>
      <c r="P85" s="26" t="s">
        <v>374</v>
      </c>
      <c r="Q85" s="27" t="s">
        <v>375</v>
      </c>
      <c r="R85" s="25"/>
      <c r="S85" s="21" t="s">
        <v>38</v>
      </c>
      <c r="T85" s="28">
        <v>46070.0</v>
      </c>
      <c r="U85" s="28">
        <v>46070.0</v>
      </c>
      <c r="V85" s="29"/>
      <c r="W85" s="29"/>
      <c r="X85" s="25"/>
      <c r="Y85" s="20" t="s">
        <v>33</v>
      </c>
      <c r="Z85" s="6"/>
      <c r="AA85" s="6"/>
      <c r="AB85" s="6"/>
      <c r="AC85" s="6"/>
      <c r="AD85" s="6"/>
      <c r="AE85" s="6"/>
    </row>
    <row r="86">
      <c r="A86" s="19">
        <f t="shared" si="2"/>
        <v>85</v>
      </c>
      <c r="B86" s="20" t="s">
        <v>376</v>
      </c>
      <c r="C86" s="20" t="s">
        <v>377</v>
      </c>
      <c r="D86" s="21" t="s">
        <v>38</v>
      </c>
      <c r="E86" s="22">
        <v>46106.813888888886</v>
      </c>
      <c r="F86" s="22">
        <v>46107.563888888886</v>
      </c>
      <c r="G86" s="25"/>
      <c r="H86" s="20" t="s">
        <v>378</v>
      </c>
      <c r="I86" s="20"/>
      <c r="J86" s="20"/>
      <c r="K86" s="20"/>
      <c r="L86" s="20"/>
      <c r="M86" s="48" t="s">
        <v>30</v>
      </c>
      <c r="N86" s="20"/>
      <c r="O86" s="25"/>
      <c r="P86" s="26" t="s">
        <v>379</v>
      </c>
      <c r="Q86" s="27" t="s">
        <v>380</v>
      </c>
      <c r="R86" s="25"/>
      <c r="S86" s="21" t="s">
        <v>38</v>
      </c>
      <c r="T86" s="28">
        <v>46070.0</v>
      </c>
      <c r="U86" s="60">
        <v>46086.0</v>
      </c>
      <c r="V86" s="26" t="s">
        <v>381</v>
      </c>
      <c r="W86" s="29"/>
      <c r="X86" s="25"/>
      <c r="Y86" s="20" t="s">
        <v>33</v>
      </c>
      <c r="Z86" s="6"/>
      <c r="AA86" s="6"/>
      <c r="AB86" s="6"/>
      <c r="AC86" s="6"/>
      <c r="AD86" s="6"/>
      <c r="AE86" s="6"/>
    </row>
    <row r="87">
      <c r="A87" s="19">
        <f t="shared" si="2"/>
        <v>86</v>
      </c>
      <c r="B87" s="20" t="s">
        <v>382</v>
      </c>
      <c r="C87" s="20" t="s">
        <v>383</v>
      </c>
      <c r="D87" s="21" t="s">
        <v>38</v>
      </c>
      <c r="E87" s="22">
        <v>46106.81458333333</v>
      </c>
      <c r="F87" s="22">
        <v>46106.95277777778</v>
      </c>
      <c r="G87" s="25"/>
      <c r="H87" s="20" t="s">
        <v>384</v>
      </c>
      <c r="I87" s="20"/>
      <c r="J87" s="20"/>
      <c r="K87" s="20"/>
      <c r="L87" s="20"/>
      <c r="M87" s="48"/>
      <c r="N87" s="20"/>
      <c r="O87" s="25"/>
      <c r="P87" s="26" t="s">
        <v>385</v>
      </c>
      <c r="Q87" s="27" t="s">
        <v>386</v>
      </c>
      <c r="R87" s="25"/>
      <c r="S87" s="21" t="s">
        <v>38</v>
      </c>
      <c r="T87" s="28">
        <v>46070.0</v>
      </c>
      <c r="U87" s="28">
        <v>46072.0</v>
      </c>
      <c r="V87" s="29"/>
      <c r="W87" s="29"/>
      <c r="X87" s="25"/>
      <c r="Y87" s="20" t="s">
        <v>33</v>
      </c>
      <c r="Z87" s="6"/>
      <c r="AA87" s="6"/>
      <c r="AB87" s="6"/>
      <c r="AC87" s="6"/>
      <c r="AD87" s="6"/>
      <c r="AE87" s="6"/>
    </row>
    <row r="88">
      <c r="A88" s="19">
        <f t="shared" si="2"/>
        <v>87</v>
      </c>
      <c r="B88" s="20" t="s">
        <v>387</v>
      </c>
      <c r="C88" s="20" t="s">
        <v>388</v>
      </c>
      <c r="D88" s="21" t="s">
        <v>38</v>
      </c>
      <c r="E88" s="22">
        <v>46106.81458333333</v>
      </c>
      <c r="F88" s="22">
        <v>46114.60555555556</v>
      </c>
      <c r="G88" s="25"/>
      <c r="H88" s="20" t="s">
        <v>389</v>
      </c>
      <c r="I88" s="20"/>
      <c r="J88" s="20"/>
      <c r="K88" s="20"/>
      <c r="L88" s="20"/>
      <c r="M88" s="48" t="s">
        <v>30</v>
      </c>
      <c r="N88" s="20"/>
      <c r="O88" s="25"/>
      <c r="P88" s="26" t="s">
        <v>390</v>
      </c>
      <c r="Q88" s="27" t="s">
        <v>391</v>
      </c>
      <c r="R88" s="30">
        <v>1.0</v>
      </c>
      <c r="S88" s="21" t="s">
        <v>38</v>
      </c>
      <c r="T88" s="28">
        <v>46071.0</v>
      </c>
      <c r="U88" s="28">
        <v>46085.0</v>
      </c>
      <c r="V88" s="29"/>
      <c r="W88" s="29"/>
      <c r="X88" s="25"/>
      <c r="Y88" s="20" t="s">
        <v>33</v>
      </c>
      <c r="Z88" s="6"/>
      <c r="AA88" s="6"/>
      <c r="AB88" s="6"/>
      <c r="AC88" s="6"/>
      <c r="AD88" s="6"/>
      <c r="AE88" s="6"/>
    </row>
    <row r="89">
      <c r="A89" s="7">
        <f t="shared" si="2"/>
        <v>88</v>
      </c>
      <c r="B89" s="31" t="s">
        <v>392</v>
      </c>
      <c r="C89" s="31" t="s">
        <v>393</v>
      </c>
      <c r="D89" s="9" t="s">
        <v>27</v>
      </c>
      <c r="E89" s="32">
        <v>46106.81458333333</v>
      </c>
      <c r="F89" s="33"/>
      <c r="G89" s="6"/>
      <c r="H89" s="6"/>
      <c r="I89" s="6"/>
      <c r="J89" s="6"/>
      <c r="K89" s="6"/>
      <c r="L89" s="6"/>
      <c r="M89" s="37"/>
      <c r="N89" s="6"/>
      <c r="O89" s="6"/>
      <c r="P89" s="34" t="s">
        <v>394</v>
      </c>
      <c r="Q89" s="35"/>
      <c r="R89" s="36">
        <v>1.0</v>
      </c>
      <c r="S89" s="9" t="s">
        <v>38</v>
      </c>
      <c r="T89" s="33">
        <v>46071.0</v>
      </c>
      <c r="U89" s="33">
        <v>46071.0</v>
      </c>
      <c r="V89" s="35"/>
      <c r="W89" s="35"/>
      <c r="X89" s="6"/>
      <c r="Y89" s="31" t="s">
        <v>33</v>
      </c>
      <c r="Z89" s="6"/>
      <c r="AA89" s="6"/>
      <c r="AB89" s="6"/>
      <c r="AC89" s="6"/>
      <c r="AD89" s="6"/>
      <c r="AE89" s="6"/>
    </row>
    <row r="90">
      <c r="A90" s="19">
        <f t="shared" si="2"/>
        <v>89</v>
      </c>
      <c r="B90" s="20" t="s">
        <v>395</v>
      </c>
      <c r="C90" s="20" t="s">
        <v>396</v>
      </c>
      <c r="D90" s="21" t="s">
        <v>38</v>
      </c>
      <c r="E90" s="22">
        <v>46106.81458333333</v>
      </c>
      <c r="F90" s="22">
        <v>46108.53680555556</v>
      </c>
      <c r="G90" s="25"/>
      <c r="H90" s="20" t="s">
        <v>397</v>
      </c>
      <c r="I90" s="20"/>
      <c r="J90" s="20"/>
      <c r="K90" s="20"/>
      <c r="L90" s="20"/>
      <c r="M90" s="48" t="s">
        <v>30</v>
      </c>
      <c r="N90" s="20"/>
      <c r="O90" s="25"/>
      <c r="P90" s="26" t="s">
        <v>398</v>
      </c>
      <c r="Q90" s="27" t="s">
        <v>399</v>
      </c>
      <c r="R90" s="25"/>
      <c r="S90" s="21" t="s">
        <v>38</v>
      </c>
      <c r="T90" s="28">
        <v>46071.0</v>
      </c>
      <c r="U90" s="28">
        <v>46073.0</v>
      </c>
      <c r="V90" s="29"/>
      <c r="W90" s="29"/>
      <c r="X90" s="25"/>
      <c r="Y90" s="20" t="s">
        <v>33</v>
      </c>
      <c r="Z90" s="6"/>
      <c r="AA90" s="6"/>
      <c r="AB90" s="6"/>
      <c r="AC90" s="6"/>
      <c r="AD90" s="6"/>
      <c r="AE90" s="6"/>
    </row>
    <row r="91">
      <c r="A91" s="7">
        <f t="shared" si="2"/>
        <v>90</v>
      </c>
      <c r="B91" s="31" t="s">
        <v>400</v>
      </c>
      <c r="C91" s="31" t="s">
        <v>401</v>
      </c>
      <c r="D91" s="9" t="s">
        <v>27</v>
      </c>
      <c r="E91" s="32">
        <v>46106.81458333333</v>
      </c>
      <c r="F91" s="33"/>
      <c r="G91" s="6"/>
      <c r="H91" s="31" t="s">
        <v>402</v>
      </c>
      <c r="I91" s="31"/>
      <c r="J91" s="31"/>
      <c r="K91" s="31"/>
      <c r="L91" s="31"/>
      <c r="M91" s="37"/>
      <c r="N91" s="31"/>
      <c r="O91" s="6"/>
      <c r="P91" s="34" t="s">
        <v>403</v>
      </c>
      <c r="Q91" s="35"/>
      <c r="R91" s="36">
        <v>1.0</v>
      </c>
      <c r="S91" s="9" t="s">
        <v>38</v>
      </c>
      <c r="T91" s="33">
        <v>46071.0</v>
      </c>
      <c r="U91" s="33">
        <v>46079.0</v>
      </c>
      <c r="V91" s="35"/>
      <c r="W91" s="35"/>
      <c r="X91" s="6"/>
      <c r="Y91" s="31" t="s">
        <v>33</v>
      </c>
      <c r="Z91" s="6"/>
      <c r="AA91" s="6"/>
      <c r="AB91" s="6"/>
      <c r="AC91" s="6"/>
      <c r="AD91" s="6"/>
      <c r="AE91" s="6"/>
    </row>
    <row r="92">
      <c r="A92" s="7">
        <f t="shared" si="2"/>
        <v>91</v>
      </c>
      <c r="B92" s="31" t="s">
        <v>404</v>
      </c>
      <c r="C92" s="31" t="s">
        <v>405</v>
      </c>
      <c r="D92" s="9" t="s">
        <v>165</v>
      </c>
      <c r="E92" s="32">
        <v>46106.81458333333</v>
      </c>
      <c r="F92" s="33"/>
      <c r="G92" s="6"/>
      <c r="H92" s="31" t="s">
        <v>406</v>
      </c>
      <c r="I92" s="31"/>
      <c r="J92" s="31"/>
      <c r="K92" s="31"/>
      <c r="L92" s="31"/>
      <c r="M92" s="37"/>
      <c r="N92" s="31"/>
      <c r="O92" s="6"/>
      <c r="P92" s="34" t="s">
        <v>407</v>
      </c>
      <c r="Q92" s="35"/>
      <c r="R92" s="36">
        <v>1.0</v>
      </c>
      <c r="S92" s="9" t="s">
        <v>38</v>
      </c>
      <c r="T92" s="33">
        <v>46071.0</v>
      </c>
      <c r="U92" s="33">
        <v>46072.0</v>
      </c>
      <c r="V92" s="35"/>
      <c r="W92" s="35"/>
      <c r="X92" s="6"/>
      <c r="Y92" s="31" t="s">
        <v>33</v>
      </c>
      <c r="Z92" s="6"/>
      <c r="AA92" s="6"/>
      <c r="AB92" s="6"/>
      <c r="AC92" s="6"/>
      <c r="AD92" s="6"/>
      <c r="AE92" s="6"/>
    </row>
    <row r="93">
      <c r="A93" s="38">
        <f t="shared" si="2"/>
        <v>92</v>
      </c>
      <c r="B93" s="39" t="s">
        <v>408</v>
      </c>
      <c r="C93" s="39" t="s">
        <v>409</v>
      </c>
      <c r="D93" s="40" t="s">
        <v>27</v>
      </c>
      <c r="E93" s="41">
        <v>46106.81458333333</v>
      </c>
      <c r="F93" s="39"/>
      <c r="G93" s="43"/>
      <c r="H93" s="39" t="s">
        <v>410</v>
      </c>
      <c r="I93" s="39"/>
      <c r="J93" s="39"/>
      <c r="K93" s="39"/>
      <c r="L93" s="39"/>
      <c r="M93" s="42" t="s">
        <v>30</v>
      </c>
      <c r="N93" s="39"/>
      <c r="O93" s="39" t="s">
        <v>411</v>
      </c>
      <c r="P93" s="51" t="s">
        <v>412</v>
      </c>
      <c r="Q93" s="45"/>
      <c r="R93" s="46">
        <v>1.0</v>
      </c>
      <c r="S93" s="40" t="s">
        <v>87</v>
      </c>
      <c r="T93" s="47">
        <v>46071.0</v>
      </c>
      <c r="U93" s="39" t="s">
        <v>32</v>
      </c>
      <c r="V93" s="52" t="s">
        <v>413</v>
      </c>
      <c r="W93" s="45"/>
      <c r="X93" s="43"/>
      <c r="Y93" s="39" t="s">
        <v>33</v>
      </c>
      <c r="Z93" s="6"/>
      <c r="AA93" s="6"/>
      <c r="AB93" s="6"/>
      <c r="AC93" s="6"/>
      <c r="AD93" s="6"/>
      <c r="AE93" s="6"/>
    </row>
    <row r="94">
      <c r="A94" s="7">
        <f t="shared" si="2"/>
        <v>93</v>
      </c>
      <c r="B94" s="31" t="s">
        <v>414</v>
      </c>
      <c r="C94" s="31" t="s">
        <v>415</v>
      </c>
      <c r="D94" s="9" t="s">
        <v>27</v>
      </c>
      <c r="E94" s="32">
        <v>46106.81458333333</v>
      </c>
      <c r="F94" s="33"/>
      <c r="G94" s="6"/>
      <c r="H94" s="31" t="s">
        <v>416</v>
      </c>
      <c r="I94" s="31"/>
      <c r="J94" s="31"/>
      <c r="K94" s="31"/>
      <c r="L94" s="31"/>
      <c r="M94" s="37" t="s">
        <v>30</v>
      </c>
      <c r="N94" s="31"/>
      <c r="O94" s="6"/>
      <c r="P94" s="34" t="s">
        <v>417</v>
      </c>
      <c r="Q94" s="35"/>
      <c r="R94" s="36">
        <v>1.0</v>
      </c>
      <c r="S94" s="9" t="s">
        <v>38</v>
      </c>
      <c r="T94" s="33">
        <v>46071.0</v>
      </c>
      <c r="U94" s="33">
        <v>46072.0</v>
      </c>
      <c r="V94" s="35"/>
      <c r="W94" s="35"/>
      <c r="X94" s="6"/>
      <c r="Y94" s="31" t="s">
        <v>33</v>
      </c>
      <c r="Z94" s="6"/>
      <c r="AA94" s="6"/>
      <c r="AB94" s="6"/>
      <c r="AC94" s="6"/>
      <c r="AD94" s="6"/>
      <c r="AE94" s="6"/>
    </row>
    <row r="95">
      <c r="A95" s="7">
        <f t="shared" si="2"/>
        <v>94</v>
      </c>
      <c r="B95" s="31" t="s">
        <v>418</v>
      </c>
      <c r="C95" s="31" t="s">
        <v>419</v>
      </c>
      <c r="D95" s="9" t="s">
        <v>27</v>
      </c>
      <c r="E95" s="32">
        <v>46106.81458333333</v>
      </c>
      <c r="F95" s="33"/>
      <c r="G95" s="6"/>
      <c r="H95" s="6"/>
      <c r="I95" s="6"/>
      <c r="J95" s="6"/>
      <c r="K95" s="6"/>
      <c r="L95" s="6"/>
      <c r="M95" s="6"/>
      <c r="N95" s="6"/>
      <c r="O95" s="6"/>
      <c r="P95" s="34" t="s">
        <v>420</v>
      </c>
      <c r="Q95" s="35"/>
      <c r="R95" s="36">
        <v>1.0</v>
      </c>
      <c r="S95" s="9" t="s">
        <v>38</v>
      </c>
      <c r="T95" s="33">
        <v>46071.0</v>
      </c>
      <c r="U95" s="33">
        <v>46071.0</v>
      </c>
      <c r="V95" s="35"/>
      <c r="W95" s="35"/>
      <c r="X95" s="6"/>
      <c r="Y95" s="31" t="s">
        <v>33</v>
      </c>
      <c r="Z95" s="6"/>
      <c r="AA95" s="6"/>
      <c r="AB95" s="6"/>
      <c r="AC95" s="6"/>
      <c r="AD95" s="6"/>
      <c r="AE95" s="6"/>
    </row>
    <row r="96">
      <c r="A96" s="7">
        <f t="shared" si="2"/>
        <v>95</v>
      </c>
      <c r="B96" s="31" t="s">
        <v>421</v>
      </c>
      <c r="C96" s="31" t="s">
        <v>422</v>
      </c>
      <c r="D96" s="9" t="s">
        <v>27</v>
      </c>
      <c r="E96" s="32">
        <v>46106.81458333333</v>
      </c>
      <c r="F96" s="33"/>
      <c r="G96" s="6"/>
      <c r="H96" s="31" t="s">
        <v>423</v>
      </c>
      <c r="I96" s="31"/>
      <c r="J96" s="31"/>
      <c r="K96" s="31"/>
      <c r="L96" s="31"/>
      <c r="M96" s="37" t="s">
        <v>30</v>
      </c>
      <c r="N96" s="31"/>
      <c r="O96" s="6"/>
      <c r="P96" s="34" t="s">
        <v>424</v>
      </c>
      <c r="Q96" s="35"/>
      <c r="R96" s="36">
        <v>1.0</v>
      </c>
      <c r="S96" s="9" t="s">
        <v>38</v>
      </c>
      <c r="T96" s="33">
        <v>46072.0</v>
      </c>
      <c r="U96" s="33">
        <v>46072.0</v>
      </c>
      <c r="V96" s="35"/>
      <c r="W96" s="35"/>
      <c r="X96" s="6"/>
      <c r="Y96" s="31" t="s">
        <v>33</v>
      </c>
      <c r="Z96" s="6"/>
      <c r="AA96" s="6"/>
      <c r="AB96" s="6"/>
      <c r="AC96" s="6"/>
      <c r="AD96" s="6"/>
      <c r="AE96" s="6"/>
    </row>
    <row r="97">
      <c r="A97" s="38">
        <f t="shared" si="2"/>
        <v>96</v>
      </c>
      <c r="B97" s="39" t="s">
        <v>425</v>
      </c>
      <c r="C97" s="39" t="s">
        <v>426</v>
      </c>
      <c r="D97" s="40" t="s">
        <v>27</v>
      </c>
      <c r="E97" s="41">
        <v>46106.81527777778</v>
      </c>
      <c r="F97" s="39"/>
      <c r="G97" s="43"/>
      <c r="H97" s="43"/>
      <c r="I97" s="43"/>
      <c r="J97" s="43"/>
      <c r="K97" s="43"/>
      <c r="L97" s="43"/>
      <c r="M97" s="43"/>
      <c r="N97" s="43"/>
      <c r="O97" s="43"/>
      <c r="P97" s="44" t="s">
        <v>427</v>
      </c>
      <c r="Q97" s="45"/>
      <c r="R97" s="46">
        <v>1.0</v>
      </c>
      <c r="S97" s="40" t="s">
        <v>87</v>
      </c>
      <c r="T97" s="47">
        <v>46072.0</v>
      </c>
      <c r="U97" s="39" t="s">
        <v>32</v>
      </c>
      <c r="V97" s="44" t="s">
        <v>428</v>
      </c>
      <c r="W97" s="45"/>
      <c r="X97" s="43"/>
      <c r="Y97" s="39" t="s">
        <v>33</v>
      </c>
      <c r="Z97" s="6"/>
      <c r="AA97" s="6"/>
      <c r="AB97" s="6"/>
      <c r="AC97" s="6"/>
      <c r="AD97" s="6"/>
      <c r="AE97" s="6"/>
    </row>
    <row r="98">
      <c r="A98" s="38">
        <f t="shared" si="2"/>
        <v>97</v>
      </c>
      <c r="B98" s="39" t="s">
        <v>429</v>
      </c>
      <c r="C98" s="59" t="s">
        <v>430</v>
      </c>
      <c r="D98" s="40" t="s">
        <v>27</v>
      </c>
      <c r="E98" s="41">
        <v>46106.81527777778</v>
      </c>
      <c r="F98" s="39"/>
      <c r="G98" s="59" t="s">
        <v>431</v>
      </c>
      <c r="H98" s="59" t="s">
        <v>432</v>
      </c>
      <c r="I98" s="59"/>
      <c r="J98" s="59"/>
      <c r="K98" s="59"/>
      <c r="L98" s="59"/>
      <c r="M98" s="59"/>
      <c r="N98" s="59"/>
      <c r="O98" s="43"/>
      <c r="P98" s="51" t="s">
        <v>433</v>
      </c>
      <c r="Q98" s="45"/>
      <c r="R98" s="46">
        <v>1.0</v>
      </c>
      <c r="S98" s="40" t="s">
        <v>87</v>
      </c>
      <c r="T98" s="47">
        <v>46072.0</v>
      </c>
      <c r="U98" s="39" t="s">
        <v>32</v>
      </c>
      <c r="V98" s="52" t="s">
        <v>434</v>
      </c>
      <c r="W98" s="45"/>
      <c r="X98" s="43"/>
      <c r="Y98" s="39" t="s">
        <v>33</v>
      </c>
      <c r="Z98" s="6"/>
      <c r="AA98" s="6"/>
      <c r="AB98" s="6"/>
      <c r="AC98" s="6"/>
      <c r="AD98" s="6"/>
      <c r="AE98" s="6"/>
    </row>
    <row r="99">
      <c r="A99" s="7">
        <f t="shared" si="2"/>
        <v>98</v>
      </c>
      <c r="B99" s="11" t="s">
        <v>435</v>
      </c>
      <c r="C99" s="11" t="s">
        <v>436</v>
      </c>
      <c r="D99" s="9" t="s">
        <v>27</v>
      </c>
      <c r="E99" s="32">
        <v>46106.81527777778</v>
      </c>
      <c r="F99" s="33"/>
      <c r="G99" s="11" t="s">
        <v>431</v>
      </c>
      <c r="H99" s="11" t="s">
        <v>437</v>
      </c>
      <c r="I99" s="11"/>
      <c r="J99" s="11"/>
      <c r="K99" s="11"/>
      <c r="L99" s="11"/>
      <c r="N99" s="11"/>
      <c r="O99" s="6"/>
      <c r="P99" s="34" t="s">
        <v>438</v>
      </c>
      <c r="Q99" s="35"/>
      <c r="R99" s="36">
        <v>1.0</v>
      </c>
      <c r="S99" s="9" t="s">
        <v>38</v>
      </c>
      <c r="T99" s="33">
        <v>46072.0</v>
      </c>
      <c r="U99" s="33">
        <v>46074.0</v>
      </c>
      <c r="V99" s="35"/>
      <c r="W99" s="35"/>
      <c r="X99" s="6"/>
      <c r="Y99" s="31" t="s">
        <v>33</v>
      </c>
      <c r="Z99" s="6"/>
      <c r="AA99" s="6"/>
      <c r="AB99" s="6"/>
      <c r="AC99" s="6"/>
      <c r="AD99" s="6"/>
      <c r="AE99" s="6"/>
    </row>
    <row r="100">
      <c r="A100" s="7">
        <f t="shared" si="2"/>
        <v>99</v>
      </c>
      <c r="B100" s="11" t="s">
        <v>439</v>
      </c>
      <c r="C100" s="61" t="s">
        <v>440</v>
      </c>
      <c r="D100" s="9" t="s">
        <v>27</v>
      </c>
      <c r="E100" s="32">
        <v>46106.82777777778</v>
      </c>
      <c r="F100" s="33"/>
      <c r="G100" s="11" t="s">
        <v>431</v>
      </c>
      <c r="H100" s="11" t="s">
        <v>441</v>
      </c>
      <c r="I100" s="11"/>
      <c r="J100" s="11"/>
      <c r="K100" s="11"/>
      <c r="L100" s="11"/>
      <c r="N100" s="11"/>
      <c r="O100" s="31" t="s">
        <v>442</v>
      </c>
      <c r="P100" s="34" t="s">
        <v>443</v>
      </c>
      <c r="Q100" s="35"/>
      <c r="R100" s="36">
        <v>1.0</v>
      </c>
      <c r="S100" s="9" t="s">
        <v>38</v>
      </c>
      <c r="T100" s="33">
        <v>46072.0</v>
      </c>
      <c r="U100" s="33">
        <v>46073.0</v>
      </c>
      <c r="V100" s="35"/>
      <c r="W100" s="35"/>
      <c r="X100" s="6"/>
      <c r="Y100" s="31" t="s">
        <v>33</v>
      </c>
      <c r="Z100" s="6"/>
      <c r="AA100" s="6"/>
      <c r="AB100" s="6"/>
      <c r="AC100" s="6"/>
      <c r="AD100" s="6"/>
      <c r="AE100" s="6"/>
    </row>
    <row r="101">
      <c r="A101" s="19">
        <f t="shared" si="2"/>
        <v>100</v>
      </c>
      <c r="B101" s="20" t="s">
        <v>444</v>
      </c>
      <c r="C101" s="20" t="s">
        <v>445</v>
      </c>
      <c r="D101" s="21" t="s">
        <v>38</v>
      </c>
      <c r="E101" s="22">
        <v>46106.82847222222</v>
      </c>
      <c r="F101" s="22">
        <v>46107.731944444444</v>
      </c>
      <c r="G101" s="25"/>
      <c r="H101" s="20" t="s">
        <v>446</v>
      </c>
      <c r="I101" s="20"/>
      <c r="J101" s="20"/>
      <c r="K101" s="20"/>
      <c r="L101" s="20"/>
      <c r="M101" s="48" t="s">
        <v>30</v>
      </c>
      <c r="N101" s="20"/>
      <c r="O101" s="25"/>
      <c r="P101" s="26" t="s">
        <v>447</v>
      </c>
      <c r="Q101" s="27" t="s">
        <v>448</v>
      </c>
      <c r="R101" s="25"/>
      <c r="S101" s="21" t="s">
        <v>38</v>
      </c>
      <c r="T101" s="28">
        <v>46072.0</v>
      </c>
      <c r="U101" s="28">
        <v>46091.0</v>
      </c>
      <c r="V101" s="29"/>
      <c r="W101" s="29"/>
      <c r="X101" s="25"/>
      <c r="Y101" s="20" t="s">
        <v>33</v>
      </c>
      <c r="Z101" s="6"/>
      <c r="AA101" s="6"/>
      <c r="AB101" s="6"/>
      <c r="AC101" s="6"/>
      <c r="AD101" s="6"/>
      <c r="AE101" s="6"/>
    </row>
    <row r="102">
      <c r="A102" s="19">
        <f t="shared" si="2"/>
        <v>101</v>
      </c>
      <c r="B102" s="20" t="s">
        <v>449</v>
      </c>
      <c r="C102" s="20" t="s">
        <v>450</v>
      </c>
      <c r="D102" s="21" t="s">
        <v>38</v>
      </c>
      <c r="E102" s="22">
        <v>46106.82847222222</v>
      </c>
      <c r="F102" s="22">
        <v>46107.51527777778</v>
      </c>
      <c r="G102" s="25"/>
      <c r="H102" s="20" t="s">
        <v>451</v>
      </c>
      <c r="I102" s="20"/>
      <c r="J102" s="20"/>
      <c r="K102" s="20"/>
      <c r="L102" s="20"/>
      <c r="M102" s="48" t="s">
        <v>30</v>
      </c>
      <c r="N102" s="20"/>
      <c r="O102" s="25"/>
      <c r="P102" s="26" t="s">
        <v>452</v>
      </c>
      <c r="Q102" s="27" t="s">
        <v>453</v>
      </c>
      <c r="R102" s="25"/>
      <c r="S102" s="21" t="s">
        <v>38</v>
      </c>
      <c r="T102" s="28">
        <v>46072.0</v>
      </c>
      <c r="U102" s="28">
        <v>46072.0</v>
      </c>
      <c r="V102" s="29"/>
      <c r="W102" s="29"/>
      <c r="X102" s="25"/>
      <c r="Y102" s="20" t="s">
        <v>33</v>
      </c>
      <c r="Z102" s="6"/>
      <c r="AA102" s="6"/>
      <c r="AB102" s="6"/>
      <c r="AC102" s="6"/>
      <c r="AD102" s="6"/>
      <c r="AE102" s="6"/>
    </row>
    <row r="103">
      <c r="A103" s="7">
        <f t="shared" si="2"/>
        <v>102</v>
      </c>
      <c r="B103" s="31" t="s">
        <v>454</v>
      </c>
      <c r="C103" s="31" t="s">
        <v>455</v>
      </c>
      <c r="D103" s="9" t="s">
        <v>27</v>
      </c>
      <c r="E103" s="32">
        <v>46106.82847222222</v>
      </c>
      <c r="F103" s="33"/>
      <c r="G103" s="6"/>
      <c r="H103" s="6"/>
      <c r="I103" s="6"/>
      <c r="J103" s="6"/>
      <c r="K103" s="6"/>
      <c r="L103" s="6"/>
      <c r="M103" s="37"/>
      <c r="N103" s="6"/>
      <c r="O103" s="6"/>
      <c r="P103" s="34" t="s">
        <v>456</v>
      </c>
      <c r="Q103" s="35"/>
      <c r="R103" s="36">
        <v>1.0</v>
      </c>
      <c r="S103" s="9" t="s">
        <v>38</v>
      </c>
      <c r="T103" s="33">
        <v>46072.0</v>
      </c>
      <c r="U103" s="33">
        <v>46072.0</v>
      </c>
      <c r="V103" s="35"/>
      <c r="W103" s="35"/>
      <c r="X103" s="6"/>
      <c r="Y103" s="31" t="s">
        <v>33</v>
      </c>
      <c r="Z103" s="6"/>
      <c r="AA103" s="6"/>
      <c r="AB103" s="6"/>
      <c r="AC103" s="6"/>
      <c r="AD103" s="6"/>
      <c r="AE103" s="6"/>
    </row>
    <row r="104">
      <c r="A104" s="38">
        <f t="shared" si="2"/>
        <v>103</v>
      </c>
      <c r="B104" s="39" t="s">
        <v>457</v>
      </c>
      <c r="C104" s="39" t="s">
        <v>458</v>
      </c>
      <c r="D104" s="40" t="s">
        <v>27</v>
      </c>
      <c r="E104" s="41">
        <v>46106.82847222222</v>
      </c>
      <c r="F104" s="39"/>
      <c r="G104" s="43"/>
      <c r="H104" s="43"/>
      <c r="I104" s="43"/>
      <c r="J104" s="43"/>
      <c r="K104" s="43"/>
      <c r="L104" s="43"/>
      <c r="M104" s="42"/>
      <c r="N104" s="43"/>
      <c r="O104" s="43"/>
      <c r="P104" s="51" t="s">
        <v>459</v>
      </c>
      <c r="Q104" s="45"/>
      <c r="R104" s="46">
        <v>1.0</v>
      </c>
      <c r="S104" s="40" t="s">
        <v>87</v>
      </c>
      <c r="T104" s="47">
        <v>46073.0</v>
      </c>
      <c r="U104" s="39" t="s">
        <v>32</v>
      </c>
      <c r="V104" s="52" t="s">
        <v>460</v>
      </c>
      <c r="W104" s="45"/>
      <c r="X104" s="43"/>
      <c r="Y104" s="39" t="s">
        <v>33</v>
      </c>
      <c r="Z104" s="6"/>
      <c r="AA104" s="6"/>
      <c r="AB104" s="6"/>
      <c r="AC104" s="6"/>
      <c r="AD104" s="6"/>
      <c r="AE104" s="6"/>
    </row>
    <row r="105">
      <c r="A105" s="19">
        <f t="shared" si="2"/>
        <v>104</v>
      </c>
      <c r="B105" s="20" t="s">
        <v>461</v>
      </c>
      <c r="C105" s="20" t="s">
        <v>462</v>
      </c>
      <c r="D105" s="21" t="s">
        <v>38</v>
      </c>
      <c r="E105" s="22">
        <v>46106.82847222222</v>
      </c>
      <c r="F105" s="22">
        <v>46106.95694444444</v>
      </c>
      <c r="G105" s="25"/>
      <c r="H105" s="20" t="s">
        <v>463</v>
      </c>
      <c r="I105" s="20"/>
      <c r="J105" s="20"/>
      <c r="K105" s="20"/>
      <c r="L105" s="20"/>
      <c r="M105" s="48" t="s">
        <v>30</v>
      </c>
      <c r="N105" s="20"/>
      <c r="O105" s="25"/>
      <c r="P105" s="26" t="s">
        <v>464</v>
      </c>
      <c r="Q105" s="27" t="s">
        <v>465</v>
      </c>
      <c r="R105" s="25"/>
      <c r="S105" s="21" t="s">
        <v>38</v>
      </c>
      <c r="T105" s="28">
        <v>46073.0</v>
      </c>
      <c r="U105" s="28">
        <v>46078.0</v>
      </c>
      <c r="V105" s="29"/>
      <c r="W105" s="29"/>
      <c r="X105" s="25"/>
      <c r="Y105" s="20" t="s">
        <v>33</v>
      </c>
      <c r="Z105" s="6"/>
      <c r="AA105" s="6"/>
      <c r="AB105" s="6"/>
      <c r="AC105" s="6"/>
      <c r="AD105" s="6"/>
      <c r="AE105" s="6"/>
    </row>
    <row r="106">
      <c r="A106" s="7">
        <f t="shared" si="2"/>
        <v>105</v>
      </c>
      <c r="B106" s="31" t="s">
        <v>466</v>
      </c>
      <c r="C106" s="31" t="s">
        <v>467</v>
      </c>
      <c r="D106" s="9" t="s">
        <v>27</v>
      </c>
      <c r="E106" s="32">
        <v>46106.83541666667</v>
      </c>
      <c r="F106" s="33"/>
      <c r="G106" s="6"/>
      <c r="H106" s="31" t="s">
        <v>468</v>
      </c>
      <c r="I106" s="31"/>
      <c r="J106" s="31"/>
      <c r="K106" s="31"/>
      <c r="L106" s="31"/>
      <c r="M106" s="37"/>
      <c r="N106" s="31"/>
      <c r="O106" s="6"/>
      <c r="P106" s="34" t="s">
        <v>469</v>
      </c>
      <c r="Q106" s="35"/>
      <c r="R106" s="36">
        <v>1.0</v>
      </c>
      <c r="S106" s="9" t="s">
        <v>38</v>
      </c>
      <c r="T106" s="33">
        <v>46073.0</v>
      </c>
      <c r="U106" s="33">
        <v>46073.0</v>
      </c>
      <c r="V106" s="35"/>
      <c r="W106" s="35"/>
      <c r="X106" s="6"/>
      <c r="Y106" s="31" t="s">
        <v>33</v>
      </c>
      <c r="Z106" s="6"/>
      <c r="AA106" s="6"/>
      <c r="AB106" s="6"/>
      <c r="AC106" s="6"/>
      <c r="AD106" s="6"/>
      <c r="AE106" s="6"/>
    </row>
    <row r="107">
      <c r="A107" s="7">
        <f t="shared" si="2"/>
        <v>106</v>
      </c>
      <c r="B107" s="31" t="s">
        <v>470</v>
      </c>
      <c r="C107" s="31" t="s">
        <v>471</v>
      </c>
      <c r="D107" s="9" t="s">
        <v>27</v>
      </c>
      <c r="E107" s="32">
        <v>46106.82847222222</v>
      </c>
      <c r="F107" s="33"/>
      <c r="G107" s="6"/>
      <c r="H107" s="31" t="s">
        <v>472</v>
      </c>
      <c r="I107" s="31"/>
      <c r="J107" s="31"/>
      <c r="K107" s="31"/>
      <c r="L107" s="31"/>
      <c r="M107" s="37" t="s">
        <v>30</v>
      </c>
      <c r="N107" s="31"/>
      <c r="O107" s="6"/>
      <c r="P107" s="34" t="s">
        <v>473</v>
      </c>
      <c r="Q107" s="35"/>
      <c r="R107" s="36">
        <v>1.0</v>
      </c>
      <c r="S107" s="9" t="s">
        <v>38</v>
      </c>
      <c r="T107" s="33">
        <v>46073.0</v>
      </c>
      <c r="U107" s="33">
        <v>46073.0</v>
      </c>
      <c r="V107" s="35"/>
      <c r="W107" s="35"/>
      <c r="X107" s="6"/>
      <c r="Y107" s="31" t="s">
        <v>33</v>
      </c>
      <c r="Z107" s="6"/>
      <c r="AA107" s="6"/>
      <c r="AB107" s="6"/>
      <c r="AC107" s="6"/>
      <c r="AD107" s="6"/>
      <c r="AE107" s="6"/>
    </row>
    <row r="108">
      <c r="A108" s="7">
        <f t="shared" si="2"/>
        <v>107</v>
      </c>
      <c r="B108" s="31" t="s">
        <v>474</v>
      </c>
      <c r="C108" s="31" t="s">
        <v>475</v>
      </c>
      <c r="D108" s="9" t="s">
        <v>27</v>
      </c>
      <c r="E108" s="32">
        <v>46106.82847222222</v>
      </c>
      <c r="F108" s="33"/>
      <c r="G108" s="6"/>
      <c r="H108" s="31" t="s">
        <v>472</v>
      </c>
      <c r="I108" s="31"/>
      <c r="J108" s="31"/>
      <c r="K108" s="31"/>
      <c r="L108" s="31"/>
      <c r="M108" s="37" t="s">
        <v>30</v>
      </c>
      <c r="N108" s="31"/>
      <c r="O108" s="6"/>
      <c r="P108" s="34" t="s">
        <v>476</v>
      </c>
      <c r="Q108" s="35"/>
      <c r="R108" s="36">
        <v>1.0</v>
      </c>
      <c r="S108" s="9" t="s">
        <v>38</v>
      </c>
      <c r="T108" s="33">
        <v>46073.0</v>
      </c>
      <c r="U108" s="33">
        <v>46073.0</v>
      </c>
      <c r="V108" s="35"/>
      <c r="W108" s="35"/>
      <c r="X108" s="6"/>
      <c r="Y108" s="31" t="s">
        <v>33</v>
      </c>
      <c r="Z108" s="6"/>
      <c r="AA108" s="6"/>
      <c r="AB108" s="6"/>
      <c r="AC108" s="6"/>
      <c r="AD108" s="6"/>
      <c r="AE108" s="6"/>
    </row>
    <row r="109">
      <c r="A109" s="19">
        <f t="shared" si="2"/>
        <v>108</v>
      </c>
      <c r="B109" s="20" t="s">
        <v>477</v>
      </c>
      <c r="C109" s="20" t="s">
        <v>478</v>
      </c>
      <c r="D109" s="21" t="s">
        <v>38</v>
      </c>
      <c r="E109" s="22">
        <v>46106.82847222222</v>
      </c>
      <c r="F109" s="22">
        <v>46107.49791666667</v>
      </c>
      <c r="G109" s="25"/>
      <c r="H109" s="20" t="s">
        <v>479</v>
      </c>
      <c r="I109" s="20"/>
      <c r="J109" s="20"/>
      <c r="K109" s="20"/>
      <c r="L109" s="20"/>
      <c r="M109" s="48" t="s">
        <v>30</v>
      </c>
      <c r="N109" s="20"/>
      <c r="O109" s="25"/>
      <c r="P109" s="26" t="s">
        <v>480</v>
      </c>
      <c r="Q109" s="27" t="s">
        <v>481</v>
      </c>
      <c r="R109" s="25"/>
      <c r="S109" s="21" t="s">
        <v>38</v>
      </c>
      <c r="T109" s="28">
        <v>46077.0</v>
      </c>
      <c r="U109" s="28">
        <v>46077.0</v>
      </c>
      <c r="V109" s="29"/>
      <c r="W109" s="29"/>
      <c r="X109" s="25"/>
      <c r="Y109" s="20" t="s">
        <v>33</v>
      </c>
      <c r="Z109" s="6"/>
      <c r="AA109" s="6"/>
      <c r="AB109" s="6"/>
      <c r="AC109" s="6"/>
      <c r="AD109" s="6"/>
      <c r="AE109" s="6"/>
    </row>
    <row r="110">
      <c r="A110" s="7">
        <f t="shared" si="2"/>
        <v>109</v>
      </c>
      <c r="B110" s="31" t="s">
        <v>482</v>
      </c>
      <c r="C110" s="31" t="s">
        <v>483</v>
      </c>
      <c r="D110" s="9" t="s">
        <v>27</v>
      </c>
      <c r="E110" s="32">
        <v>46106.82847222222</v>
      </c>
      <c r="F110" s="33"/>
      <c r="G110" s="6"/>
      <c r="H110" s="31" t="s">
        <v>319</v>
      </c>
      <c r="I110" s="31"/>
      <c r="J110" s="31"/>
      <c r="K110" s="31"/>
      <c r="L110" s="31"/>
      <c r="M110" s="37" t="s">
        <v>30</v>
      </c>
      <c r="N110" s="31"/>
      <c r="O110" s="6"/>
      <c r="P110" s="34" t="s">
        <v>484</v>
      </c>
      <c r="Q110" s="35"/>
      <c r="R110" s="36">
        <v>1.0</v>
      </c>
      <c r="S110" s="9" t="s">
        <v>38</v>
      </c>
      <c r="T110" s="33">
        <v>46077.0</v>
      </c>
      <c r="U110" s="33">
        <v>46077.0</v>
      </c>
      <c r="V110" s="35"/>
      <c r="W110" s="35"/>
      <c r="X110" s="6"/>
      <c r="Y110" s="31" t="s">
        <v>33</v>
      </c>
      <c r="Z110" s="6"/>
      <c r="AA110" s="6"/>
      <c r="AB110" s="6"/>
      <c r="AC110" s="6"/>
      <c r="AD110" s="6"/>
      <c r="AE110" s="6"/>
    </row>
    <row r="111">
      <c r="A111" s="7">
        <f t="shared" si="2"/>
        <v>110</v>
      </c>
      <c r="B111" s="31" t="s">
        <v>485</v>
      </c>
      <c r="C111" s="31" t="s">
        <v>486</v>
      </c>
      <c r="D111" s="9" t="s">
        <v>27</v>
      </c>
      <c r="E111" s="32">
        <v>46106.82847222222</v>
      </c>
      <c r="F111" s="33"/>
      <c r="G111" s="6"/>
      <c r="H111" s="6"/>
      <c r="I111" s="6"/>
      <c r="J111" s="6"/>
      <c r="K111" s="6"/>
      <c r="L111" s="6"/>
      <c r="M111" s="6"/>
      <c r="N111" s="6"/>
      <c r="O111" s="6"/>
      <c r="P111" s="34" t="s">
        <v>487</v>
      </c>
      <c r="Q111" s="35"/>
      <c r="R111" s="36">
        <v>1.0</v>
      </c>
      <c r="S111" s="9" t="s">
        <v>38</v>
      </c>
      <c r="T111" s="33">
        <v>46077.0</v>
      </c>
      <c r="U111" s="33">
        <v>46077.0</v>
      </c>
      <c r="V111" s="35"/>
      <c r="W111" s="35"/>
      <c r="X111" s="6"/>
      <c r="Y111" s="31" t="s">
        <v>33</v>
      </c>
      <c r="Z111" s="6"/>
      <c r="AA111" s="6"/>
      <c r="AB111" s="6"/>
      <c r="AC111" s="6"/>
      <c r="AD111" s="6"/>
      <c r="AE111" s="6"/>
    </row>
    <row r="112">
      <c r="A112" s="19">
        <f t="shared" si="2"/>
        <v>111</v>
      </c>
      <c r="B112" s="20" t="s">
        <v>488</v>
      </c>
      <c r="C112" s="20" t="s">
        <v>489</v>
      </c>
      <c r="D112" s="21" t="s">
        <v>38</v>
      </c>
      <c r="E112" s="22">
        <v>46106.82916666667</v>
      </c>
      <c r="F112" s="22">
        <v>46108.40555555555</v>
      </c>
      <c r="G112" s="25"/>
      <c r="H112" s="25"/>
      <c r="I112" s="25"/>
      <c r="J112" s="25"/>
      <c r="K112" s="25"/>
      <c r="L112" s="25"/>
      <c r="M112" s="25"/>
      <c r="N112" s="25"/>
      <c r="O112" s="25"/>
      <c r="P112" s="26" t="s">
        <v>490</v>
      </c>
      <c r="Q112" s="27" t="s">
        <v>491</v>
      </c>
      <c r="R112" s="25"/>
      <c r="S112" s="21" t="s">
        <v>38</v>
      </c>
      <c r="T112" s="28">
        <v>46077.0</v>
      </c>
      <c r="U112" s="28">
        <v>46077.0</v>
      </c>
      <c r="V112" s="29"/>
      <c r="W112" s="29"/>
      <c r="X112" s="25"/>
      <c r="Y112" s="20" t="s">
        <v>33</v>
      </c>
      <c r="Z112" s="6"/>
      <c r="AA112" s="6"/>
      <c r="AB112" s="6"/>
      <c r="AC112" s="6"/>
      <c r="AD112" s="6"/>
      <c r="AE112" s="6"/>
    </row>
    <row r="113">
      <c r="A113" s="38">
        <f t="shared" si="2"/>
        <v>112</v>
      </c>
      <c r="B113" s="59" t="s">
        <v>492</v>
      </c>
      <c r="C113" s="39" t="s">
        <v>493</v>
      </c>
      <c r="D113" s="40" t="s">
        <v>165</v>
      </c>
      <c r="E113" s="41">
        <v>46106.82916666667</v>
      </c>
      <c r="F113" s="39"/>
      <c r="G113" s="43"/>
      <c r="H113" s="59" t="s">
        <v>494</v>
      </c>
      <c r="I113" s="59"/>
      <c r="J113" s="59"/>
      <c r="K113" s="59"/>
      <c r="L113" s="59"/>
      <c r="M113" s="59"/>
      <c r="N113" s="59"/>
      <c r="O113" s="43"/>
      <c r="P113" s="51" t="s">
        <v>495</v>
      </c>
      <c r="Q113" s="45"/>
      <c r="R113" s="46">
        <v>1.0</v>
      </c>
      <c r="S113" s="40" t="s">
        <v>87</v>
      </c>
      <c r="T113" s="47">
        <v>46077.0</v>
      </c>
      <c r="U113" s="39" t="s">
        <v>32</v>
      </c>
      <c r="V113" s="52" t="s">
        <v>496</v>
      </c>
      <c r="W113" s="45"/>
      <c r="X113" s="43"/>
      <c r="Y113" s="39" t="s">
        <v>33</v>
      </c>
      <c r="Z113" s="6"/>
      <c r="AA113" s="6"/>
      <c r="AB113" s="6"/>
      <c r="AC113" s="6"/>
      <c r="AD113" s="6"/>
      <c r="AE113" s="6"/>
    </row>
    <row r="114">
      <c r="A114" s="38">
        <f t="shared" si="2"/>
        <v>113</v>
      </c>
      <c r="B114" s="59" t="s">
        <v>497</v>
      </c>
      <c r="C114" s="39" t="s">
        <v>498</v>
      </c>
      <c r="D114" s="40" t="s">
        <v>27</v>
      </c>
      <c r="E114" s="41">
        <v>46106.82916666667</v>
      </c>
      <c r="F114" s="39"/>
      <c r="G114" s="43"/>
      <c r="H114" s="59" t="s">
        <v>499</v>
      </c>
      <c r="I114" s="59"/>
      <c r="J114" s="59"/>
      <c r="K114" s="59"/>
      <c r="L114" s="59"/>
      <c r="M114" s="62"/>
      <c r="N114" s="59"/>
      <c r="O114" s="43"/>
      <c r="P114" s="51" t="s">
        <v>500</v>
      </c>
      <c r="Q114" s="45"/>
      <c r="R114" s="46">
        <v>1.0</v>
      </c>
      <c r="S114" s="40" t="s">
        <v>87</v>
      </c>
      <c r="T114" s="47">
        <v>46077.0</v>
      </c>
      <c r="U114" s="39" t="s">
        <v>32</v>
      </c>
      <c r="V114" s="52" t="s">
        <v>501</v>
      </c>
      <c r="W114" s="45"/>
      <c r="X114" s="43"/>
      <c r="Y114" s="39" t="s">
        <v>33</v>
      </c>
      <c r="Z114" s="6"/>
      <c r="AA114" s="6"/>
      <c r="AB114" s="6"/>
      <c r="AC114" s="6"/>
      <c r="AD114" s="6"/>
      <c r="AE114" s="6"/>
    </row>
    <row r="115">
      <c r="A115" s="7">
        <f t="shared" si="2"/>
        <v>114</v>
      </c>
      <c r="B115" s="11" t="s">
        <v>502</v>
      </c>
      <c r="C115" s="31" t="s">
        <v>503</v>
      </c>
      <c r="D115" s="9" t="s">
        <v>27</v>
      </c>
      <c r="E115" s="32">
        <v>46106.82916666667</v>
      </c>
      <c r="F115" s="33"/>
      <c r="G115" s="6"/>
      <c r="H115" s="11" t="s">
        <v>504</v>
      </c>
      <c r="I115" s="11"/>
      <c r="J115" s="11"/>
      <c r="K115" s="11"/>
      <c r="L115" s="11"/>
      <c r="N115" s="11"/>
      <c r="O115" s="6"/>
      <c r="P115" s="34" t="s">
        <v>505</v>
      </c>
      <c r="Q115" s="35"/>
      <c r="R115" s="36">
        <v>1.0</v>
      </c>
      <c r="S115" s="9" t="s">
        <v>38</v>
      </c>
      <c r="T115" s="33">
        <v>46077.0</v>
      </c>
      <c r="U115" s="33">
        <v>46079.0</v>
      </c>
      <c r="V115" s="35"/>
      <c r="W115" s="35"/>
      <c r="X115" s="6"/>
      <c r="Y115" s="31" t="s">
        <v>33</v>
      </c>
      <c r="Z115" s="6"/>
      <c r="AA115" s="6"/>
      <c r="AB115" s="6"/>
      <c r="AC115" s="6"/>
      <c r="AD115" s="6"/>
      <c r="AE115" s="6"/>
    </row>
    <row r="116">
      <c r="A116" s="19">
        <f t="shared" si="2"/>
        <v>115</v>
      </c>
      <c r="B116" s="20" t="s">
        <v>506</v>
      </c>
      <c r="C116" s="20" t="s">
        <v>507</v>
      </c>
      <c r="D116" s="21" t="s">
        <v>38</v>
      </c>
      <c r="E116" s="22">
        <v>46106.82916666667</v>
      </c>
      <c r="F116" s="22">
        <v>46106.95277777778</v>
      </c>
      <c r="G116" s="25"/>
      <c r="H116" s="25"/>
      <c r="I116" s="25"/>
      <c r="J116" s="25"/>
      <c r="K116" s="25"/>
      <c r="L116" s="25"/>
      <c r="M116" s="48"/>
      <c r="N116" s="25"/>
      <c r="O116" s="25"/>
      <c r="P116" s="26" t="s">
        <v>508</v>
      </c>
      <c r="Q116" s="27" t="s">
        <v>509</v>
      </c>
      <c r="R116" s="25"/>
      <c r="S116" s="21" t="s">
        <v>38</v>
      </c>
      <c r="T116" s="28">
        <v>46077.0</v>
      </c>
      <c r="U116" s="28">
        <v>46079.0</v>
      </c>
      <c r="V116" s="29"/>
      <c r="W116" s="29"/>
      <c r="X116" s="25"/>
      <c r="Y116" s="20" t="s">
        <v>33</v>
      </c>
      <c r="Z116" s="6"/>
      <c r="AA116" s="6"/>
      <c r="AB116" s="6"/>
      <c r="AC116" s="6"/>
      <c r="AD116" s="6"/>
      <c r="AE116" s="6"/>
    </row>
    <row r="117">
      <c r="A117" s="19">
        <f t="shared" si="2"/>
        <v>116</v>
      </c>
      <c r="B117" s="20" t="s">
        <v>510</v>
      </c>
      <c r="C117" s="20" t="s">
        <v>511</v>
      </c>
      <c r="D117" s="21" t="s">
        <v>38</v>
      </c>
      <c r="E117" s="22">
        <v>46106.82916666667</v>
      </c>
      <c r="F117" s="22">
        <v>46107.47222222222</v>
      </c>
      <c r="G117" s="25"/>
      <c r="H117" s="25"/>
      <c r="I117" s="25"/>
      <c r="J117" s="25"/>
      <c r="K117" s="25"/>
      <c r="L117" s="25"/>
      <c r="M117" s="48"/>
      <c r="N117" s="25"/>
      <c r="O117" s="25"/>
      <c r="P117" s="26" t="s">
        <v>512</v>
      </c>
      <c r="Q117" s="27" t="s">
        <v>513</v>
      </c>
      <c r="R117" s="25"/>
      <c r="S117" s="21" t="s">
        <v>38</v>
      </c>
      <c r="T117" s="28">
        <v>46077.0</v>
      </c>
      <c r="U117" s="28">
        <v>46077.0</v>
      </c>
      <c r="V117" s="29"/>
      <c r="W117" s="29"/>
      <c r="X117" s="25"/>
      <c r="Y117" s="20" t="s">
        <v>33</v>
      </c>
      <c r="Z117" s="6"/>
      <c r="AA117" s="6"/>
      <c r="AB117" s="6"/>
      <c r="AC117" s="6"/>
      <c r="AD117" s="6"/>
      <c r="AE117" s="6"/>
    </row>
    <row r="118">
      <c r="A118" s="19">
        <f t="shared" si="2"/>
        <v>117</v>
      </c>
      <c r="B118" s="20" t="s">
        <v>514</v>
      </c>
      <c r="C118" s="20" t="s">
        <v>515</v>
      </c>
      <c r="D118" s="21" t="s">
        <v>38</v>
      </c>
      <c r="E118" s="22">
        <v>46106.82916666667</v>
      </c>
      <c r="F118" s="22">
        <v>46106.9</v>
      </c>
      <c r="G118" s="25"/>
      <c r="H118" s="25"/>
      <c r="I118" s="25"/>
      <c r="J118" s="25"/>
      <c r="K118" s="25"/>
      <c r="L118" s="25"/>
      <c r="M118" s="48"/>
      <c r="N118" s="25"/>
      <c r="O118" s="25"/>
      <c r="P118" s="26" t="s">
        <v>516</v>
      </c>
      <c r="Q118" s="27" t="s">
        <v>517</v>
      </c>
      <c r="R118" s="25"/>
      <c r="S118" s="21" t="s">
        <v>38</v>
      </c>
      <c r="T118" s="28">
        <v>46077.0</v>
      </c>
      <c r="U118" s="28">
        <v>46077.0</v>
      </c>
      <c r="V118" s="29"/>
      <c r="W118" s="29"/>
      <c r="X118" s="25"/>
      <c r="Y118" s="20" t="s">
        <v>33</v>
      </c>
      <c r="Z118" s="6"/>
      <c r="AA118" s="6"/>
      <c r="AB118" s="6"/>
      <c r="AC118" s="6"/>
      <c r="AD118" s="6"/>
      <c r="AE118" s="6"/>
    </row>
    <row r="119">
      <c r="A119" s="38">
        <f t="shared" si="2"/>
        <v>118</v>
      </c>
      <c r="B119" s="39" t="s">
        <v>518</v>
      </c>
      <c r="C119" s="39" t="s">
        <v>519</v>
      </c>
      <c r="D119" s="40" t="s">
        <v>27</v>
      </c>
      <c r="E119" s="41">
        <v>46106.82916666667</v>
      </c>
      <c r="F119" s="39"/>
      <c r="G119" s="43"/>
      <c r="H119" s="39" t="s">
        <v>520</v>
      </c>
      <c r="I119" s="39"/>
      <c r="J119" s="39"/>
      <c r="K119" s="39"/>
      <c r="L119" s="39"/>
      <c r="M119" s="42" t="s">
        <v>30</v>
      </c>
      <c r="N119" s="39"/>
      <c r="O119" s="43"/>
      <c r="P119" s="51" t="s">
        <v>521</v>
      </c>
      <c r="Q119" s="45"/>
      <c r="R119" s="46">
        <v>1.0</v>
      </c>
      <c r="S119" s="40" t="s">
        <v>87</v>
      </c>
      <c r="T119" s="47">
        <v>46077.0</v>
      </c>
      <c r="U119" s="39" t="s">
        <v>32</v>
      </c>
      <c r="V119" s="52" t="s">
        <v>522</v>
      </c>
      <c r="W119" s="45"/>
      <c r="X119" s="43"/>
      <c r="Y119" s="39" t="s">
        <v>33</v>
      </c>
      <c r="Z119" s="6"/>
      <c r="AA119" s="6"/>
      <c r="AB119" s="6"/>
      <c r="AC119" s="6"/>
      <c r="AD119" s="6"/>
      <c r="AE119" s="6"/>
    </row>
    <row r="120">
      <c r="A120" s="7">
        <f t="shared" si="2"/>
        <v>119</v>
      </c>
      <c r="B120" s="31" t="s">
        <v>523</v>
      </c>
      <c r="C120" s="31" t="s">
        <v>524</v>
      </c>
      <c r="D120" s="9" t="s">
        <v>27</v>
      </c>
      <c r="E120" s="32">
        <v>46106.82916666667</v>
      </c>
      <c r="F120" s="33"/>
      <c r="G120" s="6"/>
      <c r="H120" s="6"/>
      <c r="I120" s="6"/>
      <c r="J120" s="6"/>
      <c r="K120" s="6"/>
      <c r="L120" s="6"/>
      <c r="M120" s="6"/>
      <c r="N120" s="6"/>
      <c r="O120" s="6"/>
      <c r="P120" s="34" t="s">
        <v>525</v>
      </c>
      <c r="Q120" s="35"/>
      <c r="R120" s="36">
        <v>1.0</v>
      </c>
      <c r="S120" s="9" t="s">
        <v>38</v>
      </c>
      <c r="T120" s="33">
        <v>46078.0</v>
      </c>
      <c r="U120" s="33">
        <v>46078.0</v>
      </c>
      <c r="V120" s="35"/>
      <c r="W120" s="35"/>
      <c r="X120" s="6"/>
      <c r="Y120" s="31" t="s">
        <v>33</v>
      </c>
      <c r="Z120" s="6"/>
      <c r="AA120" s="6"/>
      <c r="AB120" s="6"/>
      <c r="AC120" s="6"/>
      <c r="AD120" s="6"/>
      <c r="AE120" s="6"/>
    </row>
    <row r="121">
      <c r="A121" s="7">
        <f t="shared" si="2"/>
        <v>120</v>
      </c>
      <c r="B121" s="31" t="s">
        <v>526</v>
      </c>
      <c r="C121" s="31" t="s">
        <v>527</v>
      </c>
      <c r="D121" s="9" t="s">
        <v>27</v>
      </c>
      <c r="E121" s="32">
        <v>46106.82916666667</v>
      </c>
      <c r="F121" s="33"/>
      <c r="G121" s="6"/>
      <c r="H121" s="31" t="s">
        <v>528</v>
      </c>
      <c r="I121" s="31"/>
      <c r="J121" s="31"/>
      <c r="K121" s="31"/>
      <c r="L121" s="31"/>
      <c r="M121" s="37" t="s">
        <v>30</v>
      </c>
      <c r="N121" s="31"/>
      <c r="O121" s="6"/>
      <c r="P121" s="34" t="s">
        <v>529</v>
      </c>
      <c r="Q121" s="35"/>
      <c r="R121" s="36">
        <v>1.0</v>
      </c>
      <c r="S121" s="9" t="s">
        <v>38</v>
      </c>
      <c r="T121" s="33">
        <v>46078.0</v>
      </c>
      <c r="U121" s="33">
        <v>46079.0</v>
      </c>
      <c r="V121" s="35"/>
      <c r="W121" s="35"/>
      <c r="X121" s="6"/>
      <c r="Y121" s="31" t="s">
        <v>33</v>
      </c>
      <c r="Z121" s="6"/>
      <c r="AA121" s="6"/>
      <c r="AB121" s="6"/>
      <c r="AC121" s="6"/>
      <c r="AD121" s="6"/>
      <c r="AE121" s="6"/>
    </row>
    <row r="122">
      <c r="A122" s="7">
        <f t="shared" si="2"/>
        <v>121</v>
      </c>
      <c r="B122" s="31" t="s">
        <v>530</v>
      </c>
      <c r="C122" s="31" t="s">
        <v>531</v>
      </c>
      <c r="D122" s="9" t="s">
        <v>27</v>
      </c>
      <c r="E122" s="32">
        <v>46106.82986111111</v>
      </c>
      <c r="F122" s="33"/>
      <c r="G122" s="6"/>
      <c r="H122" s="31" t="s">
        <v>532</v>
      </c>
      <c r="I122" s="31"/>
      <c r="J122" s="31"/>
      <c r="K122" s="31"/>
      <c r="L122" s="31"/>
      <c r="M122" s="37" t="s">
        <v>30</v>
      </c>
      <c r="N122" s="31"/>
      <c r="O122" s="6"/>
      <c r="P122" s="34" t="s">
        <v>533</v>
      </c>
      <c r="Q122" s="35"/>
      <c r="R122" s="36">
        <v>1.0</v>
      </c>
      <c r="S122" s="9" t="s">
        <v>38</v>
      </c>
      <c r="T122" s="33">
        <v>46078.0</v>
      </c>
      <c r="U122" s="33">
        <v>46083.0</v>
      </c>
      <c r="V122" s="35"/>
      <c r="W122" s="35"/>
      <c r="X122" s="6"/>
      <c r="Y122" s="31" t="s">
        <v>33</v>
      </c>
      <c r="Z122" s="6"/>
      <c r="AA122" s="6"/>
      <c r="AB122" s="6"/>
      <c r="AC122" s="6"/>
      <c r="AD122" s="6"/>
      <c r="AE122" s="6"/>
    </row>
    <row r="123">
      <c r="A123" s="7">
        <f t="shared" si="2"/>
        <v>122</v>
      </c>
      <c r="B123" s="31" t="s">
        <v>534</v>
      </c>
      <c r="C123" s="31" t="s">
        <v>535</v>
      </c>
      <c r="D123" s="9" t="s">
        <v>27</v>
      </c>
      <c r="E123" s="32">
        <v>46106.82986111111</v>
      </c>
      <c r="F123" s="33"/>
      <c r="G123" s="6"/>
      <c r="H123" s="6"/>
      <c r="I123" s="6"/>
      <c r="J123" s="6"/>
      <c r="K123" s="6"/>
      <c r="L123" s="6"/>
      <c r="M123" s="37"/>
      <c r="N123" s="6"/>
      <c r="O123" s="6"/>
      <c r="P123" s="34" t="s">
        <v>536</v>
      </c>
      <c r="Q123" s="35"/>
      <c r="R123" s="36">
        <v>1.0</v>
      </c>
      <c r="S123" s="9" t="s">
        <v>38</v>
      </c>
      <c r="T123" s="33">
        <v>46079.0</v>
      </c>
      <c r="U123" s="33">
        <v>46079.0</v>
      </c>
      <c r="V123" s="35"/>
      <c r="W123" s="35"/>
      <c r="X123" s="6"/>
      <c r="Y123" s="31" t="s">
        <v>33</v>
      </c>
      <c r="Z123" s="6"/>
      <c r="AA123" s="6"/>
      <c r="AB123" s="6"/>
      <c r="AC123" s="6"/>
      <c r="AD123" s="6"/>
      <c r="AE123" s="6"/>
    </row>
    <row r="124">
      <c r="A124" s="19">
        <f t="shared" si="2"/>
        <v>123</v>
      </c>
      <c r="B124" s="20" t="s">
        <v>537</v>
      </c>
      <c r="C124" s="20" t="s">
        <v>538</v>
      </c>
      <c r="D124" s="21" t="s">
        <v>38</v>
      </c>
      <c r="E124" s="22">
        <v>46106.83541666667</v>
      </c>
      <c r="F124" s="22">
        <v>46111.674305555556</v>
      </c>
      <c r="G124" s="25"/>
      <c r="H124" s="20" t="s">
        <v>539</v>
      </c>
      <c r="I124" s="20"/>
      <c r="J124" s="20"/>
      <c r="K124" s="20"/>
      <c r="L124" s="20"/>
      <c r="M124" s="48" t="s">
        <v>30</v>
      </c>
      <c r="N124" s="20"/>
      <c r="O124" s="25"/>
      <c r="P124" s="26" t="s">
        <v>540</v>
      </c>
      <c r="Q124" s="27" t="s">
        <v>541</v>
      </c>
      <c r="R124" s="30">
        <v>1.0</v>
      </c>
      <c r="S124" s="21" t="s">
        <v>38</v>
      </c>
      <c r="T124" s="28">
        <v>46079.0</v>
      </c>
      <c r="U124" s="28">
        <v>46085.0</v>
      </c>
      <c r="V124" s="29"/>
      <c r="W124" s="29"/>
      <c r="X124" s="25"/>
      <c r="Y124" s="20" t="s">
        <v>33</v>
      </c>
      <c r="Z124" s="6"/>
      <c r="AA124" s="6"/>
      <c r="AB124" s="6"/>
      <c r="AC124" s="6"/>
      <c r="AD124" s="6"/>
      <c r="AE124" s="6"/>
    </row>
    <row r="125">
      <c r="A125" s="19">
        <f t="shared" si="2"/>
        <v>124</v>
      </c>
      <c r="B125" s="56" t="s">
        <v>542</v>
      </c>
      <c r="C125" s="20" t="s">
        <v>543</v>
      </c>
      <c r="D125" s="21" t="s">
        <v>38</v>
      </c>
      <c r="E125" s="22">
        <v>46106.82986111111</v>
      </c>
      <c r="F125" s="22">
        <v>46106.842361111114</v>
      </c>
      <c r="G125" s="25"/>
      <c r="H125" s="20" t="s">
        <v>544</v>
      </c>
      <c r="I125" s="20"/>
      <c r="J125" s="20"/>
      <c r="K125" s="20"/>
      <c r="L125" s="20"/>
      <c r="M125" s="48" t="s">
        <v>30</v>
      </c>
      <c r="N125" s="20"/>
      <c r="O125" s="25"/>
      <c r="P125" s="26" t="s">
        <v>545</v>
      </c>
      <c r="Q125" s="27" t="s">
        <v>546</v>
      </c>
      <c r="R125" s="25"/>
      <c r="S125" s="21" t="s">
        <v>38</v>
      </c>
      <c r="T125" s="28">
        <v>46079.0</v>
      </c>
      <c r="U125" s="28">
        <v>46079.0</v>
      </c>
      <c r="V125" s="29"/>
      <c r="W125" s="29"/>
      <c r="X125" s="25"/>
      <c r="Y125" s="20" t="s">
        <v>33</v>
      </c>
      <c r="Z125" s="6"/>
      <c r="AA125" s="6"/>
      <c r="AB125" s="6"/>
      <c r="AC125" s="6"/>
      <c r="AD125" s="6"/>
      <c r="AE125" s="6"/>
    </row>
    <row r="126">
      <c r="A126" s="19">
        <f t="shared" si="2"/>
        <v>125</v>
      </c>
      <c r="B126" s="56" t="s">
        <v>547</v>
      </c>
      <c r="C126" s="20" t="s">
        <v>548</v>
      </c>
      <c r="D126" s="21" t="s">
        <v>38</v>
      </c>
      <c r="E126" s="22">
        <v>46106.82986111111</v>
      </c>
      <c r="F126" s="22">
        <v>46107.504166666666</v>
      </c>
      <c r="G126" s="25"/>
      <c r="H126" s="20" t="s">
        <v>544</v>
      </c>
      <c r="I126" s="20"/>
      <c r="J126" s="20"/>
      <c r="K126" s="20"/>
      <c r="L126" s="20"/>
      <c r="M126" s="48" t="s">
        <v>30</v>
      </c>
      <c r="N126" s="20"/>
      <c r="O126" s="25"/>
      <c r="P126" s="26" t="s">
        <v>549</v>
      </c>
      <c r="Q126" s="27" t="s">
        <v>550</v>
      </c>
      <c r="R126" s="25"/>
      <c r="S126" s="21" t="s">
        <v>38</v>
      </c>
      <c r="T126" s="28">
        <v>46079.0</v>
      </c>
      <c r="U126" s="28">
        <v>46079.0</v>
      </c>
      <c r="V126" s="29"/>
      <c r="W126" s="29"/>
      <c r="X126" s="25"/>
      <c r="Y126" s="20" t="s">
        <v>33</v>
      </c>
      <c r="Z126" s="6"/>
      <c r="AA126" s="6"/>
      <c r="AB126" s="6"/>
      <c r="AC126" s="6"/>
      <c r="AD126" s="6"/>
      <c r="AE126" s="6"/>
    </row>
    <row r="127">
      <c r="A127" s="19">
        <f t="shared" si="2"/>
        <v>126</v>
      </c>
      <c r="B127" s="57" t="s">
        <v>551</v>
      </c>
      <c r="C127" s="57" t="s">
        <v>552</v>
      </c>
      <c r="D127" s="21" t="s">
        <v>38</v>
      </c>
      <c r="E127" s="22">
        <v>46106.82986111111</v>
      </c>
      <c r="F127" s="22">
        <v>46114.61041666667</v>
      </c>
      <c r="G127" s="25"/>
      <c r="H127" s="25"/>
      <c r="I127" s="25"/>
      <c r="J127" s="25"/>
      <c r="K127" s="25"/>
      <c r="L127" s="25"/>
      <c r="M127" s="48"/>
      <c r="N127" s="25"/>
      <c r="O127" s="25"/>
      <c r="P127" s="26" t="s">
        <v>553</v>
      </c>
      <c r="Q127" s="27" t="s">
        <v>554</v>
      </c>
      <c r="R127" s="30">
        <v>1.0</v>
      </c>
      <c r="S127" s="21" t="s">
        <v>38</v>
      </c>
      <c r="T127" s="28">
        <v>46079.0</v>
      </c>
      <c r="U127" s="28">
        <v>46083.0</v>
      </c>
      <c r="V127" s="29"/>
      <c r="W127" s="29"/>
      <c r="X127" s="25"/>
      <c r="Y127" s="20" t="s">
        <v>33</v>
      </c>
      <c r="Z127" s="6"/>
      <c r="AA127" s="6"/>
      <c r="AB127" s="6"/>
      <c r="AC127" s="6"/>
      <c r="AD127" s="6"/>
      <c r="AE127" s="6"/>
    </row>
    <row r="128">
      <c r="A128" s="19">
        <f t="shared" si="2"/>
        <v>127</v>
      </c>
      <c r="B128" s="20" t="s">
        <v>555</v>
      </c>
      <c r="C128" s="56" t="s">
        <v>556</v>
      </c>
      <c r="D128" s="21" t="s">
        <v>38</v>
      </c>
      <c r="E128" s="22">
        <v>46111.66875</v>
      </c>
      <c r="F128" s="22">
        <v>46111.916666666664</v>
      </c>
      <c r="G128" s="25"/>
      <c r="H128" s="56" t="s">
        <v>557</v>
      </c>
      <c r="I128" s="56"/>
      <c r="J128" s="56"/>
      <c r="K128" s="56"/>
      <c r="L128" s="56"/>
      <c r="M128" s="63" t="s">
        <v>30</v>
      </c>
      <c r="N128" s="56"/>
      <c r="O128" s="25"/>
      <c r="P128" s="54" t="s">
        <v>558</v>
      </c>
      <c r="Q128" s="27" t="s">
        <v>559</v>
      </c>
      <c r="R128" s="25"/>
      <c r="S128" s="21" t="s">
        <v>87</v>
      </c>
      <c r="T128" s="28">
        <v>46079.0</v>
      </c>
      <c r="U128" s="20" t="s">
        <v>32</v>
      </c>
      <c r="V128" s="55" t="s">
        <v>560</v>
      </c>
      <c r="W128" s="29"/>
      <c r="X128" s="25"/>
      <c r="Y128" s="20" t="s">
        <v>33</v>
      </c>
      <c r="Z128" s="6"/>
      <c r="AA128" s="6"/>
      <c r="AB128" s="6"/>
      <c r="AC128" s="6"/>
      <c r="AD128" s="6"/>
      <c r="AE128" s="6"/>
    </row>
    <row r="129">
      <c r="A129" s="19">
        <f t="shared" si="2"/>
        <v>128</v>
      </c>
      <c r="B129" s="57" t="s">
        <v>561</v>
      </c>
      <c r="C129" s="20" t="s">
        <v>562</v>
      </c>
      <c r="D129" s="21" t="s">
        <v>38</v>
      </c>
      <c r="E129" s="22">
        <v>46106.82986111111</v>
      </c>
      <c r="F129" s="22">
        <v>46107.45138888889</v>
      </c>
      <c r="G129" s="25"/>
      <c r="H129" s="57" t="s">
        <v>563</v>
      </c>
      <c r="I129" s="57"/>
      <c r="J129" s="57"/>
      <c r="K129" s="57"/>
      <c r="L129" s="57"/>
      <c r="M129" s="64"/>
      <c r="N129" s="57"/>
      <c r="O129" s="25"/>
      <c r="P129" s="26" t="s">
        <v>564</v>
      </c>
      <c r="Q129" s="27" t="s">
        <v>565</v>
      </c>
      <c r="R129" s="25"/>
      <c r="S129" s="21" t="s">
        <v>38</v>
      </c>
      <c r="T129" s="28">
        <v>46080.0</v>
      </c>
      <c r="U129" s="28">
        <v>46084.0</v>
      </c>
      <c r="V129" s="29"/>
      <c r="W129" s="29"/>
      <c r="X129" s="25"/>
      <c r="Y129" s="20" t="s">
        <v>33</v>
      </c>
      <c r="Z129" s="6"/>
      <c r="AA129" s="6"/>
      <c r="AB129" s="6"/>
      <c r="AC129" s="6"/>
      <c r="AD129" s="6"/>
      <c r="AE129" s="6"/>
    </row>
    <row r="130">
      <c r="A130" s="7">
        <f t="shared" si="2"/>
        <v>129</v>
      </c>
      <c r="B130" s="31" t="s">
        <v>566</v>
      </c>
      <c r="C130" s="31" t="s">
        <v>567</v>
      </c>
      <c r="D130" s="9" t="s">
        <v>27</v>
      </c>
      <c r="E130" s="32">
        <v>46106.82986111111</v>
      </c>
      <c r="F130" s="33"/>
      <c r="G130" s="6"/>
      <c r="H130" s="11" t="s">
        <v>568</v>
      </c>
      <c r="I130" s="11"/>
      <c r="J130" s="11"/>
      <c r="K130" s="11"/>
      <c r="L130" s="11"/>
      <c r="N130" s="11"/>
      <c r="O130" s="6"/>
      <c r="P130" s="34" t="s">
        <v>569</v>
      </c>
      <c r="Q130" s="35"/>
      <c r="R130" s="36">
        <v>1.0</v>
      </c>
      <c r="S130" s="9" t="s">
        <v>38</v>
      </c>
      <c r="T130" s="33">
        <v>46080.0</v>
      </c>
      <c r="U130" s="33">
        <v>46085.0</v>
      </c>
      <c r="V130" s="35"/>
      <c r="W130" s="35"/>
      <c r="X130" s="6"/>
      <c r="Y130" s="31" t="s">
        <v>33</v>
      </c>
      <c r="Z130" s="6"/>
      <c r="AA130" s="6"/>
      <c r="AB130" s="6"/>
      <c r="AC130" s="6"/>
      <c r="AD130" s="6"/>
      <c r="AE130" s="6"/>
    </row>
    <row r="131">
      <c r="A131" s="19">
        <f t="shared" si="2"/>
        <v>130</v>
      </c>
      <c r="B131" s="20" t="s">
        <v>570</v>
      </c>
      <c r="C131" s="20" t="s">
        <v>571</v>
      </c>
      <c r="D131" s="21" t="s">
        <v>38</v>
      </c>
      <c r="E131" s="22">
        <v>46106.82986111111</v>
      </c>
      <c r="F131" s="22">
        <v>46112.60138888889</v>
      </c>
      <c r="G131" s="25"/>
      <c r="H131" s="25"/>
      <c r="I131" s="25"/>
      <c r="J131" s="25"/>
      <c r="K131" s="25"/>
      <c r="L131" s="25"/>
      <c r="M131" s="25"/>
      <c r="N131" s="25"/>
      <c r="O131" s="25"/>
      <c r="P131" s="54" t="s">
        <v>572</v>
      </c>
      <c r="Q131" s="27" t="s">
        <v>573</v>
      </c>
      <c r="R131" s="25"/>
      <c r="S131" s="21" t="s">
        <v>87</v>
      </c>
      <c r="T131" s="28">
        <v>46080.0</v>
      </c>
      <c r="U131" s="20" t="s">
        <v>32</v>
      </c>
      <c r="V131" s="55" t="s">
        <v>574</v>
      </c>
      <c r="W131" s="29"/>
      <c r="X131" s="25"/>
      <c r="Y131" s="20" t="s">
        <v>33</v>
      </c>
      <c r="Z131" s="6"/>
      <c r="AA131" s="6"/>
      <c r="AB131" s="6"/>
      <c r="AC131" s="6"/>
      <c r="AD131" s="6"/>
      <c r="AE131" s="6"/>
    </row>
    <row r="132">
      <c r="A132" s="38">
        <f t="shared" si="2"/>
        <v>131</v>
      </c>
      <c r="B132" s="39" t="s">
        <v>575</v>
      </c>
      <c r="C132" s="65" t="s">
        <v>576</v>
      </c>
      <c r="D132" s="40" t="s">
        <v>27</v>
      </c>
      <c r="E132" s="41">
        <v>46106.83541666667</v>
      </c>
      <c r="F132" s="39"/>
      <c r="G132" s="43"/>
      <c r="H132" s="65" t="s">
        <v>577</v>
      </c>
      <c r="I132" s="65"/>
      <c r="J132" s="65"/>
      <c r="K132" s="65"/>
      <c r="L132" s="65"/>
      <c r="M132" s="66" t="s">
        <v>30</v>
      </c>
      <c r="N132" s="65"/>
      <c r="O132" s="43"/>
      <c r="P132" s="51" t="s">
        <v>578</v>
      </c>
      <c r="Q132" s="45"/>
      <c r="R132" s="46">
        <v>1.0</v>
      </c>
      <c r="S132" s="40" t="s">
        <v>87</v>
      </c>
      <c r="T132" s="47">
        <v>46080.0</v>
      </c>
      <c r="U132" s="39" t="s">
        <v>32</v>
      </c>
      <c r="V132" s="52" t="s">
        <v>579</v>
      </c>
      <c r="W132" s="45"/>
      <c r="X132" s="43"/>
      <c r="Y132" s="39" t="s">
        <v>33</v>
      </c>
      <c r="Z132" s="6"/>
      <c r="AA132" s="6"/>
      <c r="AB132" s="6"/>
      <c r="AC132" s="6"/>
      <c r="AD132" s="6"/>
      <c r="AE132" s="6"/>
    </row>
    <row r="133">
      <c r="A133" s="38">
        <f t="shared" si="2"/>
        <v>132</v>
      </c>
      <c r="B133" s="65" t="s">
        <v>580</v>
      </c>
      <c r="C133" s="65" t="s">
        <v>581</v>
      </c>
      <c r="D133" s="40" t="s">
        <v>27</v>
      </c>
      <c r="E133" s="41">
        <v>46106.82986111111</v>
      </c>
      <c r="F133" s="39"/>
      <c r="G133" s="43"/>
      <c r="H133" s="39" t="s">
        <v>582</v>
      </c>
      <c r="I133" s="39"/>
      <c r="J133" s="39"/>
      <c r="K133" s="39"/>
      <c r="L133" s="39"/>
      <c r="M133" s="42" t="s">
        <v>30</v>
      </c>
      <c r="N133" s="39"/>
      <c r="O133" s="43"/>
      <c r="P133" s="51" t="s">
        <v>583</v>
      </c>
      <c r="Q133" s="45"/>
      <c r="R133" s="46">
        <v>1.0</v>
      </c>
      <c r="S133" s="40" t="s">
        <v>87</v>
      </c>
      <c r="T133" s="47">
        <v>46080.0</v>
      </c>
      <c r="U133" s="39" t="s">
        <v>32</v>
      </c>
      <c r="V133" s="52" t="s">
        <v>584</v>
      </c>
      <c r="W133" s="45"/>
      <c r="X133" s="43"/>
      <c r="Y133" s="39" t="s">
        <v>33</v>
      </c>
      <c r="Z133" s="6"/>
      <c r="AA133" s="6"/>
      <c r="AB133" s="6"/>
      <c r="AC133" s="6"/>
      <c r="AD133" s="6"/>
      <c r="AE133" s="6"/>
    </row>
    <row r="134">
      <c r="A134" s="38">
        <f t="shared" si="2"/>
        <v>133</v>
      </c>
      <c r="B134" s="65" t="s">
        <v>585</v>
      </c>
      <c r="C134" s="65" t="s">
        <v>586</v>
      </c>
      <c r="D134" s="40" t="s">
        <v>27</v>
      </c>
      <c r="E134" s="41">
        <v>46106.830555555556</v>
      </c>
      <c r="F134" s="39"/>
      <c r="G134" s="43"/>
      <c r="H134" s="39" t="s">
        <v>582</v>
      </c>
      <c r="I134" s="39"/>
      <c r="J134" s="39"/>
      <c r="K134" s="39"/>
      <c r="L134" s="39"/>
      <c r="M134" s="42" t="s">
        <v>30</v>
      </c>
      <c r="N134" s="39"/>
      <c r="O134" s="43"/>
      <c r="P134" s="51" t="s">
        <v>587</v>
      </c>
      <c r="Q134" s="45"/>
      <c r="R134" s="46">
        <v>1.0</v>
      </c>
      <c r="S134" s="40" t="s">
        <v>87</v>
      </c>
      <c r="T134" s="47">
        <v>46080.0</v>
      </c>
      <c r="U134" s="39" t="s">
        <v>32</v>
      </c>
      <c r="V134" s="52" t="s">
        <v>588</v>
      </c>
      <c r="W134" s="45"/>
      <c r="X134" s="43"/>
      <c r="Y134" s="39" t="s">
        <v>33</v>
      </c>
      <c r="Z134" s="6"/>
      <c r="AA134" s="6"/>
      <c r="AB134" s="6"/>
      <c r="AC134" s="6"/>
      <c r="AD134" s="6"/>
      <c r="AE134" s="6"/>
    </row>
    <row r="135">
      <c r="A135" s="19">
        <f t="shared" si="2"/>
        <v>134</v>
      </c>
      <c r="B135" s="56" t="s">
        <v>589</v>
      </c>
      <c r="C135" s="56" t="s">
        <v>590</v>
      </c>
      <c r="D135" s="21" t="s">
        <v>38</v>
      </c>
      <c r="E135" s="22">
        <v>46106.830555555556</v>
      </c>
      <c r="F135" s="22">
        <v>46114.629166666666</v>
      </c>
      <c r="G135" s="25"/>
      <c r="H135" s="56" t="s">
        <v>591</v>
      </c>
      <c r="I135" s="56"/>
      <c r="J135" s="56"/>
      <c r="K135" s="56"/>
      <c r="L135" s="56"/>
      <c r="M135" s="63" t="s">
        <v>30</v>
      </c>
      <c r="N135" s="56"/>
      <c r="O135" s="25"/>
      <c r="P135" s="26" t="s">
        <v>592</v>
      </c>
      <c r="Q135" s="27" t="s">
        <v>593</v>
      </c>
      <c r="R135" s="30">
        <v>1.0</v>
      </c>
      <c r="S135" s="21" t="s">
        <v>38</v>
      </c>
      <c r="T135" s="28">
        <v>46080.0</v>
      </c>
      <c r="U135" s="28">
        <v>46080.0</v>
      </c>
      <c r="V135" s="29"/>
      <c r="W135" s="29"/>
      <c r="X135" s="25"/>
      <c r="Y135" s="20" t="s">
        <v>33</v>
      </c>
      <c r="Z135" s="6"/>
      <c r="AA135" s="6"/>
      <c r="AB135" s="6"/>
      <c r="AC135" s="6"/>
      <c r="AD135" s="6"/>
      <c r="AE135" s="6"/>
    </row>
    <row r="136">
      <c r="A136" s="19">
        <f t="shared" si="2"/>
        <v>135</v>
      </c>
      <c r="B136" s="56" t="s">
        <v>594</v>
      </c>
      <c r="C136" s="56" t="s">
        <v>595</v>
      </c>
      <c r="D136" s="21" t="s">
        <v>38</v>
      </c>
      <c r="E136" s="22">
        <v>46106.830555555556</v>
      </c>
      <c r="F136" s="22">
        <v>46107.347916666666</v>
      </c>
      <c r="G136" s="25"/>
      <c r="H136" s="56" t="s">
        <v>596</v>
      </c>
      <c r="I136" s="56"/>
      <c r="J136" s="56"/>
      <c r="K136" s="56"/>
      <c r="L136" s="56"/>
      <c r="M136" s="63" t="s">
        <v>30</v>
      </c>
      <c r="N136" s="56"/>
      <c r="O136" s="25"/>
      <c r="P136" s="26" t="s">
        <v>597</v>
      </c>
      <c r="Q136" s="27" t="s">
        <v>598</v>
      </c>
      <c r="R136" s="25"/>
      <c r="S136" s="21" t="s">
        <v>38</v>
      </c>
      <c r="T136" s="28">
        <v>46083.0</v>
      </c>
      <c r="U136" s="28">
        <v>46092.0</v>
      </c>
      <c r="V136" s="29"/>
      <c r="W136" s="29"/>
      <c r="X136" s="25"/>
      <c r="Y136" s="20" t="s">
        <v>33</v>
      </c>
      <c r="Z136" s="6"/>
      <c r="AA136" s="6"/>
      <c r="AB136" s="6"/>
      <c r="AC136" s="6"/>
      <c r="AD136" s="6"/>
      <c r="AE136" s="6"/>
    </row>
    <row r="137">
      <c r="A137" s="38">
        <f t="shared" si="2"/>
        <v>136</v>
      </c>
      <c r="B137" s="59" t="s">
        <v>599</v>
      </c>
      <c r="C137" s="39" t="s">
        <v>600</v>
      </c>
      <c r="D137" s="40" t="s">
        <v>27</v>
      </c>
      <c r="E137" s="41">
        <v>46106.830555555556</v>
      </c>
      <c r="F137" s="39"/>
      <c r="G137" s="43"/>
      <c r="H137" s="59" t="s">
        <v>601</v>
      </c>
      <c r="I137" s="59"/>
      <c r="J137" s="59"/>
      <c r="K137" s="59"/>
      <c r="L137" s="59"/>
      <c r="M137" s="62"/>
      <c r="N137" s="59"/>
      <c r="O137" s="43"/>
      <c r="P137" s="51" t="s">
        <v>602</v>
      </c>
      <c r="Q137" s="45"/>
      <c r="R137" s="46">
        <v>1.0</v>
      </c>
      <c r="S137" s="40" t="s">
        <v>87</v>
      </c>
      <c r="T137" s="47">
        <v>46083.0</v>
      </c>
      <c r="U137" s="39" t="s">
        <v>32</v>
      </c>
      <c r="V137" s="52" t="s">
        <v>603</v>
      </c>
      <c r="W137" s="45"/>
      <c r="X137" s="43"/>
      <c r="Y137" s="39" t="s">
        <v>33</v>
      </c>
      <c r="Z137" s="6"/>
      <c r="AA137" s="6"/>
      <c r="AB137" s="6"/>
      <c r="AC137" s="6"/>
      <c r="AD137" s="6"/>
      <c r="AE137" s="6"/>
    </row>
    <row r="138">
      <c r="A138" s="38">
        <f t="shared" si="2"/>
        <v>137</v>
      </c>
      <c r="B138" s="59" t="s">
        <v>604</v>
      </c>
      <c r="C138" s="39" t="s">
        <v>605</v>
      </c>
      <c r="D138" s="40" t="s">
        <v>27</v>
      </c>
      <c r="E138" s="41">
        <v>46106.830555555556</v>
      </c>
      <c r="F138" s="39"/>
      <c r="G138" s="43"/>
      <c r="H138" s="59" t="s">
        <v>606</v>
      </c>
      <c r="I138" s="59"/>
      <c r="J138" s="59"/>
      <c r="K138" s="59"/>
      <c r="L138" s="59"/>
      <c r="M138" s="62"/>
      <c r="N138" s="59"/>
      <c r="O138" s="43"/>
      <c r="P138" s="51" t="s">
        <v>607</v>
      </c>
      <c r="Q138" s="45"/>
      <c r="R138" s="46">
        <v>1.0</v>
      </c>
      <c r="S138" s="40" t="s">
        <v>87</v>
      </c>
      <c r="T138" s="47">
        <v>46083.0</v>
      </c>
      <c r="U138" s="39" t="s">
        <v>32</v>
      </c>
      <c r="V138" s="52" t="s">
        <v>608</v>
      </c>
      <c r="W138" s="45"/>
      <c r="X138" s="43"/>
      <c r="Y138" s="39" t="s">
        <v>33</v>
      </c>
      <c r="Z138" s="6"/>
      <c r="AA138" s="6"/>
      <c r="AB138" s="6"/>
      <c r="AC138" s="6"/>
      <c r="AD138" s="6"/>
      <c r="AE138" s="6"/>
    </row>
    <row r="139">
      <c r="A139" s="38">
        <f t="shared" si="2"/>
        <v>138</v>
      </c>
      <c r="B139" s="67" t="s">
        <v>609</v>
      </c>
      <c r="C139" s="67" t="s">
        <v>610</v>
      </c>
      <c r="D139" s="40" t="s">
        <v>85</v>
      </c>
      <c r="E139" s="41">
        <v>46106.830555555556</v>
      </c>
      <c r="F139" s="39"/>
      <c r="G139" s="43"/>
      <c r="H139" s="39" t="s">
        <v>611</v>
      </c>
      <c r="I139" s="39"/>
      <c r="J139" s="39"/>
      <c r="K139" s="39"/>
      <c r="L139" s="39"/>
      <c r="M139" s="42" t="s">
        <v>30</v>
      </c>
      <c r="N139" s="39"/>
      <c r="O139" s="43"/>
      <c r="P139" s="51" t="s">
        <v>612</v>
      </c>
      <c r="Q139" s="45"/>
      <c r="R139" s="43"/>
      <c r="S139" s="40" t="s">
        <v>87</v>
      </c>
      <c r="T139" s="47">
        <v>46084.0</v>
      </c>
      <c r="U139" s="39" t="s">
        <v>32</v>
      </c>
      <c r="V139" s="52" t="s">
        <v>613</v>
      </c>
      <c r="W139" s="45"/>
      <c r="X139" s="43"/>
      <c r="Y139" s="39" t="s">
        <v>33</v>
      </c>
      <c r="Z139" s="6"/>
      <c r="AA139" s="6"/>
      <c r="AB139" s="6"/>
      <c r="AC139" s="6"/>
      <c r="AD139" s="6"/>
      <c r="AE139" s="6"/>
    </row>
    <row r="140">
      <c r="A140" s="19">
        <f t="shared" si="2"/>
        <v>139</v>
      </c>
      <c r="B140" s="68" t="s">
        <v>614</v>
      </c>
      <c r="C140" s="68" t="s">
        <v>615</v>
      </c>
      <c r="D140" s="21" t="s">
        <v>38</v>
      </c>
      <c r="E140" s="22">
        <v>46106.830555555556</v>
      </c>
      <c r="F140" s="22">
        <v>46107.68125</v>
      </c>
      <c r="G140" s="25"/>
      <c r="H140" s="20" t="s">
        <v>616</v>
      </c>
      <c r="I140" s="20"/>
      <c r="J140" s="20"/>
      <c r="K140" s="20"/>
      <c r="L140" s="20"/>
      <c r="M140" s="48" t="s">
        <v>30</v>
      </c>
      <c r="N140" s="20"/>
      <c r="O140" s="25"/>
      <c r="P140" s="26" t="s">
        <v>617</v>
      </c>
      <c r="Q140" s="27" t="s">
        <v>618</v>
      </c>
      <c r="R140" s="25"/>
      <c r="S140" s="21" t="s">
        <v>38</v>
      </c>
      <c r="T140" s="28">
        <v>46084.0</v>
      </c>
      <c r="U140" s="28">
        <v>46085.0</v>
      </c>
      <c r="V140" s="29"/>
      <c r="W140" s="29"/>
      <c r="X140" s="25"/>
      <c r="Y140" s="20" t="s">
        <v>33</v>
      </c>
      <c r="Z140" s="6"/>
      <c r="AA140" s="6"/>
      <c r="AB140" s="6"/>
      <c r="AC140" s="6"/>
      <c r="AD140" s="6"/>
      <c r="AE140" s="6"/>
    </row>
    <row r="141">
      <c r="A141" s="38">
        <f t="shared" si="2"/>
        <v>140</v>
      </c>
      <c r="B141" s="67" t="s">
        <v>619</v>
      </c>
      <c r="C141" s="67" t="s">
        <v>620</v>
      </c>
      <c r="D141" s="40" t="s">
        <v>27</v>
      </c>
      <c r="E141" s="41">
        <v>46106.830555555556</v>
      </c>
      <c r="F141" s="39"/>
      <c r="G141" s="43"/>
      <c r="H141" s="69" t="s">
        <v>621</v>
      </c>
      <c r="I141" s="67"/>
      <c r="J141" s="67"/>
      <c r="K141" s="67"/>
      <c r="L141" s="67"/>
      <c r="M141" s="70" t="s">
        <v>30</v>
      </c>
      <c r="N141" s="67"/>
      <c r="O141" s="43"/>
      <c r="P141" s="51" t="s">
        <v>622</v>
      </c>
      <c r="Q141" s="45"/>
      <c r="R141" s="46">
        <v>1.0</v>
      </c>
      <c r="S141" s="40" t="s">
        <v>87</v>
      </c>
      <c r="T141" s="47">
        <v>46084.0</v>
      </c>
      <c r="U141" s="39" t="s">
        <v>32</v>
      </c>
      <c r="V141" s="52" t="s">
        <v>623</v>
      </c>
      <c r="W141" s="45"/>
      <c r="X141" s="43"/>
      <c r="Y141" s="39" t="s">
        <v>33</v>
      </c>
      <c r="Z141" s="6"/>
      <c r="AA141" s="6"/>
      <c r="AB141" s="6"/>
      <c r="AC141" s="6"/>
      <c r="AD141" s="6"/>
      <c r="AE141" s="6"/>
    </row>
    <row r="142">
      <c r="A142" s="38">
        <f t="shared" si="2"/>
        <v>141</v>
      </c>
      <c r="B142" s="67" t="s">
        <v>624</v>
      </c>
      <c r="C142" s="67" t="s">
        <v>625</v>
      </c>
      <c r="D142" s="40" t="s">
        <v>27</v>
      </c>
      <c r="E142" s="41">
        <v>46106.830555555556</v>
      </c>
      <c r="F142" s="39"/>
      <c r="G142" s="43"/>
      <c r="H142" s="39" t="s">
        <v>626</v>
      </c>
      <c r="I142" s="39"/>
      <c r="J142" s="39"/>
      <c r="K142" s="39"/>
      <c r="L142" s="39"/>
      <c r="M142" s="42" t="s">
        <v>30</v>
      </c>
      <c r="N142" s="39"/>
      <c r="O142" s="43"/>
      <c r="P142" s="51" t="s">
        <v>627</v>
      </c>
      <c r="Q142" s="45"/>
      <c r="R142" s="46">
        <v>1.0</v>
      </c>
      <c r="S142" s="40" t="s">
        <v>87</v>
      </c>
      <c r="T142" s="47">
        <v>46084.0</v>
      </c>
      <c r="U142" s="39" t="s">
        <v>32</v>
      </c>
      <c r="V142" s="52" t="s">
        <v>628</v>
      </c>
      <c r="W142" s="45"/>
      <c r="X142" s="43"/>
      <c r="Y142" s="39" t="s">
        <v>33</v>
      </c>
      <c r="Z142" s="6"/>
      <c r="AA142" s="6"/>
      <c r="AB142" s="6"/>
      <c r="AC142" s="6"/>
      <c r="AD142" s="6"/>
      <c r="AE142" s="6"/>
    </row>
    <row r="143">
      <c r="A143" s="7">
        <f t="shared" si="2"/>
        <v>142</v>
      </c>
      <c r="B143" s="71" t="s">
        <v>629</v>
      </c>
      <c r="C143" s="71" t="s">
        <v>630</v>
      </c>
      <c r="D143" s="9" t="s">
        <v>27</v>
      </c>
      <c r="E143" s="32">
        <v>46106.830555555556</v>
      </c>
      <c r="F143" s="33"/>
      <c r="G143" s="6"/>
      <c r="H143" s="72" t="s">
        <v>631</v>
      </c>
      <c r="I143" s="71"/>
      <c r="J143" s="71"/>
      <c r="K143" s="71"/>
      <c r="L143" s="71"/>
      <c r="M143" s="73" t="s">
        <v>30</v>
      </c>
      <c r="N143" s="71"/>
      <c r="O143" s="6"/>
      <c r="P143" s="34" t="s">
        <v>632</v>
      </c>
      <c r="Q143" s="35"/>
      <c r="R143" s="36">
        <v>1.0</v>
      </c>
      <c r="S143" s="9" t="s">
        <v>38</v>
      </c>
      <c r="T143" s="33">
        <v>46084.0</v>
      </c>
      <c r="U143" s="33">
        <v>46087.0</v>
      </c>
      <c r="V143" s="35"/>
      <c r="W143" s="35"/>
      <c r="X143" s="6"/>
      <c r="Y143" s="31" t="s">
        <v>33</v>
      </c>
      <c r="Z143" s="6"/>
      <c r="AA143" s="6"/>
      <c r="AB143" s="6"/>
      <c r="AC143" s="6"/>
      <c r="AD143" s="6"/>
      <c r="AE143" s="6"/>
    </row>
    <row r="144">
      <c r="A144" s="7">
        <f t="shared" si="2"/>
        <v>143</v>
      </c>
      <c r="B144" s="72" t="s">
        <v>633</v>
      </c>
      <c r="C144" s="71" t="s">
        <v>634</v>
      </c>
      <c r="D144" s="9" t="s">
        <v>27</v>
      </c>
      <c r="E144" s="32">
        <v>46106.830555555556</v>
      </c>
      <c r="F144" s="33"/>
      <c r="G144" s="6"/>
      <c r="H144" s="71" t="s">
        <v>635</v>
      </c>
      <c r="I144" s="71"/>
      <c r="J144" s="71"/>
      <c r="K144" s="71"/>
      <c r="L144" s="71"/>
      <c r="M144" s="73" t="s">
        <v>30</v>
      </c>
      <c r="N144" s="71"/>
      <c r="O144" s="6"/>
      <c r="P144" s="34" t="s">
        <v>636</v>
      </c>
      <c r="Q144" s="35"/>
      <c r="R144" s="36">
        <v>1.0</v>
      </c>
      <c r="S144" s="9" t="s">
        <v>38</v>
      </c>
      <c r="T144" s="33">
        <v>46084.0</v>
      </c>
      <c r="U144" s="33">
        <v>46084.0</v>
      </c>
      <c r="V144" s="35"/>
      <c r="W144" s="35"/>
      <c r="X144" s="6"/>
      <c r="Y144" s="31" t="s">
        <v>33</v>
      </c>
      <c r="Z144" s="6"/>
      <c r="AA144" s="6"/>
      <c r="AB144" s="6"/>
      <c r="AC144" s="6"/>
      <c r="AD144" s="6"/>
      <c r="AE144" s="6"/>
    </row>
    <row r="145">
      <c r="A145" s="19">
        <f t="shared" si="2"/>
        <v>144</v>
      </c>
      <c r="B145" s="68" t="s">
        <v>637</v>
      </c>
      <c r="C145" s="68" t="s">
        <v>638</v>
      </c>
      <c r="D145" s="21" t="s">
        <v>38</v>
      </c>
      <c r="E145" s="22">
        <v>46106.83125</v>
      </c>
      <c r="F145" s="22">
        <v>46107.58611111111</v>
      </c>
      <c r="G145" s="25"/>
      <c r="H145" s="68" t="s">
        <v>639</v>
      </c>
      <c r="I145" s="68"/>
      <c r="J145" s="68"/>
      <c r="K145" s="68"/>
      <c r="L145" s="68"/>
      <c r="M145" s="74" t="s">
        <v>30</v>
      </c>
      <c r="N145" s="68"/>
      <c r="O145" s="25"/>
      <c r="P145" s="26" t="s">
        <v>640</v>
      </c>
      <c r="Q145" s="27" t="s">
        <v>641</v>
      </c>
      <c r="R145" s="25"/>
      <c r="S145" s="21" t="s">
        <v>38</v>
      </c>
      <c r="T145" s="28">
        <v>46084.0</v>
      </c>
      <c r="U145" s="28">
        <v>46085.0</v>
      </c>
      <c r="V145" s="29"/>
      <c r="W145" s="29"/>
      <c r="X145" s="25"/>
      <c r="Y145" s="20" t="s">
        <v>33</v>
      </c>
      <c r="Z145" s="6"/>
      <c r="AA145" s="6"/>
      <c r="AB145" s="6"/>
      <c r="AC145" s="6"/>
      <c r="AD145" s="6"/>
      <c r="AE145" s="6"/>
    </row>
    <row r="146">
      <c r="A146" s="38">
        <f t="shared" si="2"/>
        <v>145</v>
      </c>
      <c r="B146" s="67" t="s">
        <v>642</v>
      </c>
      <c r="C146" s="67" t="s">
        <v>643</v>
      </c>
      <c r="D146" s="40" t="s">
        <v>27</v>
      </c>
      <c r="E146" s="41">
        <v>46106.83125</v>
      </c>
      <c r="F146" s="39"/>
      <c r="G146" s="43"/>
      <c r="H146" s="67" t="s">
        <v>639</v>
      </c>
      <c r="I146" s="67"/>
      <c r="J146" s="67"/>
      <c r="K146" s="67"/>
      <c r="L146" s="67"/>
      <c r="M146" s="70" t="s">
        <v>30</v>
      </c>
      <c r="N146" s="67"/>
      <c r="O146" s="43"/>
      <c r="P146" s="51" t="s">
        <v>644</v>
      </c>
      <c r="Q146" s="45"/>
      <c r="R146" s="46">
        <v>1.0</v>
      </c>
      <c r="S146" s="40" t="s">
        <v>87</v>
      </c>
      <c r="T146" s="47">
        <v>46084.0</v>
      </c>
      <c r="U146" s="39" t="s">
        <v>32</v>
      </c>
      <c r="V146" s="52" t="s">
        <v>645</v>
      </c>
      <c r="W146" s="45"/>
      <c r="X146" s="43"/>
      <c r="Y146" s="39" t="s">
        <v>33</v>
      </c>
      <c r="Z146" s="6"/>
      <c r="AA146" s="6"/>
      <c r="AB146" s="6"/>
      <c r="AC146" s="6"/>
      <c r="AD146" s="6"/>
      <c r="AE146" s="6"/>
    </row>
    <row r="147">
      <c r="A147" s="19">
        <f t="shared" si="2"/>
        <v>146</v>
      </c>
      <c r="B147" s="75" t="s">
        <v>646</v>
      </c>
      <c r="C147" s="75" t="s">
        <v>647</v>
      </c>
      <c r="D147" s="21" t="s">
        <v>38</v>
      </c>
      <c r="E147" s="22">
        <v>46106.83125</v>
      </c>
      <c r="F147" s="22">
        <v>46107.65625</v>
      </c>
      <c r="G147" s="25"/>
      <c r="H147" s="75" t="s">
        <v>648</v>
      </c>
      <c r="I147" s="75"/>
      <c r="J147" s="75"/>
      <c r="K147" s="75"/>
      <c r="L147" s="75"/>
      <c r="M147" s="74" t="s">
        <v>30</v>
      </c>
      <c r="N147" s="75"/>
      <c r="O147" s="25"/>
      <c r="P147" s="26" t="s">
        <v>649</v>
      </c>
      <c r="Q147" s="27" t="s">
        <v>650</v>
      </c>
      <c r="R147" s="25"/>
      <c r="S147" s="21" t="s">
        <v>38</v>
      </c>
      <c r="T147" s="28">
        <v>46084.0</v>
      </c>
      <c r="U147" s="28">
        <v>46084.0</v>
      </c>
      <c r="V147" s="29"/>
      <c r="W147" s="29"/>
      <c r="X147" s="25"/>
      <c r="Y147" s="20" t="s">
        <v>33</v>
      </c>
      <c r="Z147" s="6"/>
      <c r="AA147" s="6"/>
      <c r="AB147" s="6"/>
      <c r="AC147" s="6"/>
      <c r="AD147" s="6"/>
      <c r="AE147" s="6"/>
    </row>
    <row r="148">
      <c r="A148" s="38">
        <f t="shared" si="2"/>
        <v>147</v>
      </c>
      <c r="B148" s="69" t="s">
        <v>651</v>
      </c>
      <c r="C148" s="69" t="s">
        <v>652</v>
      </c>
      <c r="D148" s="40" t="s">
        <v>27</v>
      </c>
      <c r="E148" s="41">
        <v>46106.83125</v>
      </c>
      <c r="F148" s="39"/>
      <c r="G148" s="43"/>
      <c r="H148" s="69" t="s">
        <v>653</v>
      </c>
      <c r="I148" s="69"/>
      <c r="J148" s="69"/>
      <c r="K148" s="69"/>
      <c r="L148" s="69"/>
      <c r="M148" s="70" t="s">
        <v>30</v>
      </c>
      <c r="N148" s="69"/>
      <c r="O148" s="43"/>
      <c r="P148" s="51" t="s">
        <v>654</v>
      </c>
      <c r="Q148" s="45"/>
      <c r="R148" s="46">
        <v>1.0</v>
      </c>
      <c r="S148" s="40" t="s">
        <v>87</v>
      </c>
      <c r="T148" s="47">
        <v>46084.0</v>
      </c>
      <c r="U148" s="39" t="s">
        <v>32</v>
      </c>
      <c r="V148" s="52" t="s">
        <v>655</v>
      </c>
      <c r="W148" s="45"/>
      <c r="X148" s="43"/>
      <c r="Y148" s="39" t="s">
        <v>33</v>
      </c>
      <c r="Z148" s="6"/>
      <c r="AA148" s="6"/>
      <c r="AB148" s="6"/>
      <c r="AC148" s="6"/>
      <c r="AD148" s="6"/>
      <c r="AE148" s="6"/>
    </row>
    <row r="149">
      <c r="A149" s="7">
        <f t="shared" si="2"/>
        <v>148</v>
      </c>
      <c r="B149" s="76" t="s">
        <v>656</v>
      </c>
      <c r="C149" s="76" t="s">
        <v>657</v>
      </c>
      <c r="D149" s="9" t="s">
        <v>27</v>
      </c>
      <c r="E149" s="32">
        <v>46106.83125</v>
      </c>
      <c r="F149" s="33"/>
      <c r="G149" s="6"/>
      <c r="H149" s="76" t="s">
        <v>658</v>
      </c>
      <c r="I149" s="76"/>
      <c r="J149" s="76"/>
      <c r="K149" s="76"/>
      <c r="L149" s="76"/>
      <c r="M149" s="77"/>
      <c r="N149" s="76"/>
      <c r="O149" s="6"/>
      <c r="P149" s="34" t="s">
        <v>659</v>
      </c>
      <c r="Q149" s="35"/>
      <c r="R149" s="36">
        <v>1.0</v>
      </c>
      <c r="S149" s="9" t="s">
        <v>38</v>
      </c>
      <c r="T149" s="33">
        <v>46084.0</v>
      </c>
      <c r="U149" s="33">
        <v>46097.0</v>
      </c>
      <c r="V149" s="35"/>
      <c r="W149" s="35"/>
      <c r="X149" s="6"/>
      <c r="Y149" s="31" t="s">
        <v>33</v>
      </c>
      <c r="Z149" s="6"/>
      <c r="AA149" s="6"/>
      <c r="AB149" s="6"/>
      <c r="AC149" s="6"/>
      <c r="AD149" s="6"/>
      <c r="AE149" s="6"/>
    </row>
    <row r="150">
      <c r="A150" s="7">
        <f t="shared" si="2"/>
        <v>149</v>
      </c>
      <c r="B150" s="76" t="s">
        <v>660</v>
      </c>
      <c r="C150" s="76" t="s">
        <v>661</v>
      </c>
      <c r="D150" s="9" t="s">
        <v>27</v>
      </c>
      <c r="E150" s="32">
        <v>46106.83125</v>
      </c>
      <c r="F150" s="33"/>
      <c r="G150" s="6"/>
      <c r="H150" s="6"/>
      <c r="I150" s="6"/>
      <c r="J150" s="6"/>
      <c r="K150" s="6"/>
      <c r="L150" s="6"/>
      <c r="M150" s="37"/>
      <c r="N150" s="6"/>
      <c r="O150" s="6"/>
      <c r="P150" s="34" t="s">
        <v>662</v>
      </c>
      <c r="Q150" s="35"/>
      <c r="R150" s="36">
        <v>1.0</v>
      </c>
      <c r="S150" s="9" t="s">
        <v>38</v>
      </c>
      <c r="T150" s="33">
        <v>46084.0</v>
      </c>
      <c r="U150" s="33">
        <v>46086.0</v>
      </c>
      <c r="V150" s="35"/>
      <c r="W150" s="35"/>
      <c r="X150" s="6"/>
      <c r="Y150" s="31" t="s">
        <v>33</v>
      </c>
      <c r="Z150" s="6"/>
      <c r="AA150" s="6"/>
      <c r="AB150" s="6"/>
      <c r="AC150" s="6"/>
      <c r="AD150" s="6"/>
      <c r="AE150" s="6"/>
    </row>
    <row r="151">
      <c r="A151" s="38">
        <f t="shared" si="2"/>
        <v>150</v>
      </c>
      <c r="B151" s="78" t="s">
        <v>663</v>
      </c>
      <c r="C151" s="59" t="s">
        <v>664</v>
      </c>
      <c r="D151" s="40" t="s">
        <v>27</v>
      </c>
      <c r="E151" s="41">
        <v>46106.83125</v>
      </c>
      <c r="F151" s="39"/>
      <c r="G151" s="43"/>
      <c r="H151" s="43"/>
      <c r="I151" s="43"/>
      <c r="J151" s="43"/>
      <c r="K151" s="43"/>
      <c r="L151" s="43"/>
      <c r="M151" s="42"/>
      <c r="N151" s="43"/>
      <c r="O151" s="43"/>
      <c r="P151" s="51" t="s">
        <v>665</v>
      </c>
      <c r="Q151" s="45"/>
      <c r="R151" s="46">
        <v>1.0</v>
      </c>
      <c r="S151" s="40" t="s">
        <v>87</v>
      </c>
      <c r="T151" s="47">
        <v>46084.0</v>
      </c>
      <c r="U151" s="39" t="s">
        <v>32</v>
      </c>
      <c r="V151" s="52" t="s">
        <v>666</v>
      </c>
      <c r="W151" s="45"/>
      <c r="X151" s="43"/>
      <c r="Y151" s="39" t="s">
        <v>33</v>
      </c>
      <c r="Z151" s="6"/>
      <c r="AA151" s="6"/>
      <c r="AB151" s="6"/>
      <c r="AC151" s="6"/>
      <c r="AD151" s="6"/>
      <c r="AE151" s="6"/>
    </row>
    <row r="152">
      <c r="A152" s="19">
        <f t="shared" si="2"/>
        <v>151</v>
      </c>
      <c r="B152" s="79" t="s">
        <v>667</v>
      </c>
      <c r="C152" s="20" t="s">
        <v>668</v>
      </c>
      <c r="D152" s="21" t="s">
        <v>38</v>
      </c>
      <c r="E152" s="22">
        <v>46106.83541666667</v>
      </c>
      <c r="F152" s="22">
        <v>46114.67152777778</v>
      </c>
      <c r="G152" s="25"/>
      <c r="H152" s="25"/>
      <c r="I152" s="25"/>
      <c r="J152" s="25"/>
      <c r="K152" s="25"/>
      <c r="L152" s="25"/>
      <c r="M152" s="48"/>
      <c r="N152" s="25"/>
      <c r="O152" s="25"/>
      <c r="P152" s="54" t="s">
        <v>669</v>
      </c>
      <c r="Q152" s="27" t="s">
        <v>670</v>
      </c>
      <c r="R152" s="30">
        <v>1.0</v>
      </c>
      <c r="S152" s="21" t="s">
        <v>87</v>
      </c>
      <c r="T152" s="28">
        <v>46085.0</v>
      </c>
      <c r="U152" s="20" t="s">
        <v>32</v>
      </c>
      <c r="V152" s="55" t="s">
        <v>671</v>
      </c>
      <c r="W152" s="29"/>
      <c r="X152" s="25"/>
      <c r="Y152" s="20" t="s">
        <v>33</v>
      </c>
      <c r="Z152" s="6"/>
      <c r="AA152" s="6"/>
      <c r="AB152" s="6"/>
      <c r="AC152" s="6"/>
      <c r="AD152" s="6"/>
      <c r="AE152" s="6"/>
    </row>
    <row r="153">
      <c r="A153" s="7">
        <f t="shared" si="2"/>
        <v>152</v>
      </c>
      <c r="B153" s="31" t="s">
        <v>672</v>
      </c>
      <c r="C153" s="31" t="s">
        <v>673</v>
      </c>
      <c r="D153" s="9" t="s">
        <v>27</v>
      </c>
      <c r="E153" s="32">
        <v>46106.83125</v>
      </c>
      <c r="F153" s="33"/>
      <c r="G153" s="6"/>
      <c r="H153" s="6"/>
      <c r="I153" s="6"/>
      <c r="J153" s="6"/>
      <c r="K153" s="6"/>
      <c r="L153" s="6"/>
      <c r="M153" s="37"/>
      <c r="N153" s="6"/>
      <c r="O153" s="6"/>
      <c r="P153" s="34" t="s">
        <v>674</v>
      </c>
      <c r="Q153" s="35"/>
      <c r="R153" s="36">
        <v>1.0</v>
      </c>
      <c r="S153" s="9" t="s">
        <v>38</v>
      </c>
      <c r="T153" s="33">
        <v>46085.0</v>
      </c>
      <c r="U153" s="33">
        <v>46085.0</v>
      </c>
      <c r="V153" s="35"/>
      <c r="W153" s="35"/>
      <c r="X153" s="6"/>
      <c r="Y153" s="31" t="s">
        <v>33</v>
      </c>
      <c r="Z153" s="6"/>
      <c r="AA153" s="6"/>
      <c r="AB153" s="6"/>
      <c r="AC153" s="6"/>
      <c r="AD153" s="6"/>
      <c r="AE153" s="6"/>
    </row>
    <row r="154">
      <c r="A154" s="38">
        <f t="shared" si="2"/>
        <v>153</v>
      </c>
      <c r="B154" s="69" t="s">
        <v>675</v>
      </c>
      <c r="C154" s="69" t="s">
        <v>676</v>
      </c>
      <c r="D154" s="40" t="s">
        <v>27</v>
      </c>
      <c r="E154" s="41">
        <v>46106.83541666667</v>
      </c>
      <c r="F154" s="39"/>
      <c r="G154" s="43"/>
      <c r="H154" s="69" t="s">
        <v>677</v>
      </c>
      <c r="I154" s="69"/>
      <c r="J154" s="69"/>
      <c r="K154" s="69"/>
      <c r="L154" s="69"/>
      <c r="M154" s="70" t="s">
        <v>30</v>
      </c>
      <c r="N154" s="69"/>
      <c r="O154" s="43"/>
      <c r="P154" s="44" t="s">
        <v>678</v>
      </c>
      <c r="Q154" s="45"/>
      <c r="R154" s="46">
        <v>1.0</v>
      </c>
      <c r="S154" s="40" t="s">
        <v>87</v>
      </c>
      <c r="T154" s="47">
        <v>46085.0</v>
      </c>
      <c r="U154" s="39" t="s">
        <v>32</v>
      </c>
      <c r="V154" s="44" t="s">
        <v>679</v>
      </c>
      <c r="W154" s="45"/>
      <c r="X154" s="43"/>
      <c r="Y154" s="39" t="s">
        <v>33</v>
      </c>
      <c r="Z154" s="6"/>
      <c r="AA154" s="6"/>
      <c r="AB154" s="6"/>
      <c r="AC154" s="6"/>
      <c r="AD154" s="6"/>
      <c r="AE154" s="6"/>
    </row>
    <row r="155">
      <c r="A155" s="19">
        <f t="shared" si="2"/>
        <v>154</v>
      </c>
      <c r="B155" s="75" t="s">
        <v>680</v>
      </c>
      <c r="C155" s="75" t="s">
        <v>681</v>
      </c>
      <c r="D155" s="21" t="s">
        <v>38</v>
      </c>
      <c r="E155" s="22">
        <v>46106.83125</v>
      </c>
      <c r="F155" s="22">
        <v>46107.42152777778</v>
      </c>
      <c r="G155" s="25"/>
      <c r="H155" s="75" t="s">
        <v>682</v>
      </c>
      <c r="I155" s="75"/>
      <c r="J155" s="75"/>
      <c r="K155" s="75"/>
      <c r="L155" s="75"/>
      <c r="M155" s="74" t="s">
        <v>30</v>
      </c>
      <c r="N155" s="75"/>
      <c r="O155" s="25"/>
      <c r="P155" s="54" t="s">
        <v>683</v>
      </c>
      <c r="Q155" s="27" t="s">
        <v>684</v>
      </c>
      <c r="R155" s="25"/>
      <c r="S155" s="21" t="s">
        <v>87</v>
      </c>
      <c r="T155" s="28">
        <v>46085.0</v>
      </c>
      <c r="U155" s="20" t="s">
        <v>32</v>
      </c>
      <c r="V155" s="55" t="s">
        <v>685</v>
      </c>
      <c r="W155" s="29"/>
      <c r="X155" s="25"/>
      <c r="Y155" s="20" t="s">
        <v>33</v>
      </c>
      <c r="Z155" s="6"/>
      <c r="AA155" s="6"/>
      <c r="AB155" s="6"/>
      <c r="AC155" s="6"/>
      <c r="AD155" s="6"/>
      <c r="AE155" s="6"/>
    </row>
    <row r="156">
      <c r="A156" s="19">
        <f t="shared" si="2"/>
        <v>155</v>
      </c>
      <c r="B156" s="75" t="s">
        <v>686</v>
      </c>
      <c r="C156" s="75" t="s">
        <v>687</v>
      </c>
      <c r="D156" s="21" t="s">
        <v>38</v>
      </c>
      <c r="E156" s="22">
        <v>46106.83125</v>
      </c>
      <c r="F156" s="22">
        <v>46107.42083333333</v>
      </c>
      <c r="G156" s="25"/>
      <c r="H156" s="75" t="s">
        <v>688</v>
      </c>
      <c r="I156" s="75"/>
      <c r="J156" s="75"/>
      <c r="K156" s="75"/>
      <c r="L156" s="75"/>
      <c r="M156" s="74" t="s">
        <v>30</v>
      </c>
      <c r="N156" s="75"/>
      <c r="O156" s="25"/>
      <c r="P156" s="26" t="s">
        <v>689</v>
      </c>
      <c r="Q156" s="27" t="s">
        <v>690</v>
      </c>
      <c r="R156" s="25"/>
      <c r="S156" s="21" t="s">
        <v>38</v>
      </c>
      <c r="T156" s="28">
        <v>46085.0</v>
      </c>
      <c r="U156" s="28">
        <v>46091.0</v>
      </c>
      <c r="V156" s="29"/>
      <c r="W156" s="29"/>
      <c r="X156" s="25"/>
      <c r="Y156" s="20" t="s">
        <v>33</v>
      </c>
      <c r="Z156" s="6"/>
      <c r="AA156" s="6"/>
      <c r="AB156" s="6"/>
      <c r="AC156" s="6"/>
      <c r="AD156" s="6"/>
      <c r="AE156" s="6"/>
    </row>
    <row r="157">
      <c r="A157" s="7">
        <f t="shared" si="2"/>
        <v>156</v>
      </c>
      <c r="B157" s="72" t="s">
        <v>691</v>
      </c>
      <c r="C157" s="72" t="s">
        <v>692</v>
      </c>
      <c r="D157" s="9" t="s">
        <v>27</v>
      </c>
      <c r="E157" s="32">
        <v>46106.83194444444</v>
      </c>
      <c r="F157" s="33"/>
      <c r="G157" s="6"/>
      <c r="H157" s="72" t="s">
        <v>693</v>
      </c>
      <c r="I157" s="72"/>
      <c r="J157" s="72"/>
      <c r="K157" s="72"/>
      <c r="L157" s="72"/>
      <c r="M157" s="73" t="s">
        <v>30</v>
      </c>
      <c r="N157" s="72"/>
      <c r="O157" s="6"/>
      <c r="P157" s="34" t="s">
        <v>694</v>
      </c>
      <c r="Q157" s="35"/>
      <c r="R157" s="36">
        <v>1.0</v>
      </c>
      <c r="S157" s="9" t="s">
        <v>38</v>
      </c>
      <c r="T157" s="33">
        <v>46085.0</v>
      </c>
      <c r="U157" s="33">
        <v>46085.0</v>
      </c>
      <c r="V157" s="35"/>
      <c r="W157" s="35"/>
      <c r="X157" s="6"/>
      <c r="Y157" s="31" t="s">
        <v>33</v>
      </c>
      <c r="Z157" s="6"/>
      <c r="AA157" s="6"/>
      <c r="AB157" s="6"/>
      <c r="AC157" s="6"/>
      <c r="AD157" s="6"/>
      <c r="AE157" s="6"/>
    </row>
    <row r="158">
      <c r="A158" s="19">
        <f t="shared" si="2"/>
        <v>157</v>
      </c>
      <c r="B158" s="20" t="s">
        <v>695</v>
      </c>
      <c r="C158" s="20" t="s">
        <v>696</v>
      </c>
      <c r="D158" s="21" t="s">
        <v>38</v>
      </c>
      <c r="E158" s="22">
        <v>46106.83194444444</v>
      </c>
      <c r="F158" s="22">
        <v>46106.89097222222</v>
      </c>
      <c r="G158" s="25"/>
      <c r="H158" s="25"/>
      <c r="I158" s="25"/>
      <c r="J158" s="25"/>
      <c r="K158" s="25"/>
      <c r="L158" s="25"/>
      <c r="M158" s="48"/>
      <c r="N158" s="25"/>
      <c r="O158" s="25"/>
      <c r="P158" s="26" t="s">
        <v>697</v>
      </c>
      <c r="Q158" s="27" t="s">
        <v>698</v>
      </c>
      <c r="R158" s="25"/>
      <c r="S158" s="21" t="s">
        <v>38</v>
      </c>
      <c r="T158" s="28">
        <v>46086.0</v>
      </c>
      <c r="U158" s="28">
        <v>46086.0</v>
      </c>
      <c r="V158" s="29"/>
      <c r="W158" s="29"/>
      <c r="X158" s="25"/>
      <c r="Y158" s="20" t="s">
        <v>33</v>
      </c>
      <c r="Z158" s="6"/>
      <c r="AA158" s="6"/>
      <c r="AB158" s="6"/>
      <c r="AC158" s="6"/>
      <c r="AD158" s="6"/>
      <c r="AE158" s="6"/>
    </row>
    <row r="159">
      <c r="A159" s="19">
        <f t="shared" si="2"/>
        <v>158</v>
      </c>
      <c r="B159" s="20" t="s">
        <v>699</v>
      </c>
      <c r="C159" s="20" t="s">
        <v>657</v>
      </c>
      <c r="D159" s="21" t="s">
        <v>27</v>
      </c>
      <c r="E159" s="22">
        <v>46106.83194444444</v>
      </c>
      <c r="F159" s="22"/>
      <c r="G159" s="25"/>
      <c r="H159" s="25"/>
      <c r="I159" s="25"/>
      <c r="J159" s="25"/>
      <c r="K159" s="25"/>
      <c r="L159" s="25"/>
      <c r="M159" s="48"/>
      <c r="N159" s="25"/>
      <c r="O159" s="25"/>
      <c r="P159" s="54" t="s">
        <v>700</v>
      </c>
      <c r="Q159" s="26"/>
      <c r="R159" s="30">
        <v>1.0</v>
      </c>
      <c r="S159" s="21" t="s">
        <v>38</v>
      </c>
      <c r="T159" s="28">
        <v>46086.0</v>
      </c>
      <c r="U159" s="22">
        <v>46099.49097222222</v>
      </c>
      <c r="V159" s="55" t="s">
        <v>701</v>
      </c>
      <c r="W159" s="27" t="s">
        <v>702</v>
      </c>
      <c r="X159" s="25"/>
      <c r="Y159" s="31" t="s">
        <v>33</v>
      </c>
      <c r="Z159" s="6"/>
      <c r="AA159" s="6"/>
      <c r="AB159" s="6"/>
      <c r="AC159" s="6"/>
      <c r="AD159" s="6"/>
      <c r="AE159" s="6"/>
    </row>
    <row r="160">
      <c r="A160" s="38">
        <f t="shared" si="2"/>
        <v>159</v>
      </c>
      <c r="B160" s="69" t="s">
        <v>703</v>
      </c>
      <c r="C160" s="69" t="s">
        <v>704</v>
      </c>
      <c r="D160" s="40" t="s">
        <v>27</v>
      </c>
      <c r="E160" s="41">
        <v>46106.83194444444</v>
      </c>
      <c r="F160" s="39"/>
      <c r="G160" s="43"/>
      <c r="H160" s="69" t="s">
        <v>705</v>
      </c>
      <c r="I160" s="69"/>
      <c r="J160" s="69"/>
      <c r="K160" s="69"/>
      <c r="L160" s="69"/>
      <c r="M160" s="70" t="s">
        <v>30</v>
      </c>
      <c r="N160" s="69"/>
      <c r="O160" s="43"/>
      <c r="P160" s="51" t="s">
        <v>706</v>
      </c>
      <c r="Q160" s="45"/>
      <c r="R160" s="46">
        <v>1.0</v>
      </c>
      <c r="S160" s="40" t="s">
        <v>87</v>
      </c>
      <c r="T160" s="47">
        <v>46086.0</v>
      </c>
      <c r="U160" s="39" t="s">
        <v>32</v>
      </c>
      <c r="V160" s="52" t="s">
        <v>707</v>
      </c>
      <c r="W160" s="45"/>
      <c r="X160" s="43"/>
      <c r="Y160" s="39" t="s">
        <v>33</v>
      </c>
      <c r="Z160" s="6"/>
      <c r="AA160" s="6"/>
      <c r="AB160" s="6"/>
      <c r="AC160" s="6"/>
      <c r="AD160" s="6"/>
      <c r="AE160" s="6"/>
    </row>
    <row r="161">
      <c r="A161" s="38">
        <f t="shared" si="2"/>
        <v>160</v>
      </c>
      <c r="B161" s="69" t="s">
        <v>708</v>
      </c>
      <c r="C161" s="69" t="s">
        <v>709</v>
      </c>
      <c r="D161" s="40" t="s">
        <v>27</v>
      </c>
      <c r="E161" s="41">
        <v>46106.83194444444</v>
      </c>
      <c r="F161" s="39"/>
      <c r="G161" s="43"/>
      <c r="H161" s="69" t="s">
        <v>710</v>
      </c>
      <c r="I161" s="69"/>
      <c r="J161" s="69"/>
      <c r="K161" s="69"/>
      <c r="L161" s="69"/>
      <c r="M161" s="70" t="s">
        <v>30</v>
      </c>
      <c r="N161" s="69"/>
      <c r="O161" s="43"/>
      <c r="P161" s="51" t="s">
        <v>711</v>
      </c>
      <c r="Q161" s="45"/>
      <c r="R161" s="46">
        <v>1.0</v>
      </c>
      <c r="S161" s="40" t="s">
        <v>87</v>
      </c>
      <c r="T161" s="47">
        <v>46086.0</v>
      </c>
      <c r="U161" s="39" t="s">
        <v>32</v>
      </c>
      <c r="V161" s="52" t="s">
        <v>712</v>
      </c>
      <c r="W161" s="45"/>
      <c r="X161" s="43"/>
      <c r="Y161" s="39" t="s">
        <v>33</v>
      </c>
      <c r="Z161" s="6"/>
      <c r="AA161" s="6"/>
      <c r="AB161" s="6"/>
      <c r="AC161" s="6"/>
      <c r="AD161" s="6"/>
      <c r="AE161" s="6"/>
    </row>
    <row r="162">
      <c r="A162" s="19">
        <f t="shared" si="2"/>
        <v>161</v>
      </c>
      <c r="B162" s="75" t="s">
        <v>713</v>
      </c>
      <c r="C162" s="75" t="s">
        <v>714</v>
      </c>
      <c r="D162" s="21" t="s">
        <v>38</v>
      </c>
      <c r="E162" s="22">
        <v>46114.634722222225</v>
      </c>
      <c r="F162" s="22">
        <v>46114.69583333333</v>
      </c>
      <c r="G162" s="25"/>
      <c r="H162" s="75" t="s">
        <v>715</v>
      </c>
      <c r="I162" s="75"/>
      <c r="J162" s="75"/>
      <c r="K162" s="75"/>
      <c r="L162" s="75"/>
      <c r="M162" s="74" t="s">
        <v>30</v>
      </c>
      <c r="N162" s="75"/>
      <c r="O162" s="25"/>
      <c r="P162" s="54" t="s">
        <v>716</v>
      </c>
      <c r="Q162" s="27" t="s">
        <v>717</v>
      </c>
      <c r="R162" s="30">
        <v>1.0</v>
      </c>
      <c r="S162" s="21" t="s">
        <v>87</v>
      </c>
      <c r="T162" s="28">
        <v>46086.0</v>
      </c>
      <c r="U162" s="20" t="s">
        <v>32</v>
      </c>
      <c r="V162" s="55" t="s">
        <v>718</v>
      </c>
      <c r="W162" s="29"/>
      <c r="X162" s="25"/>
      <c r="Y162" s="20" t="s">
        <v>33</v>
      </c>
      <c r="Z162" s="6"/>
      <c r="AA162" s="6"/>
      <c r="AB162" s="6"/>
      <c r="AC162" s="6"/>
      <c r="AD162" s="6"/>
      <c r="AE162" s="6"/>
    </row>
    <row r="163">
      <c r="A163" s="19">
        <f t="shared" si="2"/>
        <v>162</v>
      </c>
      <c r="B163" s="75" t="s">
        <v>719</v>
      </c>
      <c r="C163" s="75" t="s">
        <v>720</v>
      </c>
      <c r="D163" s="21" t="s">
        <v>38</v>
      </c>
      <c r="E163" s="22">
        <v>46106.83194444444</v>
      </c>
      <c r="F163" s="22">
        <v>46107.86388888889</v>
      </c>
      <c r="G163" s="25"/>
      <c r="H163" s="80" t="s">
        <v>721</v>
      </c>
      <c r="I163" s="80"/>
      <c r="J163" s="80"/>
      <c r="K163" s="80"/>
      <c r="L163" s="80"/>
      <c r="M163" s="81" t="s">
        <v>30</v>
      </c>
      <c r="N163" s="80"/>
      <c r="O163" s="25"/>
      <c r="P163" s="26" t="s">
        <v>722</v>
      </c>
      <c r="Q163" s="27" t="s">
        <v>723</v>
      </c>
      <c r="R163" s="25"/>
      <c r="S163" s="21" t="s">
        <v>38</v>
      </c>
      <c r="T163" s="28">
        <v>46086.0</v>
      </c>
      <c r="U163" s="28">
        <v>46087.0</v>
      </c>
      <c r="V163" s="29"/>
      <c r="W163" s="29"/>
      <c r="X163" s="25"/>
      <c r="Y163" s="20" t="s">
        <v>33</v>
      </c>
      <c r="Z163" s="6"/>
      <c r="AA163" s="6"/>
      <c r="AB163" s="6"/>
      <c r="AC163" s="6"/>
      <c r="AD163" s="6"/>
      <c r="AE163" s="6"/>
    </row>
    <row r="164">
      <c r="A164" s="19">
        <f t="shared" si="2"/>
        <v>163</v>
      </c>
      <c r="B164" s="80" t="s">
        <v>724</v>
      </c>
      <c r="C164" s="80" t="s">
        <v>725</v>
      </c>
      <c r="D164" s="21" t="s">
        <v>38</v>
      </c>
      <c r="E164" s="22">
        <v>46106.83194444444</v>
      </c>
      <c r="F164" s="22">
        <v>46114.743055555555</v>
      </c>
      <c r="G164" s="25"/>
      <c r="H164" s="80" t="s">
        <v>721</v>
      </c>
      <c r="I164" s="80"/>
      <c r="J164" s="80"/>
      <c r="K164" s="80"/>
      <c r="L164" s="80"/>
      <c r="M164" s="81" t="s">
        <v>30</v>
      </c>
      <c r="N164" s="80"/>
      <c r="O164" s="25"/>
      <c r="P164" s="26" t="s">
        <v>726</v>
      </c>
      <c r="Q164" s="27" t="s">
        <v>727</v>
      </c>
      <c r="R164" s="30">
        <v>2.0</v>
      </c>
      <c r="S164" s="21" t="s">
        <v>38</v>
      </c>
      <c r="T164" s="28">
        <v>46086.0</v>
      </c>
      <c r="U164" s="28">
        <v>46091.0</v>
      </c>
      <c r="V164" s="29"/>
      <c r="W164" s="29"/>
      <c r="X164" s="25"/>
      <c r="Y164" s="20" t="s">
        <v>33</v>
      </c>
      <c r="Z164" s="6"/>
      <c r="AA164" s="6"/>
      <c r="AB164" s="6"/>
      <c r="AC164" s="6"/>
      <c r="AD164" s="6"/>
      <c r="AE164" s="6"/>
    </row>
    <row r="165">
      <c r="A165" s="19">
        <f t="shared" si="2"/>
        <v>164</v>
      </c>
      <c r="B165" s="80" t="s">
        <v>728</v>
      </c>
      <c r="C165" s="80" t="s">
        <v>729</v>
      </c>
      <c r="D165" s="21" t="s">
        <v>38</v>
      </c>
      <c r="E165" s="22">
        <v>46106.83541666667</v>
      </c>
      <c r="F165" s="22">
        <v>46107.72986111111</v>
      </c>
      <c r="G165" s="25"/>
      <c r="H165" s="80" t="s">
        <v>721</v>
      </c>
      <c r="I165" s="80"/>
      <c r="J165" s="80"/>
      <c r="K165" s="80"/>
      <c r="L165" s="80"/>
      <c r="M165" s="81" t="s">
        <v>30</v>
      </c>
      <c r="N165" s="80"/>
      <c r="O165" s="25"/>
      <c r="P165" s="26" t="s">
        <v>730</v>
      </c>
      <c r="Q165" s="27" t="s">
        <v>731</v>
      </c>
      <c r="R165" s="25"/>
      <c r="S165" s="21" t="s">
        <v>38</v>
      </c>
      <c r="T165" s="28">
        <v>46086.0</v>
      </c>
      <c r="U165" s="28">
        <v>46086.0</v>
      </c>
      <c r="V165" s="29"/>
      <c r="W165" s="29"/>
      <c r="X165" s="25"/>
      <c r="Y165" s="20" t="s">
        <v>33</v>
      </c>
      <c r="Z165" s="6"/>
      <c r="AA165" s="6"/>
      <c r="AB165" s="6"/>
      <c r="AC165" s="6"/>
      <c r="AD165" s="6"/>
      <c r="AE165" s="6"/>
    </row>
    <row r="166">
      <c r="A166" s="19">
        <f t="shared" si="2"/>
        <v>165</v>
      </c>
      <c r="B166" s="80" t="s">
        <v>732</v>
      </c>
      <c r="C166" s="80" t="s">
        <v>733</v>
      </c>
      <c r="D166" s="21" t="s">
        <v>27</v>
      </c>
      <c r="E166" s="22">
        <v>46106.83541666667</v>
      </c>
      <c r="F166" s="22"/>
      <c r="G166" s="25"/>
      <c r="H166" s="80" t="s">
        <v>721</v>
      </c>
      <c r="I166" s="80"/>
      <c r="J166" s="80"/>
      <c r="K166" s="80"/>
      <c r="L166" s="80"/>
      <c r="M166" s="81" t="s">
        <v>30</v>
      </c>
      <c r="N166" s="80"/>
      <c r="O166" s="25"/>
      <c r="P166" s="54" t="s">
        <v>734</v>
      </c>
      <c r="Q166" s="26"/>
      <c r="R166" s="30">
        <v>1.0</v>
      </c>
      <c r="S166" s="21" t="s">
        <v>38</v>
      </c>
      <c r="T166" s="28">
        <v>46086.0</v>
      </c>
      <c r="U166" s="22">
        <v>46098.67152777778</v>
      </c>
      <c r="V166" s="55" t="s">
        <v>735</v>
      </c>
      <c r="W166" s="27" t="s">
        <v>736</v>
      </c>
      <c r="X166" s="30">
        <v>3.0</v>
      </c>
      <c r="Y166" s="31" t="s">
        <v>33</v>
      </c>
      <c r="Z166" s="6"/>
      <c r="AA166" s="6"/>
      <c r="AB166" s="6"/>
      <c r="AC166" s="6"/>
      <c r="AD166" s="6"/>
      <c r="AE166" s="6"/>
    </row>
    <row r="167">
      <c r="A167" s="19">
        <f t="shared" si="2"/>
        <v>166</v>
      </c>
      <c r="B167" s="80" t="s">
        <v>737</v>
      </c>
      <c r="C167" s="80" t="s">
        <v>738</v>
      </c>
      <c r="D167" s="21" t="s">
        <v>85</v>
      </c>
      <c r="E167" s="22">
        <v>46106.845138888886</v>
      </c>
      <c r="F167" s="22"/>
      <c r="G167" s="25"/>
      <c r="H167" s="80" t="s">
        <v>721</v>
      </c>
      <c r="I167" s="80"/>
      <c r="J167" s="80"/>
      <c r="K167" s="80"/>
      <c r="L167" s="80"/>
      <c r="M167" s="81" t="s">
        <v>30</v>
      </c>
      <c r="N167" s="80"/>
      <c r="O167" s="25"/>
      <c r="P167" s="54" t="s">
        <v>739</v>
      </c>
      <c r="Q167" s="26"/>
      <c r="R167" s="30">
        <v>1.0</v>
      </c>
      <c r="S167" s="21" t="s">
        <v>38</v>
      </c>
      <c r="T167" s="28">
        <v>46086.0</v>
      </c>
      <c r="U167" s="22">
        <v>46097.57916666667</v>
      </c>
      <c r="V167" s="55" t="s">
        <v>740</v>
      </c>
      <c r="W167" s="27" t="s">
        <v>741</v>
      </c>
      <c r="X167" s="30">
        <v>3.0</v>
      </c>
      <c r="Y167" s="31" t="s">
        <v>33</v>
      </c>
      <c r="Z167" s="6"/>
      <c r="AA167" s="6"/>
      <c r="AB167" s="6"/>
      <c r="AC167" s="6"/>
      <c r="AD167" s="6"/>
      <c r="AE167" s="6"/>
    </row>
    <row r="168">
      <c r="A168" s="19">
        <f t="shared" si="2"/>
        <v>167</v>
      </c>
      <c r="B168" s="80" t="s">
        <v>742</v>
      </c>
      <c r="C168" s="80" t="s">
        <v>743</v>
      </c>
      <c r="D168" s="21" t="s">
        <v>38</v>
      </c>
      <c r="E168" s="22">
        <v>46106.83541666667</v>
      </c>
      <c r="F168" s="22">
        <v>46108.39375</v>
      </c>
      <c r="G168" s="25"/>
      <c r="H168" s="80" t="s">
        <v>721</v>
      </c>
      <c r="I168" s="80"/>
      <c r="J168" s="80"/>
      <c r="K168" s="80"/>
      <c r="L168" s="80"/>
      <c r="M168" s="81" t="s">
        <v>30</v>
      </c>
      <c r="N168" s="80"/>
      <c r="O168" s="25"/>
      <c r="P168" s="82" t="s">
        <v>744</v>
      </c>
      <c r="Q168" s="27" t="s">
        <v>745</v>
      </c>
      <c r="R168" s="30"/>
      <c r="S168" s="21" t="s">
        <v>38</v>
      </c>
      <c r="T168" s="28">
        <v>46086.0</v>
      </c>
      <c r="U168" s="22">
        <v>46098.709027777775</v>
      </c>
      <c r="V168" s="82" t="s">
        <v>746</v>
      </c>
      <c r="W168" s="27" t="s">
        <v>747</v>
      </c>
      <c r="X168" s="30">
        <v>3.0</v>
      </c>
      <c r="Y168" s="20" t="s">
        <v>33</v>
      </c>
      <c r="Z168" s="6"/>
      <c r="AA168" s="6"/>
      <c r="AB168" s="6"/>
      <c r="AC168" s="6"/>
      <c r="AD168" s="6"/>
      <c r="AE168" s="6"/>
    </row>
    <row r="169">
      <c r="A169" s="19">
        <f t="shared" si="2"/>
        <v>168</v>
      </c>
      <c r="B169" s="80" t="s">
        <v>748</v>
      </c>
      <c r="C169" s="80" t="s">
        <v>749</v>
      </c>
      <c r="D169" s="21" t="s">
        <v>38</v>
      </c>
      <c r="E169" s="22">
        <v>46106.83541666667</v>
      </c>
      <c r="F169" s="22">
        <v>46107.33888888889</v>
      </c>
      <c r="G169" s="25"/>
      <c r="H169" s="80" t="s">
        <v>721</v>
      </c>
      <c r="I169" s="80"/>
      <c r="J169" s="80"/>
      <c r="K169" s="80"/>
      <c r="L169" s="80"/>
      <c r="M169" s="81" t="s">
        <v>30</v>
      </c>
      <c r="N169" s="80"/>
      <c r="O169" s="25"/>
      <c r="P169" s="26" t="s">
        <v>750</v>
      </c>
      <c r="Q169" s="27" t="s">
        <v>751</v>
      </c>
      <c r="R169" s="30"/>
      <c r="S169" s="21" t="s">
        <v>38</v>
      </c>
      <c r="T169" s="28">
        <v>46086.0</v>
      </c>
      <c r="U169" s="22">
        <v>46097.68194444444</v>
      </c>
      <c r="V169" s="26" t="s">
        <v>752</v>
      </c>
      <c r="W169" s="27" t="s">
        <v>753</v>
      </c>
      <c r="X169" s="30">
        <v>3.0</v>
      </c>
      <c r="Y169" s="20" t="s">
        <v>33</v>
      </c>
      <c r="Z169" s="6"/>
      <c r="AA169" s="6"/>
      <c r="AB169" s="6"/>
      <c r="AC169" s="6"/>
      <c r="AD169" s="6"/>
      <c r="AE169" s="6"/>
    </row>
    <row r="170">
      <c r="A170" s="19">
        <f t="shared" si="2"/>
        <v>169</v>
      </c>
      <c r="B170" s="80" t="s">
        <v>754</v>
      </c>
      <c r="C170" s="80" t="s">
        <v>755</v>
      </c>
      <c r="D170" s="21" t="s">
        <v>38</v>
      </c>
      <c r="E170" s="22">
        <v>46106.83541666667</v>
      </c>
      <c r="F170" s="22">
        <v>46107.455555555556</v>
      </c>
      <c r="G170" s="25"/>
      <c r="H170" s="80" t="s">
        <v>721</v>
      </c>
      <c r="I170" s="80"/>
      <c r="J170" s="80"/>
      <c r="K170" s="80"/>
      <c r="L170" s="80"/>
      <c r="M170" s="81" t="s">
        <v>30</v>
      </c>
      <c r="N170" s="80"/>
      <c r="O170" s="25"/>
      <c r="P170" s="26" t="s">
        <v>756</v>
      </c>
      <c r="Q170" s="27" t="s">
        <v>757</v>
      </c>
      <c r="R170" s="25"/>
      <c r="S170" s="21" t="s">
        <v>38</v>
      </c>
      <c r="T170" s="28">
        <v>46086.0</v>
      </c>
      <c r="U170" s="28">
        <v>46086.0</v>
      </c>
      <c r="V170" s="29"/>
      <c r="W170" s="29"/>
      <c r="X170" s="25"/>
      <c r="Y170" s="20" t="s">
        <v>33</v>
      </c>
      <c r="Z170" s="6"/>
      <c r="AA170" s="6"/>
      <c r="AB170" s="6"/>
      <c r="AC170" s="6"/>
      <c r="AD170" s="6"/>
      <c r="AE170" s="6"/>
    </row>
    <row r="171">
      <c r="A171" s="38">
        <f t="shared" si="2"/>
        <v>170</v>
      </c>
      <c r="B171" s="83" t="s">
        <v>758</v>
      </c>
      <c r="C171" s="83" t="s">
        <v>759</v>
      </c>
      <c r="D171" s="40" t="s">
        <v>85</v>
      </c>
      <c r="E171" s="41">
        <v>46106.83541666667</v>
      </c>
      <c r="F171" s="39"/>
      <c r="G171" s="43"/>
      <c r="H171" s="83" t="s">
        <v>721</v>
      </c>
      <c r="I171" s="83"/>
      <c r="J171" s="83"/>
      <c r="K171" s="83"/>
      <c r="L171" s="83"/>
      <c r="M171" s="84" t="s">
        <v>30</v>
      </c>
      <c r="N171" s="83"/>
      <c r="O171" s="43"/>
      <c r="P171" s="44" t="s">
        <v>760</v>
      </c>
      <c r="Q171" s="45"/>
      <c r="R171" s="46"/>
      <c r="S171" s="40" t="s">
        <v>87</v>
      </c>
      <c r="T171" s="47">
        <v>46086.0</v>
      </c>
      <c r="U171" s="39" t="s">
        <v>32</v>
      </c>
      <c r="V171" s="44" t="s">
        <v>761</v>
      </c>
      <c r="W171" s="45"/>
      <c r="X171" s="46">
        <v>3.0</v>
      </c>
      <c r="Y171" s="39" t="s">
        <v>33</v>
      </c>
      <c r="Z171" s="6"/>
      <c r="AA171" s="6"/>
      <c r="AB171" s="6"/>
      <c r="AC171" s="6"/>
      <c r="AD171" s="6"/>
      <c r="AE171" s="6"/>
    </row>
    <row r="172">
      <c r="A172" s="19">
        <f t="shared" si="2"/>
        <v>171</v>
      </c>
      <c r="B172" s="80" t="s">
        <v>762</v>
      </c>
      <c r="C172" s="80" t="s">
        <v>763</v>
      </c>
      <c r="D172" s="21" t="s">
        <v>38</v>
      </c>
      <c r="E172" s="22">
        <v>46106.83611111111</v>
      </c>
      <c r="F172" s="22">
        <v>46108.396527777775</v>
      </c>
      <c r="G172" s="25"/>
      <c r="H172" s="80" t="s">
        <v>721</v>
      </c>
      <c r="I172" s="80"/>
      <c r="J172" s="80"/>
      <c r="K172" s="80"/>
      <c r="L172" s="80"/>
      <c r="M172" s="81" t="s">
        <v>30</v>
      </c>
      <c r="N172" s="80"/>
      <c r="O172" s="25"/>
      <c r="P172" s="26" t="s">
        <v>764</v>
      </c>
      <c r="Q172" s="27" t="s">
        <v>765</v>
      </c>
      <c r="R172" s="25"/>
      <c r="S172" s="21" t="s">
        <v>38</v>
      </c>
      <c r="T172" s="28">
        <v>46086.0</v>
      </c>
      <c r="U172" s="28">
        <v>46086.0</v>
      </c>
      <c r="V172" s="29"/>
      <c r="W172" s="29"/>
      <c r="X172" s="25"/>
      <c r="Y172" s="20" t="s">
        <v>33</v>
      </c>
      <c r="Z172" s="6"/>
      <c r="AA172" s="6"/>
      <c r="AB172" s="6"/>
      <c r="AC172" s="6"/>
      <c r="AD172" s="6"/>
      <c r="AE172" s="6"/>
    </row>
    <row r="173">
      <c r="A173" s="19">
        <f t="shared" si="2"/>
        <v>172</v>
      </c>
      <c r="B173" s="80" t="s">
        <v>766</v>
      </c>
      <c r="C173" s="80" t="s">
        <v>767</v>
      </c>
      <c r="D173" s="21" t="s">
        <v>38</v>
      </c>
      <c r="E173" s="22">
        <v>46106.83611111111</v>
      </c>
      <c r="F173" s="22">
        <v>46111.65138888889</v>
      </c>
      <c r="G173" s="25"/>
      <c r="H173" s="80" t="s">
        <v>721</v>
      </c>
      <c r="I173" s="80"/>
      <c r="J173" s="80"/>
      <c r="K173" s="80"/>
      <c r="L173" s="80"/>
      <c r="M173" s="81" t="s">
        <v>30</v>
      </c>
      <c r="N173" s="80"/>
      <c r="O173" s="25"/>
      <c r="P173" s="26" t="s">
        <v>768</v>
      </c>
      <c r="Q173" s="27" t="s">
        <v>769</v>
      </c>
      <c r="R173" s="30"/>
      <c r="S173" s="21" t="s">
        <v>87</v>
      </c>
      <c r="T173" s="28">
        <v>46086.0</v>
      </c>
      <c r="U173" s="20" t="s">
        <v>32</v>
      </c>
      <c r="V173" s="26" t="s">
        <v>770</v>
      </c>
      <c r="W173" s="29"/>
      <c r="X173" s="30">
        <v>3.0</v>
      </c>
      <c r="Y173" s="20" t="s">
        <v>33</v>
      </c>
      <c r="Z173" s="6"/>
      <c r="AA173" s="6"/>
      <c r="AB173" s="6"/>
      <c r="AC173" s="6"/>
      <c r="AD173" s="6"/>
      <c r="AE173" s="6"/>
    </row>
    <row r="174">
      <c r="A174" s="19">
        <f t="shared" si="2"/>
        <v>173</v>
      </c>
      <c r="B174" s="80" t="s">
        <v>771</v>
      </c>
      <c r="C174" s="80" t="s">
        <v>772</v>
      </c>
      <c r="D174" s="21" t="s">
        <v>38</v>
      </c>
      <c r="E174" s="22">
        <v>46106.83611111111</v>
      </c>
      <c r="F174" s="22">
        <v>46107.486805555556</v>
      </c>
      <c r="G174" s="25"/>
      <c r="H174" s="80" t="s">
        <v>721</v>
      </c>
      <c r="I174" s="80"/>
      <c r="J174" s="80"/>
      <c r="K174" s="80"/>
      <c r="L174" s="80"/>
      <c r="M174" s="81" t="s">
        <v>30</v>
      </c>
      <c r="N174" s="80"/>
      <c r="O174" s="25"/>
      <c r="P174" s="26" t="s">
        <v>773</v>
      </c>
      <c r="Q174" s="27" t="s">
        <v>774</v>
      </c>
      <c r="R174" s="25"/>
      <c r="S174" s="21" t="s">
        <v>38</v>
      </c>
      <c r="T174" s="28">
        <v>46086.0</v>
      </c>
      <c r="U174" s="28">
        <v>46086.0</v>
      </c>
      <c r="V174" s="29"/>
      <c r="W174" s="29"/>
      <c r="X174" s="25"/>
      <c r="Y174" s="20" t="s">
        <v>33</v>
      </c>
      <c r="Z174" s="6"/>
      <c r="AA174" s="6"/>
      <c r="AB174" s="6"/>
      <c r="AC174" s="6"/>
      <c r="AD174" s="6"/>
      <c r="AE174" s="6"/>
    </row>
    <row r="175">
      <c r="A175" s="19">
        <f t="shared" si="2"/>
        <v>174</v>
      </c>
      <c r="B175" s="80" t="s">
        <v>775</v>
      </c>
      <c r="C175" s="80" t="s">
        <v>776</v>
      </c>
      <c r="D175" s="21" t="s">
        <v>38</v>
      </c>
      <c r="E175" s="22">
        <v>46106.83611111111</v>
      </c>
      <c r="F175" s="22">
        <v>46107.50555555556</v>
      </c>
      <c r="G175" s="25"/>
      <c r="H175" s="80" t="s">
        <v>721</v>
      </c>
      <c r="I175" s="80"/>
      <c r="J175" s="80"/>
      <c r="K175" s="80"/>
      <c r="L175" s="80"/>
      <c r="M175" s="81" t="s">
        <v>30</v>
      </c>
      <c r="N175" s="80"/>
      <c r="O175" s="25"/>
      <c r="P175" s="26" t="s">
        <v>777</v>
      </c>
      <c r="Q175" s="27" t="s">
        <v>778</v>
      </c>
      <c r="R175" s="30"/>
      <c r="S175" s="21" t="s">
        <v>38</v>
      </c>
      <c r="T175" s="28">
        <v>46086.0</v>
      </c>
      <c r="U175" s="22">
        <v>46097.433333333334</v>
      </c>
      <c r="V175" s="26" t="s">
        <v>779</v>
      </c>
      <c r="W175" s="27" t="s">
        <v>780</v>
      </c>
      <c r="X175" s="30">
        <v>2.0</v>
      </c>
      <c r="Y175" s="20" t="s">
        <v>33</v>
      </c>
      <c r="Z175" s="6"/>
      <c r="AA175" s="6"/>
      <c r="AB175" s="6"/>
      <c r="AC175" s="6"/>
      <c r="AD175" s="6"/>
      <c r="AE175" s="6"/>
    </row>
    <row r="176">
      <c r="A176" s="19">
        <f t="shared" si="2"/>
        <v>175</v>
      </c>
      <c r="B176" s="80" t="s">
        <v>781</v>
      </c>
      <c r="C176" s="80" t="s">
        <v>782</v>
      </c>
      <c r="D176" s="21" t="s">
        <v>38</v>
      </c>
      <c r="E176" s="22">
        <v>46106.83611111111</v>
      </c>
      <c r="F176" s="22">
        <v>46107.47777777778</v>
      </c>
      <c r="G176" s="25"/>
      <c r="H176" s="80" t="s">
        <v>721</v>
      </c>
      <c r="I176" s="80"/>
      <c r="J176" s="80"/>
      <c r="K176" s="80"/>
      <c r="L176" s="80"/>
      <c r="M176" s="81" t="s">
        <v>30</v>
      </c>
      <c r="N176" s="80"/>
      <c r="O176" s="25"/>
      <c r="P176" s="26" t="s">
        <v>783</v>
      </c>
      <c r="Q176" s="27" t="s">
        <v>784</v>
      </c>
      <c r="R176" s="25"/>
      <c r="S176" s="21" t="s">
        <v>38</v>
      </c>
      <c r="T176" s="28">
        <v>46086.0</v>
      </c>
      <c r="U176" s="28">
        <v>46092.0</v>
      </c>
      <c r="V176" s="29"/>
      <c r="W176" s="29"/>
      <c r="X176" s="25"/>
      <c r="Y176" s="20" t="s">
        <v>33</v>
      </c>
      <c r="Z176" s="6"/>
      <c r="AA176" s="6"/>
      <c r="AB176" s="6"/>
      <c r="AC176" s="6"/>
      <c r="AD176" s="6"/>
      <c r="AE176" s="6"/>
    </row>
    <row r="177">
      <c r="A177" s="19">
        <f t="shared" si="2"/>
        <v>176</v>
      </c>
      <c r="B177" s="80" t="s">
        <v>785</v>
      </c>
      <c r="C177" s="80" t="s">
        <v>786</v>
      </c>
      <c r="D177" s="21" t="s">
        <v>38</v>
      </c>
      <c r="E177" s="22">
        <v>46106.845138888886</v>
      </c>
      <c r="F177" s="22">
        <v>46107.33819444444</v>
      </c>
      <c r="G177" s="25"/>
      <c r="H177" s="80" t="s">
        <v>721</v>
      </c>
      <c r="I177" s="80"/>
      <c r="J177" s="80"/>
      <c r="K177" s="80"/>
      <c r="L177" s="80"/>
      <c r="M177" s="81" t="s">
        <v>30</v>
      </c>
      <c r="N177" s="80"/>
      <c r="O177" s="25"/>
      <c r="P177" s="26" t="s">
        <v>787</v>
      </c>
      <c r="Q177" s="27" t="s">
        <v>788</v>
      </c>
      <c r="R177" s="25"/>
      <c r="S177" s="21" t="s">
        <v>38</v>
      </c>
      <c r="T177" s="28">
        <v>46086.0</v>
      </c>
      <c r="U177" s="25"/>
      <c r="V177" s="26" t="s">
        <v>789</v>
      </c>
      <c r="W177" s="29"/>
      <c r="X177" s="25"/>
      <c r="Y177" s="20" t="s">
        <v>33</v>
      </c>
      <c r="Z177" s="6"/>
      <c r="AA177" s="6"/>
      <c r="AB177" s="6"/>
      <c r="AC177" s="6"/>
      <c r="AD177" s="6"/>
      <c r="AE177" s="6"/>
    </row>
    <row r="178">
      <c r="A178" s="19">
        <f t="shared" si="2"/>
        <v>177</v>
      </c>
      <c r="B178" s="80" t="s">
        <v>790</v>
      </c>
      <c r="C178" s="80" t="s">
        <v>791</v>
      </c>
      <c r="D178" s="21" t="s">
        <v>38</v>
      </c>
      <c r="E178" s="22">
        <v>46106.83611111111</v>
      </c>
      <c r="F178" s="22">
        <v>46107.37291666667</v>
      </c>
      <c r="G178" s="25"/>
      <c r="H178" s="80" t="s">
        <v>721</v>
      </c>
      <c r="I178" s="80"/>
      <c r="J178" s="80"/>
      <c r="K178" s="80"/>
      <c r="L178" s="80"/>
      <c r="M178" s="81" t="s">
        <v>30</v>
      </c>
      <c r="N178" s="80"/>
      <c r="O178" s="25"/>
      <c r="P178" s="26" t="s">
        <v>792</v>
      </c>
      <c r="Q178" s="27" t="s">
        <v>793</v>
      </c>
      <c r="R178" s="25"/>
      <c r="S178" s="21" t="s">
        <v>38</v>
      </c>
      <c r="T178" s="28">
        <v>46086.0</v>
      </c>
      <c r="U178" s="28">
        <v>46090.0</v>
      </c>
      <c r="V178" s="29"/>
      <c r="W178" s="29"/>
      <c r="X178" s="25"/>
      <c r="Y178" s="20" t="s">
        <v>33</v>
      </c>
      <c r="Z178" s="6"/>
      <c r="AA178" s="6"/>
      <c r="AB178" s="6"/>
      <c r="AC178" s="6"/>
      <c r="AD178" s="6"/>
      <c r="AE178" s="6"/>
    </row>
    <row r="179">
      <c r="A179" s="19">
        <f t="shared" si="2"/>
        <v>178</v>
      </c>
      <c r="B179" s="80" t="s">
        <v>794</v>
      </c>
      <c r="C179" s="80" t="s">
        <v>795</v>
      </c>
      <c r="D179" s="21" t="s">
        <v>38</v>
      </c>
      <c r="E179" s="22">
        <v>46106.83611111111</v>
      </c>
      <c r="F179" s="22">
        <v>46114.69583333333</v>
      </c>
      <c r="G179" s="25"/>
      <c r="H179" s="80" t="s">
        <v>721</v>
      </c>
      <c r="I179" s="80"/>
      <c r="J179" s="80"/>
      <c r="K179" s="80"/>
      <c r="L179" s="80"/>
      <c r="M179" s="81" t="s">
        <v>30</v>
      </c>
      <c r="N179" s="80"/>
      <c r="O179" s="25"/>
      <c r="P179" s="26" t="s">
        <v>796</v>
      </c>
      <c r="Q179" s="27" t="s">
        <v>797</v>
      </c>
      <c r="R179" s="30">
        <v>1.0</v>
      </c>
      <c r="S179" s="21" t="s">
        <v>38</v>
      </c>
      <c r="T179" s="28">
        <v>46086.0</v>
      </c>
      <c r="U179" s="22">
        <v>46097.68819444445</v>
      </c>
      <c r="V179" s="26" t="s">
        <v>798</v>
      </c>
      <c r="W179" s="27" t="s">
        <v>799</v>
      </c>
      <c r="X179" s="30">
        <v>3.0</v>
      </c>
      <c r="Y179" s="20" t="s">
        <v>33</v>
      </c>
      <c r="Z179" s="6"/>
      <c r="AA179" s="6"/>
      <c r="AB179" s="6"/>
      <c r="AC179" s="6"/>
      <c r="AD179" s="6"/>
      <c r="AE179" s="6"/>
    </row>
    <row r="180">
      <c r="A180" s="19">
        <f t="shared" si="2"/>
        <v>179</v>
      </c>
      <c r="B180" s="80" t="s">
        <v>800</v>
      </c>
      <c r="C180" s="80" t="s">
        <v>801</v>
      </c>
      <c r="D180" s="21" t="s">
        <v>38</v>
      </c>
      <c r="E180" s="22">
        <v>46106.83611111111</v>
      </c>
      <c r="F180" s="22">
        <v>46107.34097222222</v>
      </c>
      <c r="G180" s="25"/>
      <c r="H180" s="80" t="s">
        <v>721</v>
      </c>
      <c r="I180" s="80"/>
      <c r="J180" s="80"/>
      <c r="K180" s="80"/>
      <c r="L180" s="80"/>
      <c r="M180" s="81" t="s">
        <v>30</v>
      </c>
      <c r="N180" s="80"/>
      <c r="O180" s="25"/>
      <c r="P180" s="26" t="s">
        <v>802</v>
      </c>
      <c r="Q180" s="27" t="s">
        <v>803</v>
      </c>
      <c r="R180" s="25"/>
      <c r="S180" s="21" t="s">
        <v>38</v>
      </c>
      <c r="T180" s="28">
        <v>46086.0</v>
      </c>
      <c r="U180" s="28">
        <v>46086.0</v>
      </c>
      <c r="V180" s="29"/>
      <c r="W180" s="29"/>
      <c r="X180" s="25"/>
      <c r="Y180" s="20" t="s">
        <v>33</v>
      </c>
      <c r="Z180" s="6"/>
      <c r="AA180" s="6"/>
      <c r="AB180" s="6"/>
      <c r="AC180" s="6"/>
      <c r="AD180" s="6"/>
      <c r="AE180" s="6"/>
    </row>
    <row r="181">
      <c r="A181" s="19">
        <f t="shared" si="2"/>
        <v>180</v>
      </c>
      <c r="B181" s="80" t="s">
        <v>804</v>
      </c>
      <c r="C181" s="80" t="s">
        <v>805</v>
      </c>
      <c r="D181" s="21" t="s">
        <v>38</v>
      </c>
      <c r="E181" s="22">
        <v>46114.70208333333</v>
      </c>
      <c r="F181" s="22">
        <v>46114.740277777775</v>
      </c>
      <c r="G181" s="25"/>
      <c r="H181" s="80" t="s">
        <v>721</v>
      </c>
      <c r="I181" s="80"/>
      <c r="J181" s="80"/>
      <c r="K181" s="80"/>
      <c r="L181" s="80"/>
      <c r="M181" s="81" t="s">
        <v>30</v>
      </c>
      <c r="N181" s="80"/>
      <c r="O181" s="25"/>
      <c r="P181" s="26" t="s">
        <v>806</v>
      </c>
      <c r="Q181" s="27" t="s">
        <v>807</v>
      </c>
      <c r="R181" s="30">
        <v>1.0</v>
      </c>
      <c r="S181" s="21" t="s">
        <v>38</v>
      </c>
      <c r="T181" s="28">
        <v>46086.0</v>
      </c>
      <c r="U181" s="28">
        <v>46091.0</v>
      </c>
      <c r="V181" s="26" t="s">
        <v>808</v>
      </c>
      <c r="W181" s="29"/>
      <c r="X181" s="25"/>
      <c r="Y181" s="20" t="s">
        <v>33</v>
      </c>
      <c r="Z181" s="6"/>
      <c r="AA181" s="6"/>
      <c r="AB181" s="6"/>
      <c r="AC181" s="6"/>
      <c r="AD181" s="6"/>
      <c r="AE181" s="6"/>
    </row>
    <row r="182">
      <c r="A182" s="7">
        <f t="shared" si="2"/>
        <v>181</v>
      </c>
      <c r="B182" s="85" t="s">
        <v>809</v>
      </c>
      <c r="C182" s="85" t="s">
        <v>810</v>
      </c>
      <c r="D182" s="9" t="s">
        <v>85</v>
      </c>
      <c r="E182" s="32">
        <v>46106.83611111111</v>
      </c>
      <c r="F182" s="33"/>
      <c r="G182" s="6"/>
      <c r="H182" s="85" t="s">
        <v>721</v>
      </c>
      <c r="I182" s="85"/>
      <c r="J182" s="85"/>
      <c r="K182" s="85"/>
      <c r="L182" s="85"/>
      <c r="M182" s="86" t="s">
        <v>30</v>
      </c>
      <c r="N182" s="85"/>
      <c r="O182" s="6"/>
      <c r="P182" s="34" t="s">
        <v>811</v>
      </c>
      <c r="Q182" s="35"/>
      <c r="R182" s="36">
        <v>1.0</v>
      </c>
      <c r="S182" s="9" t="s">
        <v>38</v>
      </c>
      <c r="T182" s="33">
        <v>46086.0</v>
      </c>
      <c r="U182" s="33">
        <v>46086.0</v>
      </c>
      <c r="V182" s="35"/>
      <c r="W182" s="35"/>
      <c r="X182" s="6"/>
      <c r="Y182" s="31" t="s">
        <v>33</v>
      </c>
      <c r="Z182" s="6"/>
      <c r="AA182" s="6"/>
      <c r="AB182" s="6"/>
      <c r="AC182" s="6"/>
      <c r="AD182" s="6"/>
      <c r="AE182" s="6"/>
    </row>
    <row r="183">
      <c r="A183" s="19">
        <f t="shared" si="2"/>
        <v>182</v>
      </c>
      <c r="B183" s="80" t="s">
        <v>812</v>
      </c>
      <c r="C183" s="80" t="s">
        <v>813</v>
      </c>
      <c r="D183" s="21" t="s">
        <v>38</v>
      </c>
      <c r="E183" s="22">
        <v>46106.836805555555</v>
      </c>
      <c r="F183" s="22">
        <v>46107.933333333334</v>
      </c>
      <c r="G183" s="25"/>
      <c r="H183" s="80" t="s">
        <v>721</v>
      </c>
      <c r="I183" s="80"/>
      <c r="J183" s="80"/>
      <c r="K183" s="80"/>
      <c r="L183" s="80"/>
      <c r="M183" s="81" t="s">
        <v>30</v>
      </c>
      <c r="N183" s="80"/>
      <c r="O183" s="25"/>
      <c r="P183" s="26" t="s">
        <v>814</v>
      </c>
      <c r="Q183" s="27" t="s">
        <v>815</v>
      </c>
      <c r="R183" s="25"/>
      <c r="S183" s="21" t="s">
        <v>38</v>
      </c>
      <c r="T183" s="28">
        <v>46086.0</v>
      </c>
      <c r="U183" s="28">
        <v>46086.0</v>
      </c>
      <c r="V183" s="29"/>
      <c r="W183" s="29"/>
      <c r="X183" s="25"/>
      <c r="Y183" s="20" t="s">
        <v>33</v>
      </c>
      <c r="Z183" s="6"/>
      <c r="AA183" s="6"/>
      <c r="AB183" s="6"/>
      <c r="AC183" s="6"/>
      <c r="AD183" s="6"/>
      <c r="AE183" s="6"/>
    </row>
    <row r="184">
      <c r="A184" s="38">
        <f t="shared" si="2"/>
        <v>183</v>
      </c>
      <c r="B184" s="83" t="s">
        <v>816</v>
      </c>
      <c r="C184" s="83" t="s">
        <v>817</v>
      </c>
      <c r="D184" s="40" t="s">
        <v>27</v>
      </c>
      <c r="E184" s="41">
        <v>46106.836805555555</v>
      </c>
      <c r="F184" s="39"/>
      <c r="G184" s="43"/>
      <c r="H184" s="83" t="s">
        <v>818</v>
      </c>
      <c r="I184" s="83"/>
      <c r="J184" s="83"/>
      <c r="K184" s="83"/>
      <c r="L184" s="83"/>
      <c r="M184" s="84" t="s">
        <v>30</v>
      </c>
      <c r="N184" s="83"/>
      <c r="O184" s="43"/>
      <c r="P184" s="51" t="s">
        <v>819</v>
      </c>
      <c r="Q184" s="45"/>
      <c r="R184" s="46">
        <v>1.0</v>
      </c>
      <c r="S184" s="40" t="s">
        <v>87</v>
      </c>
      <c r="T184" s="47">
        <v>46086.0</v>
      </c>
      <c r="U184" s="39" t="s">
        <v>32</v>
      </c>
      <c r="V184" s="52" t="s">
        <v>820</v>
      </c>
      <c r="W184" s="45"/>
      <c r="X184" s="43"/>
      <c r="Y184" s="39" t="s">
        <v>33</v>
      </c>
      <c r="Z184" s="6"/>
      <c r="AA184" s="6"/>
      <c r="AB184" s="6"/>
      <c r="AC184" s="6"/>
      <c r="AD184" s="6"/>
      <c r="AE184" s="6"/>
    </row>
    <row r="185">
      <c r="A185" s="38">
        <f t="shared" si="2"/>
        <v>184</v>
      </c>
      <c r="B185" s="83" t="s">
        <v>821</v>
      </c>
      <c r="C185" s="83" t="s">
        <v>822</v>
      </c>
      <c r="D185" s="40" t="s">
        <v>27</v>
      </c>
      <c r="E185" s="41">
        <v>46106.836805555555</v>
      </c>
      <c r="F185" s="39"/>
      <c r="G185" s="43"/>
      <c r="H185" s="83" t="s">
        <v>823</v>
      </c>
      <c r="I185" s="83"/>
      <c r="J185" s="83"/>
      <c r="K185" s="83"/>
      <c r="L185" s="83"/>
      <c r="M185" s="84" t="s">
        <v>30</v>
      </c>
      <c r="N185" s="83"/>
      <c r="O185" s="43"/>
      <c r="P185" s="51" t="s">
        <v>824</v>
      </c>
      <c r="Q185" s="45"/>
      <c r="R185" s="46">
        <v>1.0</v>
      </c>
      <c r="S185" s="40" t="s">
        <v>87</v>
      </c>
      <c r="T185" s="47">
        <v>46086.0</v>
      </c>
      <c r="U185" s="39" t="s">
        <v>32</v>
      </c>
      <c r="V185" s="52" t="s">
        <v>825</v>
      </c>
      <c r="W185" s="45"/>
      <c r="X185" s="43"/>
      <c r="Y185" s="39" t="s">
        <v>33</v>
      </c>
      <c r="Z185" s="6"/>
      <c r="AA185" s="6"/>
      <c r="AB185" s="6"/>
      <c r="AC185" s="6"/>
      <c r="AD185" s="6"/>
      <c r="AE185" s="6"/>
    </row>
    <row r="186">
      <c r="A186" s="38">
        <f t="shared" si="2"/>
        <v>185</v>
      </c>
      <c r="B186" s="83" t="s">
        <v>826</v>
      </c>
      <c r="C186" s="83" t="s">
        <v>827</v>
      </c>
      <c r="D186" s="40" t="s">
        <v>27</v>
      </c>
      <c r="E186" s="41">
        <v>46106.836805555555</v>
      </c>
      <c r="F186" s="39"/>
      <c r="G186" s="43"/>
      <c r="H186" s="83" t="s">
        <v>828</v>
      </c>
      <c r="I186" s="83"/>
      <c r="J186" s="83"/>
      <c r="K186" s="83"/>
      <c r="L186" s="83"/>
      <c r="M186" s="84" t="s">
        <v>30</v>
      </c>
      <c r="N186" s="83"/>
      <c r="O186" s="43"/>
      <c r="P186" s="51" t="s">
        <v>829</v>
      </c>
      <c r="Q186" s="45"/>
      <c r="R186" s="46">
        <v>1.0</v>
      </c>
      <c r="S186" s="40" t="s">
        <v>87</v>
      </c>
      <c r="T186" s="47">
        <v>46086.0</v>
      </c>
      <c r="U186" s="39" t="s">
        <v>32</v>
      </c>
      <c r="V186" s="52" t="s">
        <v>830</v>
      </c>
      <c r="W186" s="45"/>
      <c r="X186" s="43"/>
      <c r="Y186" s="39" t="s">
        <v>33</v>
      </c>
      <c r="Z186" s="6"/>
      <c r="AA186" s="6"/>
      <c r="AB186" s="6"/>
      <c r="AC186" s="6"/>
      <c r="AD186" s="6"/>
      <c r="AE186" s="6"/>
    </row>
    <row r="187">
      <c r="A187" s="38">
        <f t="shared" si="2"/>
        <v>186</v>
      </c>
      <c r="B187" s="83" t="s">
        <v>831</v>
      </c>
      <c r="C187" s="83" t="s">
        <v>832</v>
      </c>
      <c r="D187" s="40" t="s">
        <v>27</v>
      </c>
      <c r="E187" s="41">
        <v>46106.836805555555</v>
      </c>
      <c r="F187" s="39"/>
      <c r="G187" s="43"/>
      <c r="H187" s="83" t="s">
        <v>828</v>
      </c>
      <c r="I187" s="83"/>
      <c r="J187" s="83"/>
      <c r="K187" s="83"/>
      <c r="L187" s="83"/>
      <c r="M187" s="84" t="s">
        <v>30</v>
      </c>
      <c r="N187" s="83"/>
      <c r="O187" s="43"/>
      <c r="P187" s="51" t="s">
        <v>833</v>
      </c>
      <c r="Q187" s="45"/>
      <c r="R187" s="46">
        <v>1.0</v>
      </c>
      <c r="S187" s="40" t="s">
        <v>87</v>
      </c>
      <c r="T187" s="47">
        <v>46086.0</v>
      </c>
      <c r="U187" s="39" t="s">
        <v>32</v>
      </c>
      <c r="V187" s="52" t="s">
        <v>834</v>
      </c>
      <c r="W187" s="45"/>
      <c r="X187" s="43"/>
      <c r="Y187" s="39" t="s">
        <v>33</v>
      </c>
      <c r="Z187" s="6"/>
      <c r="AA187" s="6"/>
      <c r="AB187" s="6"/>
      <c r="AC187" s="6"/>
      <c r="AD187" s="6"/>
      <c r="AE187" s="6"/>
    </row>
    <row r="188">
      <c r="A188" s="19">
        <f t="shared" si="2"/>
        <v>187</v>
      </c>
      <c r="B188" s="80" t="s">
        <v>835</v>
      </c>
      <c r="C188" s="80" t="s">
        <v>836</v>
      </c>
      <c r="D188" s="21" t="s">
        <v>38</v>
      </c>
      <c r="E188" s="22">
        <v>46106.836805555555</v>
      </c>
      <c r="F188" s="22">
        <v>46114.75555555556</v>
      </c>
      <c r="G188" s="25"/>
      <c r="H188" s="80" t="s">
        <v>837</v>
      </c>
      <c r="I188" s="80"/>
      <c r="J188" s="80"/>
      <c r="K188" s="80"/>
      <c r="L188" s="80"/>
      <c r="M188" s="81" t="s">
        <v>30</v>
      </c>
      <c r="N188" s="80"/>
      <c r="O188" s="25"/>
      <c r="P188" s="26" t="s">
        <v>838</v>
      </c>
      <c r="Q188" s="27" t="s">
        <v>839</v>
      </c>
      <c r="R188" s="30">
        <v>1.0</v>
      </c>
      <c r="S188" s="21" t="s">
        <v>38</v>
      </c>
      <c r="T188" s="28">
        <v>46086.0</v>
      </c>
      <c r="U188" s="28">
        <v>46086.0</v>
      </c>
      <c r="V188" s="29"/>
      <c r="W188" s="29"/>
      <c r="X188" s="25"/>
      <c r="Y188" s="20" t="s">
        <v>33</v>
      </c>
      <c r="Z188" s="6"/>
      <c r="AA188" s="6"/>
      <c r="AB188" s="6"/>
      <c r="AC188" s="6"/>
      <c r="AD188" s="6"/>
      <c r="AE188" s="6"/>
    </row>
    <row r="189">
      <c r="A189" s="19">
        <f t="shared" si="2"/>
        <v>188</v>
      </c>
      <c r="B189" s="80" t="s">
        <v>840</v>
      </c>
      <c r="C189" s="80" t="s">
        <v>841</v>
      </c>
      <c r="D189" s="21" t="s">
        <v>38</v>
      </c>
      <c r="E189" s="22">
        <v>46106.836805555555</v>
      </c>
      <c r="F189" s="22">
        <v>46111.48263888889</v>
      </c>
      <c r="G189" s="25"/>
      <c r="H189" s="80" t="s">
        <v>721</v>
      </c>
      <c r="I189" s="80"/>
      <c r="J189" s="80"/>
      <c r="K189" s="80"/>
      <c r="L189" s="80"/>
      <c r="M189" s="81" t="s">
        <v>30</v>
      </c>
      <c r="N189" s="80"/>
      <c r="O189" s="25"/>
      <c r="P189" s="26" t="s">
        <v>842</v>
      </c>
      <c r="Q189" s="27" t="s">
        <v>843</v>
      </c>
      <c r="R189" s="25"/>
      <c r="S189" s="21" t="s">
        <v>38</v>
      </c>
      <c r="T189" s="28">
        <v>46086.0</v>
      </c>
      <c r="U189" s="28">
        <v>46086.0</v>
      </c>
      <c r="V189" s="29"/>
      <c r="W189" s="29"/>
      <c r="X189" s="25"/>
      <c r="Y189" s="20" t="s">
        <v>33</v>
      </c>
      <c r="Z189" s="6"/>
      <c r="AA189" s="6"/>
      <c r="AB189" s="6"/>
      <c r="AC189" s="6"/>
      <c r="AD189" s="6"/>
      <c r="AE189" s="6"/>
    </row>
    <row r="190">
      <c r="A190" s="19">
        <f t="shared" si="2"/>
        <v>189</v>
      </c>
      <c r="B190" s="80" t="s">
        <v>844</v>
      </c>
      <c r="C190" s="80" t="s">
        <v>845</v>
      </c>
      <c r="D190" s="21" t="s">
        <v>38</v>
      </c>
      <c r="E190" s="22">
        <v>46106.836805555555</v>
      </c>
      <c r="F190" s="22">
        <v>46107.520833333336</v>
      </c>
      <c r="G190" s="25"/>
      <c r="H190" s="80" t="s">
        <v>721</v>
      </c>
      <c r="I190" s="80"/>
      <c r="J190" s="80"/>
      <c r="K190" s="80"/>
      <c r="L190" s="80"/>
      <c r="M190" s="81" t="s">
        <v>30</v>
      </c>
      <c r="N190" s="80"/>
      <c r="O190" s="25"/>
      <c r="P190" s="26" t="s">
        <v>846</v>
      </c>
      <c r="Q190" s="27" t="s">
        <v>847</v>
      </c>
      <c r="R190" s="25"/>
      <c r="S190" s="21" t="s">
        <v>38</v>
      </c>
      <c r="T190" s="28">
        <v>46086.0</v>
      </c>
      <c r="U190" s="28">
        <v>46086.0</v>
      </c>
      <c r="V190" s="29"/>
      <c r="W190" s="29"/>
      <c r="X190" s="25"/>
      <c r="Y190" s="20" t="s">
        <v>33</v>
      </c>
      <c r="Z190" s="6"/>
      <c r="AA190" s="6"/>
      <c r="AB190" s="6"/>
      <c r="AC190" s="6"/>
      <c r="AD190" s="6"/>
      <c r="AE190" s="6"/>
    </row>
    <row r="191">
      <c r="A191" s="19">
        <f t="shared" si="2"/>
        <v>190</v>
      </c>
      <c r="B191" s="80" t="s">
        <v>848</v>
      </c>
      <c r="C191" s="80" t="s">
        <v>849</v>
      </c>
      <c r="D191" s="21" t="s">
        <v>38</v>
      </c>
      <c r="E191" s="22">
        <v>46106.836805555555</v>
      </c>
      <c r="F191" s="22">
        <v>46107.875</v>
      </c>
      <c r="G191" s="25"/>
      <c r="H191" s="80" t="s">
        <v>721</v>
      </c>
      <c r="I191" s="80"/>
      <c r="J191" s="80"/>
      <c r="K191" s="80"/>
      <c r="L191" s="80"/>
      <c r="M191" s="81" t="s">
        <v>30</v>
      </c>
      <c r="N191" s="80"/>
      <c r="O191" s="25"/>
      <c r="P191" s="26" t="s">
        <v>850</v>
      </c>
      <c r="Q191" s="27" t="s">
        <v>851</v>
      </c>
      <c r="R191" s="25"/>
      <c r="S191" s="21" t="s">
        <v>38</v>
      </c>
      <c r="T191" s="28">
        <v>46086.0</v>
      </c>
      <c r="U191" s="28">
        <v>46091.0</v>
      </c>
      <c r="V191" s="29"/>
      <c r="W191" s="29"/>
      <c r="X191" s="25"/>
      <c r="Y191" s="20" t="s">
        <v>33</v>
      </c>
      <c r="Z191" s="6"/>
      <c r="AA191" s="6"/>
      <c r="AB191" s="6"/>
      <c r="AC191" s="6"/>
      <c r="AD191" s="6"/>
      <c r="AE191" s="6"/>
    </row>
    <row r="192">
      <c r="A192" s="19">
        <f t="shared" si="2"/>
        <v>191</v>
      </c>
      <c r="B192" s="80" t="s">
        <v>852</v>
      </c>
      <c r="C192" s="80" t="s">
        <v>853</v>
      </c>
      <c r="D192" s="21" t="s">
        <v>38</v>
      </c>
      <c r="E192" s="22">
        <v>46106.836805555555</v>
      </c>
      <c r="F192" s="22">
        <v>46107.69583333333</v>
      </c>
      <c r="G192" s="25"/>
      <c r="H192" s="80" t="s">
        <v>854</v>
      </c>
      <c r="I192" s="80"/>
      <c r="J192" s="80"/>
      <c r="K192" s="80"/>
      <c r="L192" s="80"/>
      <c r="M192" s="81" t="s">
        <v>30</v>
      </c>
      <c r="N192" s="80"/>
      <c r="O192" s="25"/>
      <c r="P192" s="26" t="s">
        <v>855</v>
      </c>
      <c r="Q192" s="27" t="s">
        <v>856</v>
      </c>
      <c r="R192" s="25"/>
      <c r="S192" s="21" t="s">
        <v>38</v>
      </c>
      <c r="T192" s="28">
        <v>46086.0</v>
      </c>
      <c r="U192" s="28">
        <v>46086.0</v>
      </c>
      <c r="V192" s="29"/>
      <c r="W192" s="29"/>
      <c r="X192" s="25"/>
      <c r="Y192" s="20" t="s">
        <v>33</v>
      </c>
      <c r="Z192" s="6"/>
      <c r="AA192" s="6"/>
      <c r="AB192" s="6"/>
      <c r="AC192" s="6"/>
      <c r="AD192" s="6"/>
      <c r="AE192" s="6"/>
    </row>
    <row r="193">
      <c r="A193" s="19">
        <f t="shared" si="2"/>
        <v>192</v>
      </c>
      <c r="B193" s="80" t="s">
        <v>857</v>
      </c>
      <c r="C193" s="80" t="s">
        <v>858</v>
      </c>
      <c r="D193" s="21" t="s">
        <v>38</v>
      </c>
      <c r="E193" s="22">
        <v>46106.8375</v>
      </c>
      <c r="F193" s="22">
        <v>46114.71388888889</v>
      </c>
      <c r="G193" s="25"/>
      <c r="H193" s="80" t="s">
        <v>859</v>
      </c>
      <c r="I193" s="80"/>
      <c r="J193" s="80"/>
      <c r="K193" s="80"/>
      <c r="L193" s="80"/>
      <c r="M193" s="81" t="s">
        <v>30</v>
      </c>
      <c r="N193" s="80"/>
      <c r="O193" s="25"/>
      <c r="P193" s="26" t="s">
        <v>860</v>
      </c>
      <c r="Q193" s="27" t="s">
        <v>861</v>
      </c>
      <c r="R193" s="30">
        <v>1.0</v>
      </c>
      <c r="S193" s="21" t="s">
        <v>38</v>
      </c>
      <c r="T193" s="28">
        <v>46090.0</v>
      </c>
      <c r="U193" s="28">
        <v>46090.0</v>
      </c>
      <c r="V193" s="29"/>
      <c r="W193" s="29"/>
      <c r="X193" s="25"/>
      <c r="Y193" s="20" t="s">
        <v>33</v>
      </c>
      <c r="Z193" s="6"/>
      <c r="AA193" s="6"/>
      <c r="AB193" s="6"/>
      <c r="AC193" s="6"/>
      <c r="AD193" s="6"/>
      <c r="AE193" s="6"/>
    </row>
    <row r="194">
      <c r="A194" s="19">
        <f t="shared" si="2"/>
        <v>193</v>
      </c>
      <c r="B194" s="80" t="s">
        <v>862</v>
      </c>
      <c r="C194" s="80" t="s">
        <v>863</v>
      </c>
      <c r="D194" s="21" t="s">
        <v>38</v>
      </c>
      <c r="E194" s="22">
        <v>46106.8375</v>
      </c>
      <c r="F194" s="22">
        <v>46114.7125</v>
      </c>
      <c r="G194" s="25"/>
      <c r="H194" s="80" t="s">
        <v>864</v>
      </c>
      <c r="I194" s="80"/>
      <c r="J194" s="80"/>
      <c r="K194" s="80"/>
      <c r="L194" s="80"/>
      <c r="M194" s="81" t="s">
        <v>30</v>
      </c>
      <c r="N194" s="80"/>
      <c r="O194" s="25"/>
      <c r="P194" s="26" t="s">
        <v>865</v>
      </c>
      <c r="Q194" s="27" t="s">
        <v>866</v>
      </c>
      <c r="R194" s="30">
        <v>1.0</v>
      </c>
      <c r="S194" s="21" t="s">
        <v>38</v>
      </c>
      <c r="T194" s="28">
        <v>46090.0</v>
      </c>
      <c r="U194" s="28">
        <v>46090.0</v>
      </c>
      <c r="V194" s="29"/>
      <c r="W194" s="29"/>
      <c r="X194" s="25"/>
      <c r="Y194" s="20" t="s">
        <v>33</v>
      </c>
      <c r="Z194" s="6"/>
      <c r="AA194" s="6"/>
      <c r="AB194" s="6"/>
      <c r="AC194" s="6"/>
      <c r="AD194" s="6"/>
      <c r="AE194" s="6"/>
    </row>
    <row r="195">
      <c r="A195" s="7">
        <f t="shared" si="2"/>
        <v>194</v>
      </c>
      <c r="B195" s="85" t="s">
        <v>857</v>
      </c>
      <c r="C195" s="85" t="s">
        <v>858</v>
      </c>
      <c r="D195" s="9" t="s">
        <v>27</v>
      </c>
      <c r="E195" s="32">
        <v>46106.8375</v>
      </c>
      <c r="F195" s="33"/>
      <c r="G195" s="6"/>
      <c r="H195" s="85" t="s">
        <v>864</v>
      </c>
      <c r="I195" s="85"/>
      <c r="J195" s="85"/>
      <c r="K195" s="85"/>
      <c r="L195" s="85"/>
      <c r="M195" s="86"/>
      <c r="N195" s="85"/>
      <c r="O195" s="31" t="s">
        <v>867</v>
      </c>
      <c r="P195" s="34" t="s">
        <v>868</v>
      </c>
      <c r="Q195" s="35"/>
      <c r="R195" s="36">
        <v>1.0</v>
      </c>
      <c r="S195" s="9" t="s">
        <v>38</v>
      </c>
      <c r="T195" s="33">
        <v>46090.0</v>
      </c>
      <c r="U195" s="33">
        <v>46090.0</v>
      </c>
      <c r="V195" s="35"/>
      <c r="W195" s="35"/>
      <c r="X195" s="6"/>
      <c r="Y195" s="31" t="s">
        <v>33</v>
      </c>
      <c r="Z195" s="6"/>
      <c r="AA195" s="6"/>
      <c r="AB195" s="6"/>
      <c r="AC195" s="6"/>
      <c r="AD195" s="6"/>
      <c r="AE195" s="6"/>
    </row>
    <row r="196">
      <c r="A196" s="19">
        <f t="shared" si="2"/>
        <v>195</v>
      </c>
      <c r="B196" s="80" t="s">
        <v>869</v>
      </c>
      <c r="C196" s="80" t="s">
        <v>870</v>
      </c>
      <c r="D196" s="21" t="s">
        <v>38</v>
      </c>
      <c r="E196" s="22">
        <v>46106.8375</v>
      </c>
      <c r="F196" s="22">
        <v>46111.708333333336</v>
      </c>
      <c r="G196" s="25"/>
      <c r="H196" s="80" t="s">
        <v>871</v>
      </c>
      <c r="I196" s="80"/>
      <c r="J196" s="80"/>
      <c r="K196" s="80"/>
      <c r="L196" s="80"/>
      <c r="M196" s="81" t="s">
        <v>30</v>
      </c>
      <c r="N196" s="80"/>
      <c r="O196" s="25"/>
      <c r="P196" s="26" t="s">
        <v>872</v>
      </c>
      <c r="Q196" s="27" t="s">
        <v>873</v>
      </c>
      <c r="R196" s="25"/>
      <c r="S196" s="21" t="s">
        <v>38</v>
      </c>
      <c r="T196" s="28">
        <v>46090.0</v>
      </c>
      <c r="U196" s="28">
        <v>46091.0</v>
      </c>
      <c r="V196" s="29"/>
      <c r="W196" s="29"/>
      <c r="X196" s="25"/>
      <c r="Y196" s="20" t="s">
        <v>33</v>
      </c>
      <c r="Z196" s="6"/>
      <c r="AA196" s="6"/>
      <c r="AB196" s="6"/>
      <c r="AC196" s="6"/>
      <c r="AD196" s="6"/>
      <c r="AE196" s="6"/>
    </row>
    <row r="197">
      <c r="A197" s="19">
        <f t="shared" si="2"/>
        <v>196</v>
      </c>
      <c r="B197" s="80" t="s">
        <v>874</v>
      </c>
      <c r="C197" s="80" t="s">
        <v>875</v>
      </c>
      <c r="D197" s="21" t="s">
        <v>38</v>
      </c>
      <c r="E197" s="22">
        <v>46106.8375</v>
      </c>
      <c r="F197" s="22">
        <v>46107.37430555555</v>
      </c>
      <c r="G197" s="25"/>
      <c r="H197" s="80" t="s">
        <v>876</v>
      </c>
      <c r="I197" s="80"/>
      <c r="J197" s="80"/>
      <c r="K197" s="80"/>
      <c r="L197" s="80"/>
      <c r="M197" s="81" t="s">
        <v>30</v>
      </c>
      <c r="N197" s="80"/>
      <c r="O197" s="25"/>
      <c r="P197" s="26" t="s">
        <v>877</v>
      </c>
      <c r="Q197" s="27" t="s">
        <v>878</v>
      </c>
      <c r="R197" s="25"/>
      <c r="S197" s="21" t="s">
        <v>38</v>
      </c>
      <c r="T197" s="28">
        <v>46090.0</v>
      </c>
      <c r="U197" s="28">
        <v>46097.0</v>
      </c>
      <c r="V197" s="29"/>
      <c r="W197" s="29"/>
      <c r="X197" s="25"/>
      <c r="Y197" s="20" t="s">
        <v>33</v>
      </c>
      <c r="Z197" s="6"/>
      <c r="AA197" s="6"/>
      <c r="AB197" s="6"/>
      <c r="AC197" s="6"/>
      <c r="AD197" s="6"/>
      <c r="AE197" s="6"/>
    </row>
    <row r="198">
      <c r="A198" s="19">
        <f t="shared" si="2"/>
        <v>197</v>
      </c>
      <c r="B198" s="80" t="s">
        <v>879</v>
      </c>
      <c r="C198" s="80" t="s">
        <v>880</v>
      </c>
      <c r="D198" s="21" t="s">
        <v>38</v>
      </c>
      <c r="E198" s="22">
        <v>46106.84583333333</v>
      </c>
      <c r="F198" s="22">
        <v>46107.37152777778</v>
      </c>
      <c r="G198" s="25"/>
      <c r="H198" s="80" t="s">
        <v>876</v>
      </c>
      <c r="I198" s="80"/>
      <c r="J198" s="80"/>
      <c r="K198" s="80"/>
      <c r="L198" s="80"/>
      <c r="M198" s="81" t="s">
        <v>30</v>
      </c>
      <c r="N198" s="80"/>
      <c r="O198" s="25"/>
      <c r="P198" s="26" t="s">
        <v>881</v>
      </c>
      <c r="Q198" s="27" t="s">
        <v>882</v>
      </c>
      <c r="R198" s="25"/>
      <c r="S198" s="21" t="s">
        <v>38</v>
      </c>
      <c r="T198" s="22">
        <v>46098.52361111111</v>
      </c>
      <c r="U198" s="22">
        <v>46098.57361111111</v>
      </c>
      <c r="V198" s="26" t="s">
        <v>883</v>
      </c>
      <c r="W198" s="27" t="s">
        <v>884</v>
      </c>
      <c r="X198" s="25"/>
      <c r="Y198" s="20" t="s">
        <v>33</v>
      </c>
      <c r="Z198" s="6"/>
      <c r="AA198" s="6"/>
      <c r="AB198" s="6"/>
      <c r="AC198" s="6"/>
      <c r="AD198" s="6"/>
      <c r="AE198" s="6"/>
    </row>
    <row r="199">
      <c r="A199" s="38">
        <f t="shared" si="2"/>
        <v>198</v>
      </c>
      <c r="B199" s="83" t="s">
        <v>885</v>
      </c>
      <c r="C199" s="83" t="s">
        <v>886</v>
      </c>
      <c r="D199" s="40" t="s">
        <v>27</v>
      </c>
      <c r="E199" s="41">
        <v>46106.84583333333</v>
      </c>
      <c r="F199" s="39"/>
      <c r="G199" s="43"/>
      <c r="H199" s="83" t="s">
        <v>887</v>
      </c>
      <c r="I199" s="83"/>
      <c r="J199" s="83"/>
      <c r="K199" s="83"/>
      <c r="L199" s="83"/>
      <c r="M199" s="84" t="s">
        <v>30</v>
      </c>
      <c r="N199" s="83"/>
      <c r="O199" s="43"/>
      <c r="P199" s="51" t="s">
        <v>888</v>
      </c>
      <c r="Q199" s="45"/>
      <c r="R199" s="46">
        <v>1.0</v>
      </c>
      <c r="S199" s="40" t="s">
        <v>87</v>
      </c>
      <c r="T199" s="47">
        <v>46090.0</v>
      </c>
      <c r="U199" s="39" t="s">
        <v>32</v>
      </c>
      <c r="V199" s="52" t="s">
        <v>889</v>
      </c>
      <c r="W199" s="45"/>
      <c r="X199" s="43"/>
      <c r="Y199" s="39" t="s">
        <v>33</v>
      </c>
      <c r="Z199" s="6"/>
      <c r="AA199" s="6"/>
      <c r="AB199" s="6"/>
      <c r="AC199" s="6"/>
      <c r="AD199" s="6"/>
      <c r="AE199" s="6"/>
    </row>
    <row r="200">
      <c r="A200" s="38">
        <f t="shared" si="2"/>
        <v>199</v>
      </c>
      <c r="B200" s="83" t="s">
        <v>890</v>
      </c>
      <c r="C200" s="83" t="s">
        <v>891</v>
      </c>
      <c r="D200" s="40" t="s">
        <v>27</v>
      </c>
      <c r="E200" s="41">
        <v>46106.84583333333</v>
      </c>
      <c r="F200" s="39"/>
      <c r="G200" s="43"/>
      <c r="H200" s="83" t="s">
        <v>892</v>
      </c>
      <c r="I200" s="83"/>
      <c r="J200" s="83"/>
      <c r="K200" s="83"/>
      <c r="L200" s="83"/>
      <c r="M200" s="84" t="s">
        <v>30</v>
      </c>
      <c r="N200" s="83"/>
      <c r="O200" s="43"/>
      <c r="P200" s="44" t="s">
        <v>893</v>
      </c>
      <c r="Q200" s="45"/>
      <c r="R200" s="46">
        <v>1.0</v>
      </c>
      <c r="S200" s="40" t="s">
        <v>87</v>
      </c>
      <c r="T200" s="47">
        <v>46090.0</v>
      </c>
      <c r="U200" s="39" t="s">
        <v>32</v>
      </c>
      <c r="V200" s="44" t="s">
        <v>894</v>
      </c>
      <c r="W200" s="45"/>
      <c r="X200" s="43"/>
      <c r="Y200" s="39" t="s">
        <v>33</v>
      </c>
      <c r="Z200" s="6"/>
      <c r="AA200" s="6"/>
      <c r="AB200" s="6"/>
      <c r="AC200" s="6"/>
      <c r="AD200" s="6"/>
      <c r="AE200" s="6"/>
    </row>
    <row r="201">
      <c r="A201" s="38">
        <f t="shared" si="2"/>
        <v>200</v>
      </c>
      <c r="B201" s="83" t="s">
        <v>895</v>
      </c>
      <c r="C201" s="83" t="s">
        <v>896</v>
      </c>
      <c r="D201" s="40" t="s">
        <v>165</v>
      </c>
      <c r="E201" s="41">
        <v>46106.84583333333</v>
      </c>
      <c r="F201" s="39"/>
      <c r="G201" s="43"/>
      <c r="H201" s="83" t="s">
        <v>892</v>
      </c>
      <c r="I201" s="83"/>
      <c r="J201" s="83"/>
      <c r="K201" s="83"/>
      <c r="L201" s="83"/>
      <c r="M201" s="84" t="s">
        <v>30</v>
      </c>
      <c r="N201" s="83"/>
      <c r="O201" s="43"/>
      <c r="P201" s="44" t="s">
        <v>897</v>
      </c>
      <c r="Q201" s="45"/>
      <c r="R201" s="46">
        <v>1.0</v>
      </c>
      <c r="S201" s="40" t="s">
        <v>87</v>
      </c>
      <c r="T201" s="47">
        <v>46090.0</v>
      </c>
      <c r="U201" s="39" t="s">
        <v>32</v>
      </c>
      <c r="V201" s="44" t="s">
        <v>898</v>
      </c>
      <c r="W201" s="45"/>
      <c r="X201" s="43"/>
      <c r="Y201" s="39" t="s">
        <v>33</v>
      </c>
      <c r="Z201" s="6"/>
      <c r="AA201" s="6"/>
      <c r="AB201" s="6"/>
      <c r="AC201" s="6"/>
      <c r="AD201" s="6"/>
      <c r="AE201" s="6"/>
    </row>
    <row r="202">
      <c r="A202" s="38">
        <f t="shared" si="2"/>
        <v>201</v>
      </c>
      <c r="B202" s="83" t="s">
        <v>899</v>
      </c>
      <c r="C202" s="87" t="s">
        <v>900</v>
      </c>
      <c r="D202" s="40" t="s">
        <v>27</v>
      </c>
      <c r="E202" s="41">
        <v>46106.84583333333</v>
      </c>
      <c r="F202" s="39"/>
      <c r="G202" s="43"/>
      <c r="H202" s="83" t="s">
        <v>901</v>
      </c>
      <c r="I202" s="83"/>
      <c r="J202" s="83"/>
      <c r="K202" s="83"/>
      <c r="L202" s="83"/>
      <c r="M202" s="84" t="s">
        <v>30</v>
      </c>
      <c r="N202" s="83"/>
      <c r="O202" s="39" t="s">
        <v>902</v>
      </c>
      <c r="P202" s="44" t="s">
        <v>903</v>
      </c>
      <c r="Q202" s="45"/>
      <c r="R202" s="46">
        <v>1.0</v>
      </c>
      <c r="S202" s="40" t="s">
        <v>87</v>
      </c>
      <c r="T202" s="47">
        <v>46090.0</v>
      </c>
      <c r="U202" s="39" t="s">
        <v>32</v>
      </c>
      <c r="V202" s="44" t="s">
        <v>904</v>
      </c>
      <c r="W202" s="45"/>
      <c r="X202" s="43"/>
      <c r="Y202" s="39" t="s">
        <v>33</v>
      </c>
      <c r="Z202" s="6"/>
      <c r="AA202" s="6"/>
      <c r="AB202" s="6"/>
      <c r="AC202" s="6"/>
      <c r="AD202" s="6"/>
      <c r="AE202" s="6"/>
    </row>
    <row r="203">
      <c r="A203" s="19">
        <f t="shared" si="2"/>
        <v>202</v>
      </c>
      <c r="B203" s="80" t="s">
        <v>905</v>
      </c>
      <c r="C203" s="80" t="s">
        <v>906</v>
      </c>
      <c r="D203" s="21" t="s">
        <v>38</v>
      </c>
      <c r="E203" s="22">
        <v>46106.84583333333</v>
      </c>
      <c r="F203" s="22">
        <v>46107.381944444445</v>
      </c>
      <c r="G203" s="25"/>
      <c r="H203" s="80" t="s">
        <v>907</v>
      </c>
      <c r="I203" s="80"/>
      <c r="J203" s="80"/>
      <c r="K203" s="80"/>
      <c r="L203" s="80"/>
      <c r="M203" s="81" t="s">
        <v>30</v>
      </c>
      <c r="N203" s="80"/>
      <c r="O203" s="25"/>
      <c r="P203" s="26" t="s">
        <v>908</v>
      </c>
      <c r="Q203" s="27" t="s">
        <v>909</v>
      </c>
      <c r="R203" s="25"/>
      <c r="S203" s="21" t="s">
        <v>38</v>
      </c>
      <c r="T203" s="28">
        <v>46090.0</v>
      </c>
      <c r="U203" s="28">
        <v>46090.0</v>
      </c>
      <c r="V203" s="29"/>
      <c r="W203" s="29"/>
      <c r="X203" s="25"/>
      <c r="Y203" s="20" t="s">
        <v>33</v>
      </c>
      <c r="Z203" s="6"/>
      <c r="AA203" s="6"/>
      <c r="AB203" s="6"/>
      <c r="AC203" s="6"/>
      <c r="AD203" s="6"/>
      <c r="AE203" s="6"/>
    </row>
    <row r="204">
      <c r="A204" s="19">
        <f t="shared" si="2"/>
        <v>203</v>
      </c>
      <c r="B204" s="57" t="s">
        <v>910</v>
      </c>
      <c r="C204" s="57" t="s">
        <v>911</v>
      </c>
      <c r="D204" s="21" t="s">
        <v>38</v>
      </c>
      <c r="E204" s="22">
        <v>46106.84583333333</v>
      </c>
      <c r="F204" s="22">
        <v>46109.822222222225</v>
      </c>
      <c r="G204" s="25"/>
      <c r="H204" s="57" t="s">
        <v>912</v>
      </c>
      <c r="I204" s="57"/>
      <c r="J204" s="57"/>
      <c r="K204" s="57"/>
      <c r="L204" s="57"/>
      <c r="M204" s="64"/>
      <c r="N204" s="57"/>
      <c r="O204" s="25"/>
      <c r="P204" s="26" t="s">
        <v>913</v>
      </c>
      <c r="Q204" s="27" t="s">
        <v>914</v>
      </c>
      <c r="R204" s="25"/>
      <c r="S204" s="21" t="s">
        <v>38</v>
      </c>
      <c r="T204" s="28">
        <v>46090.0</v>
      </c>
      <c r="U204" s="28">
        <v>46094.0</v>
      </c>
      <c r="V204" s="29"/>
      <c r="W204" s="29"/>
      <c r="X204" s="25"/>
      <c r="Y204" s="20" t="s">
        <v>33</v>
      </c>
      <c r="Z204" s="6"/>
      <c r="AA204" s="6"/>
      <c r="AB204" s="6"/>
      <c r="AC204" s="6"/>
      <c r="AD204" s="6"/>
      <c r="AE204" s="6"/>
    </row>
    <row r="205">
      <c r="A205" s="19">
        <f t="shared" si="2"/>
        <v>204</v>
      </c>
      <c r="B205" s="57" t="s">
        <v>915</v>
      </c>
      <c r="C205" s="20" t="s">
        <v>916</v>
      </c>
      <c r="D205" s="21" t="s">
        <v>38</v>
      </c>
      <c r="E205" s="22">
        <v>46106.84583333333</v>
      </c>
      <c r="F205" s="22">
        <v>46114.60486111111</v>
      </c>
      <c r="G205" s="25"/>
      <c r="H205" s="57" t="s">
        <v>917</v>
      </c>
      <c r="I205" s="57"/>
      <c r="J205" s="57"/>
      <c r="K205" s="57"/>
      <c r="L205" s="57"/>
      <c r="M205" s="57"/>
      <c r="N205" s="57"/>
      <c r="O205" s="25"/>
      <c r="P205" s="26" t="s">
        <v>918</v>
      </c>
      <c r="Q205" s="27" t="s">
        <v>919</v>
      </c>
      <c r="R205" s="30">
        <v>1.0</v>
      </c>
      <c r="S205" s="21" t="s">
        <v>87</v>
      </c>
      <c r="T205" s="28">
        <v>46090.0</v>
      </c>
      <c r="U205" s="20" t="s">
        <v>32</v>
      </c>
      <c r="V205" s="26" t="s">
        <v>920</v>
      </c>
      <c r="W205" s="29"/>
      <c r="X205" s="25"/>
      <c r="Y205" s="20" t="s">
        <v>33</v>
      </c>
      <c r="Z205" s="6"/>
      <c r="AA205" s="6"/>
      <c r="AB205" s="6"/>
      <c r="AC205" s="6"/>
      <c r="AD205" s="6"/>
      <c r="AE205" s="6"/>
    </row>
    <row r="206">
      <c r="A206" s="7">
        <f t="shared" si="2"/>
        <v>205</v>
      </c>
      <c r="B206" s="11" t="s">
        <v>921</v>
      </c>
      <c r="C206" s="31" t="s">
        <v>922</v>
      </c>
      <c r="D206" s="9" t="s">
        <v>27</v>
      </c>
      <c r="E206" s="32">
        <v>46106.84583333333</v>
      </c>
      <c r="F206" s="33"/>
      <c r="G206" s="6"/>
      <c r="H206" s="6"/>
      <c r="I206" s="6"/>
      <c r="J206" s="6"/>
      <c r="K206" s="6"/>
      <c r="L206" s="6"/>
      <c r="M206" s="6"/>
      <c r="N206" s="6"/>
      <c r="O206" s="6"/>
      <c r="P206" s="34" t="s">
        <v>923</v>
      </c>
      <c r="Q206" s="35"/>
      <c r="R206" s="36">
        <v>1.0</v>
      </c>
      <c r="S206" s="9" t="s">
        <v>38</v>
      </c>
      <c r="T206" s="33">
        <v>46090.0</v>
      </c>
      <c r="U206" s="33">
        <v>46090.0</v>
      </c>
      <c r="V206" s="35"/>
      <c r="W206" s="35"/>
      <c r="X206" s="6"/>
      <c r="Y206" s="31" t="s">
        <v>33</v>
      </c>
      <c r="Z206" s="6"/>
      <c r="AA206" s="6"/>
      <c r="AB206" s="6"/>
      <c r="AC206" s="6"/>
      <c r="AD206" s="6"/>
      <c r="AE206" s="6"/>
    </row>
    <row r="207">
      <c r="A207" s="7">
        <f t="shared" si="2"/>
        <v>206</v>
      </c>
      <c r="B207" s="72" t="s">
        <v>924</v>
      </c>
      <c r="C207" s="88" t="s">
        <v>925</v>
      </c>
      <c r="D207" s="9" t="s">
        <v>27</v>
      </c>
      <c r="E207" s="32">
        <v>46106.84583333333</v>
      </c>
      <c r="F207" s="33"/>
      <c r="G207" s="6"/>
      <c r="H207" s="85"/>
      <c r="I207" s="31"/>
      <c r="J207" s="31"/>
      <c r="K207" s="31"/>
      <c r="L207" s="31"/>
      <c r="M207" s="6"/>
      <c r="N207" s="6"/>
      <c r="O207" s="6"/>
      <c r="P207" s="34" t="s">
        <v>926</v>
      </c>
      <c r="Q207" s="35"/>
      <c r="R207" s="36">
        <v>1.0</v>
      </c>
      <c r="S207" s="9" t="s">
        <v>38</v>
      </c>
      <c r="T207" s="33">
        <v>46091.0</v>
      </c>
      <c r="U207" s="33">
        <v>46092.0</v>
      </c>
      <c r="V207" s="35"/>
      <c r="W207" s="35"/>
      <c r="X207" s="6"/>
      <c r="Y207" s="31" t="s">
        <v>33</v>
      </c>
      <c r="Z207" s="6"/>
      <c r="AA207" s="6"/>
      <c r="AB207" s="6"/>
      <c r="AC207" s="6"/>
      <c r="AD207" s="6"/>
      <c r="AE207" s="6"/>
    </row>
    <row r="208">
      <c r="A208" s="19">
        <f t="shared" si="2"/>
        <v>207</v>
      </c>
      <c r="B208" s="89" t="s">
        <v>927</v>
      </c>
      <c r="C208" s="89" t="s">
        <v>928</v>
      </c>
      <c r="D208" s="21" t="s">
        <v>38</v>
      </c>
      <c r="E208" s="22">
        <v>46106.84652777778</v>
      </c>
      <c r="F208" s="22">
        <v>46107.40833333333</v>
      </c>
      <c r="G208" s="25"/>
      <c r="H208" s="80"/>
      <c r="I208" s="20"/>
      <c r="J208" s="20"/>
      <c r="K208" s="20"/>
      <c r="L208" s="20"/>
      <c r="M208" s="48"/>
      <c r="N208" s="25"/>
      <c r="O208" s="25"/>
      <c r="P208" s="26" t="s">
        <v>929</v>
      </c>
      <c r="Q208" s="27" t="s">
        <v>930</v>
      </c>
      <c r="R208" s="25"/>
      <c r="S208" s="21" t="s">
        <v>38</v>
      </c>
      <c r="T208" s="28">
        <v>46091.0</v>
      </c>
      <c r="U208" s="28">
        <v>46091.0</v>
      </c>
      <c r="V208" s="29"/>
      <c r="W208" s="29"/>
      <c r="X208" s="25"/>
      <c r="Y208" s="20" t="s">
        <v>33</v>
      </c>
      <c r="Z208" s="6"/>
      <c r="AA208" s="6"/>
      <c r="AB208" s="6"/>
      <c r="AC208" s="6"/>
      <c r="AD208" s="6"/>
      <c r="AE208" s="6"/>
    </row>
    <row r="209">
      <c r="A209" s="38">
        <f t="shared" si="2"/>
        <v>208</v>
      </c>
      <c r="B209" s="87" t="s">
        <v>931</v>
      </c>
      <c r="C209" s="87" t="s">
        <v>932</v>
      </c>
      <c r="D209" s="40" t="s">
        <v>27</v>
      </c>
      <c r="E209" s="41">
        <v>46106.84652777778</v>
      </c>
      <c r="F209" s="39"/>
      <c r="G209" s="43"/>
      <c r="H209" s="83"/>
      <c r="I209" s="39"/>
      <c r="J209" s="39"/>
      <c r="K209" s="39"/>
      <c r="L209" s="39"/>
      <c r="M209" s="42"/>
      <c r="N209" s="43"/>
      <c r="O209" s="43"/>
      <c r="P209" s="44" t="s">
        <v>933</v>
      </c>
      <c r="Q209" s="45"/>
      <c r="R209" s="46">
        <v>1.0</v>
      </c>
      <c r="S209" s="40" t="s">
        <v>87</v>
      </c>
      <c r="T209" s="47">
        <v>46091.0</v>
      </c>
      <c r="U209" s="39" t="s">
        <v>32</v>
      </c>
      <c r="V209" s="44" t="s">
        <v>934</v>
      </c>
      <c r="W209" s="45"/>
      <c r="X209" s="43"/>
      <c r="Y209" s="39" t="s">
        <v>33</v>
      </c>
      <c r="Z209" s="6"/>
      <c r="AA209" s="6"/>
      <c r="AB209" s="6"/>
      <c r="AC209" s="6"/>
      <c r="AD209" s="6"/>
      <c r="AE209" s="6"/>
    </row>
    <row r="210">
      <c r="A210" s="38">
        <f t="shared" si="2"/>
        <v>209</v>
      </c>
      <c r="B210" s="87" t="s">
        <v>935</v>
      </c>
      <c r="C210" s="84" t="s">
        <v>936</v>
      </c>
      <c r="D210" s="40" t="s">
        <v>27</v>
      </c>
      <c r="E210" s="41">
        <v>46106.84652777778</v>
      </c>
      <c r="F210" s="39"/>
      <c r="G210" s="39"/>
      <c r="H210" s="84" t="s">
        <v>937</v>
      </c>
      <c r="I210" s="39"/>
      <c r="J210" s="39"/>
      <c r="K210" s="39"/>
      <c r="L210" s="39"/>
      <c r="M210" s="42" t="s">
        <v>30</v>
      </c>
      <c r="N210" s="43"/>
      <c r="O210" s="43"/>
      <c r="P210" s="44" t="s">
        <v>938</v>
      </c>
      <c r="Q210" s="45"/>
      <c r="R210" s="46">
        <v>1.0</v>
      </c>
      <c r="S210" s="40" t="s">
        <v>87</v>
      </c>
      <c r="T210" s="47">
        <v>46091.0</v>
      </c>
      <c r="U210" s="39" t="s">
        <v>32</v>
      </c>
      <c r="V210" s="44" t="s">
        <v>939</v>
      </c>
      <c r="W210" s="45"/>
      <c r="X210" s="43"/>
      <c r="Y210" s="39" t="s">
        <v>33</v>
      </c>
      <c r="Z210" s="6"/>
      <c r="AA210" s="6"/>
      <c r="AB210" s="6"/>
      <c r="AC210" s="6"/>
      <c r="AD210" s="6"/>
      <c r="AE210" s="6"/>
    </row>
    <row r="211">
      <c r="A211" s="90">
        <f t="shared" si="2"/>
        <v>210</v>
      </c>
      <c r="B211" s="84" t="s">
        <v>940</v>
      </c>
      <c r="C211" s="84" t="s">
        <v>941</v>
      </c>
      <c r="D211" s="40" t="s">
        <v>27</v>
      </c>
      <c r="E211" s="41">
        <v>46106.84652777778</v>
      </c>
      <c r="F211" s="65"/>
      <c r="G211" s="65"/>
      <c r="H211" s="84" t="s">
        <v>942</v>
      </c>
      <c r="I211" s="65"/>
      <c r="J211" s="65"/>
      <c r="K211" s="65"/>
      <c r="L211" s="65"/>
      <c r="M211" s="66" t="s">
        <v>30</v>
      </c>
      <c r="N211" s="91"/>
      <c r="O211" s="91"/>
      <c r="P211" s="92" t="s">
        <v>943</v>
      </c>
      <c r="Q211" s="93"/>
      <c r="R211" s="94">
        <v>1.0</v>
      </c>
      <c r="S211" s="40" t="s">
        <v>87</v>
      </c>
      <c r="T211" s="47">
        <v>46091.0</v>
      </c>
      <c r="U211" s="65" t="s">
        <v>32</v>
      </c>
      <c r="V211" s="92" t="s">
        <v>944</v>
      </c>
      <c r="W211" s="93"/>
      <c r="X211" s="91"/>
      <c r="Y211" s="65" t="s">
        <v>33</v>
      </c>
      <c r="Z211" s="95"/>
      <c r="AA211" s="95"/>
      <c r="AB211" s="95"/>
      <c r="AC211" s="95"/>
      <c r="AD211" s="95"/>
      <c r="AE211" s="95"/>
    </row>
    <row r="212">
      <c r="A212" s="90">
        <f t="shared" si="2"/>
        <v>211</v>
      </c>
      <c r="B212" s="62" t="s">
        <v>945</v>
      </c>
      <c r="C212" s="66" t="s">
        <v>946</v>
      </c>
      <c r="D212" s="96" t="s">
        <v>27</v>
      </c>
      <c r="E212" s="97">
        <v>46106.84652777778</v>
      </c>
      <c r="F212" s="65"/>
      <c r="G212" s="65"/>
      <c r="H212" s="62" t="s">
        <v>947</v>
      </c>
      <c r="I212" s="65"/>
      <c r="J212" s="65"/>
      <c r="K212" s="65"/>
      <c r="L212" s="65"/>
      <c r="M212" s="66" t="s">
        <v>30</v>
      </c>
      <c r="N212" s="91"/>
      <c r="O212" s="91"/>
      <c r="P212" s="92" t="s">
        <v>948</v>
      </c>
      <c r="Q212" s="93"/>
      <c r="R212" s="94">
        <v>1.0</v>
      </c>
      <c r="S212" s="65" t="s">
        <v>87</v>
      </c>
      <c r="T212" s="98">
        <v>46091.0</v>
      </c>
      <c r="U212" s="65" t="s">
        <v>32</v>
      </c>
      <c r="V212" s="92" t="s">
        <v>949</v>
      </c>
      <c r="W212" s="93"/>
      <c r="X212" s="91"/>
      <c r="Y212" s="65" t="s">
        <v>33</v>
      </c>
      <c r="Z212" s="95"/>
      <c r="AA212" s="95"/>
      <c r="AB212" s="95"/>
      <c r="AC212" s="95"/>
      <c r="AD212" s="95"/>
      <c r="AE212" s="95"/>
    </row>
    <row r="213">
      <c r="A213" s="99">
        <f t="shared" si="2"/>
        <v>212</v>
      </c>
      <c r="B213" s="74" t="s">
        <v>950</v>
      </c>
      <c r="C213" s="74" t="s">
        <v>951</v>
      </c>
      <c r="D213" s="100" t="s">
        <v>38</v>
      </c>
      <c r="E213" s="101">
        <v>46106.84652777778</v>
      </c>
      <c r="F213" s="101">
        <v>46114.572916666664</v>
      </c>
      <c r="G213" s="56"/>
      <c r="H213" s="74" t="s">
        <v>952</v>
      </c>
      <c r="I213" s="56"/>
      <c r="J213" s="56"/>
      <c r="K213" s="56"/>
      <c r="L213" s="56"/>
      <c r="M213" s="63" t="s">
        <v>30</v>
      </c>
      <c r="N213" s="102"/>
      <c r="O213" s="102"/>
      <c r="P213" s="103" t="s">
        <v>953</v>
      </c>
      <c r="Q213" s="104" t="s">
        <v>954</v>
      </c>
      <c r="R213" s="105">
        <v>1.0</v>
      </c>
      <c r="S213" s="56" t="s">
        <v>87</v>
      </c>
      <c r="T213" s="106">
        <v>46091.0</v>
      </c>
      <c r="U213" s="56" t="s">
        <v>32</v>
      </c>
      <c r="V213" s="103" t="s">
        <v>955</v>
      </c>
      <c r="W213" s="107"/>
      <c r="X213" s="102"/>
      <c r="Y213" s="56" t="s">
        <v>33</v>
      </c>
      <c r="Z213" s="95"/>
      <c r="AA213" s="95"/>
      <c r="AB213" s="95"/>
      <c r="AC213" s="95"/>
      <c r="AD213" s="95"/>
      <c r="AE213" s="95"/>
    </row>
    <row r="214" ht="13.5" customHeight="1">
      <c r="A214" s="19">
        <f t="shared" si="2"/>
        <v>213</v>
      </c>
      <c r="B214" s="74" t="s">
        <v>956</v>
      </c>
      <c r="C214" s="74" t="s">
        <v>957</v>
      </c>
      <c r="D214" s="108" t="s">
        <v>38</v>
      </c>
      <c r="E214" s="22">
        <v>46106.84652777778</v>
      </c>
      <c r="F214" s="22">
        <v>46107.74722222222</v>
      </c>
      <c r="G214" s="20"/>
      <c r="H214" s="81" t="s">
        <v>958</v>
      </c>
      <c r="I214" s="25"/>
      <c r="J214" s="25"/>
      <c r="K214" s="25"/>
      <c r="L214" s="25"/>
      <c r="M214" s="48" t="s">
        <v>30</v>
      </c>
      <c r="N214" s="25"/>
      <c r="O214" s="25"/>
      <c r="P214" s="26" t="s">
        <v>959</v>
      </c>
      <c r="Q214" s="27" t="s">
        <v>960</v>
      </c>
      <c r="R214" s="25"/>
      <c r="S214" s="20" t="s">
        <v>38</v>
      </c>
      <c r="T214" s="28">
        <v>46091.0</v>
      </c>
      <c r="U214" s="109">
        <v>46091.0</v>
      </c>
      <c r="V214" s="26" t="s">
        <v>961</v>
      </c>
      <c r="W214" s="29"/>
      <c r="X214" s="25"/>
      <c r="Y214" s="20" t="s">
        <v>33</v>
      </c>
      <c r="Z214" s="6"/>
      <c r="AA214" s="6"/>
      <c r="AB214" s="6"/>
      <c r="AC214" s="6"/>
      <c r="AD214" s="6"/>
      <c r="AE214" s="6"/>
    </row>
    <row r="215">
      <c r="A215" s="19">
        <f t="shared" si="2"/>
        <v>214</v>
      </c>
      <c r="B215" s="75" t="s">
        <v>962</v>
      </c>
      <c r="C215" s="75" t="s">
        <v>963</v>
      </c>
      <c r="D215" s="108" t="s">
        <v>38</v>
      </c>
      <c r="E215" s="22">
        <v>46106.84652777778</v>
      </c>
      <c r="F215" s="22">
        <v>46107.70138888889</v>
      </c>
      <c r="G215" s="20"/>
      <c r="H215" s="89" t="s">
        <v>964</v>
      </c>
      <c r="I215" s="25"/>
      <c r="J215" s="25"/>
      <c r="K215" s="25"/>
      <c r="L215" s="25"/>
      <c r="M215" s="48"/>
      <c r="N215" s="25"/>
      <c r="O215" s="25"/>
      <c r="P215" s="26" t="s">
        <v>965</v>
      </c>
      <c r="Q215" s="27" t="s">
        <v>966</v>
      </c>
      <c r="R215" s="25"/>
      <c r="S215" s="20" t="s">
        <v>38</v>
      </c>
      <c r="T215" s="109">
        <v>46091.0</v>
      </c>
      <c r="U215" s="109">
        <v>46091.0</v>
      </c>
      <c r="V215" s="29"/>
      <c r="W215" s="29"/>
      <c r="X215" s="25"/>
      <c r="Y215" s="20" t="s">
        <v>33</v>
      </c>
      <c r="Z215" s="6"/>
      <c r="AA215" s="6"/>
      <c r="AB215" s="6"/>
      <c r="AC215" s="6"/>
      <c r="AD215" s="6"/>
      <c r="AE215" s="6"/>
    </row>
    <row r="216">
      <c r="A216" s="7">
        <f t="shared" si="2"/>
        <v>215</v>
      </c>
      <c r="B216" s="88" t="s">
        <v>967</v>
      </c>
      <c r="C216" s="72" t="s">
        <v>968</v>
      </c>
      <c r="D216" s="110" t="s">
        <v>27</v>
      </c>
      <c r="E216" s="32">
        <v>46106.84652777778</v>
      </c>
      <c r="F216" s="33"/>
      <c r="G216" s="31"/>
      <c r="H216" s="88" t="s">
        <v>969</v>
      </c>
      <c r="I216" s="6"/>
      <c r="J216" s="6"/>
      <c r="K216" s="6"/>
      <c r="L216" s="6"/>
      <c r="M216" s="37" t="s">
        <v>30</v>
      </c>
      <c r="N216" s="6"/>
      <c r="O216" s="6"/>
      <c r="P216" s="34" t="s">
        <v>970</v>
      </c>
      <c r="Q216" s="35"/>
      <c r="R216" s="36">
        <v>1.0</v>
      </c>
      <c r="S216" s="31" t="s">
        <v>38</v>
      </c>
      <c r="T216" s="33">
        <v>46091.0</v>
      </c>
      <c r="U216" s="33">
        <v>46092.0</v>
      </c>
      <c r="V216" s="35"/>
      <c r="W216" s="35"/>
      <c r="X216" s="6"/>
      <c r="Y216" s="31" t="s">
        <v>33</v>
      </c>
      <c r="Z216" s="6"/>
      <c r="AA216" s="6"/>
      <c r="AB216" s="6"/>
      <c r="AC216" s="6"/>
      <c r="AD216" s="6"/>
      <c r="AE216" s="6"/>
    </row>
    <row r="217">
      <c r="A217" s="19">
        <f t="shared" si="2"/>
        <v>216</v>
      </c>
      <c r="B217" s="89" t="s">
        <v>971</v>
      </c>
      <c r="C217" s="89" t="s">
        <v>972</v>
      </c>
      <c r="D217" s="108" t="s">
        <v>38</v>
      </c>
      <c r="E217" s="22">
        <v>46106.84652777778</v>
      </c>
      <c r="F217" s="22">
        <v>46107.73263888889</v>
      </c>
      <c r="G217" s="25"/>
      <c r="H217" s="80" t="s">
        <v>721</v>
      </c>
      <c r="I217" s="25"/>
      <c r="J217" s="25"/>
      <c r="K217" s="25"/>
      <c r="L217" s="25"/>
      <c r="M217" s="48" t="s">
        <v>30</v>
      </c>
      <c r="N217" s="25"/>
      <c r="O217" s="25"/>
      <c r="P217" s="26" t="s">
        <v>973</v>
      </c>
      <c r="Q217" s="27" t="s">
        <v>974</v>
      </c>
      <c r="R217" s="25"/>
      <c r="S217" s="20" t="s">
        <v>38</v>
      </c>
      <c r="T217" s="28">
        <v>46091.0</v>
      </c>
      <c r="U217" s="28">
        <v>46091.0</v>
      </c>
      <c r="V217" s="26" t="s">
        <v>975</v>
      </c>
      <c r="W217" s="29"/>
      <c r="X217" s="25"/>
      <c r="Y217" s="20" t="s">
        <v>33</v>
      </c>
      <c r="Z217" s="6"/>
      <c r="AA217" s="6"/>
      <c r="AB217" s="6"/>
      <c r="AC217" s="6"/>
      <c r="AD217" s="6"/>
      <c r="AE217" s="6"/>
    </row>
    <row r="218">
      <c r="A218" s="19">
        <f t="shared" si="2"/>
        <v>217</v>
      </c>
      <c r="B218" s="89" t="s">
        <v>976</v>
      </c>
      <c r="C218" s="89" t="s">
        <v>977</v>
      </c>
      <c r="D218" s="108" t="s">
        <v>38</v>
      </c>
      <c r="E218" s="22">
        <v>46106.84722222222</v>
      </c>
      <c r="F218" s="22">
        <v>46107.58819444444</v>
      </c>
      <c r="G218" s="25"/>
      <c r="H218" s="80" t="s">
        <v>721</v>
      </c>
      <c r="I218" s="25"/>
      <c r="J218" s="25"/>
      <c r="K218" s="25"/>
      <c r="L218" s="25"/>
      <c r="M218" s="48" t="s">
        <v>30</v>
      </c>
      <c r="N218" s="25"/>
      <c r="O218" s="25"/>
      <c r="P218" s="26" t="s">
        <v>978</v>
      </c>
      <c r="Q218" s="27" t="s">
        <v>979</v>
      </c>
      <c r="R218" s="25"/>
      <c r="S218" s="20" t="s">
        <v>38</v>
      </c>
      <c r="T218" s="28">
        <v>46091.0</v>
      </c>
      <c r="U218" s="28">
        <v>46091.0</v>
      </c>
      <c r="V218" s="29"/>
      <c r="W218" s="29"/>
      <c r="X218" s="25"/>
      <c r="Y218" s="20" t="s">
        <v>33</v>
      </c>
      <c r="Z218" s="6"/>
      <c r="AA218" s="6"/>
      <c r="AB218" s="6"/>
      <c r="AC218" s="6"/>
      <c r="AD218" s="6"/>
      <c r="AE218" s="6"/>
    </row>
    <row r="219">
      <c r="A219" s="7">
        <f t="shared" si="2"/>
        <v>218</v>
      </c>
      <c r="B219" s="6" t="s">
        <v>980</v>
      </c>
      <c r="C219" s="31" t="s">
        <v>981</v>
      </c>
      <c r="D219" s="110" t="s">
        <v>27</v>
      </c>
      <c r="E219" s="32">
        <v>46106.84722222222</v>
      </c>
      <c r="F219" s="33"/>
      <c r="G219" s="6"/>
      <c r="H219" s="6" t="s">
        <v>982</v>
      </c>
      <c r="I219" s="6"/>
      <c r="J219" s="6"/>
      <c r="K219" s="6"/>
      <c r="L219" s="6"/>
      <c r="M219" s="37" t="s">
        <v>30</v>
      </c>
      <c r="N219" s="6"/>
      <c r="O219" s="6"/>
      <c r="P219" s="34" t="s">
        <v>983</v>
      </c>
      <c r="Q219" s="35"/>
      <c r="R219" s="36">
        <v>1.0</v>
      </c>
      <c r="S219" s="31" t="s">
        <v>38</v>
      </c>
      <c r="T219" s="33">
        <v>46091.0</v>
      </c>
      <c r="U219" s="33">
        <v>46097.0</v>
      </c>
      <c r="V219" s="35"/>
      <c r="W219" s="35"/>
      <c r="X219" s="6"/>
      <c r="Y219" s="31" t="s">
        <v>33</v>
      </c>
      <c r="Z219" s="6"/>
      <c r="AA219" s="6"/>
      <c r="AB219" s="6"/>
      <c r="AC219" s="6"/>
      <c r="AD219" s="6"/>
      <c r="AE219" s="6"/>
    </row>
    <row r="220">
      <c r="A220" s="38">
        <f t="shared" si="2"/>
        <v>219</v>
      </c>
      <c r="B220" s="43" t="s">
        <v>984</v>
      </c>
      <c r="C220" s="39" t="s">
        <v>985</v>
      </c>
      <c r="D220" s="111" t="s">
        <v>27</v>
      </c>
      <c r="E220" s="41">
        <v>46106.84722222222</v>
      </c>
      <c r="F220" s="39"/>
      <c r="G220" s="43"/>
      <c r="H220" s="43" t="s">
        <v>986</v>
      </c>
      <c r="I220" s="43"/>
      <c r="J220" s="43"/>
      <c r="K220" s="43"/>
      <c r="L220" s="43"/>
      <c r="M220" s="42" t="s">
        <v>30</v>
      </c>
      <c r="N220" s="43"/>
      <c r="O220" s="43"/>
      <c r="P220" s="44" t="s">
        <v>987</v>
      </c>
      <c r="Q220" s="45"/>
      <c r="R220" s="46">
        <v>1.0</v>
      </c>
      <c r="S220" s="39" t="s">
        <v>87</v>
      </c>
      <c r="T220" s="43"/>
      <c r="U220" s="39" t="s">
        <v>32</v>
      </c>
      <c r="V220" s="44" t="s">
        <v>988</v>
      </c>
      <c r="W220" s="45"/>
      <c r="X220" s="43"/>
      <c r="Y220" s="39" t="s">
        <v>33</v>
      </c>
      <c r="Z220" s="6"/>
      <c r="AA220" s="6"/>
      <c r="AB220" s="6"/>
      <c r="AC220" s="6"/>
      <c r="AD220" s="6"/>
      <c r="AE220" s="6"/>
    </row>
    <row r="221">
      <c r="A221" s="38">
        <f t="shared" si="2"/>
        <v>220</v>
      </c>
      <c r="B221" s="43" t="s">
        <v>989</v>
      </c>
      <c r="C221" s="43" t="s">
        <v>990</v>
      </c>
      <c r="D221" s="111" t="s">
        <v>27</v>
      </c>
      <c r="E221" s="41">
        <v>46106.84722222222</v>
      </c>
      <c r="F221" s="39"/>
      <c r="G221" s="43"/>
      <c r="H221" s="43" t="s">
        <v>986</v>
      </c>
      <c r="I221" s="43"/>
      <c r="J221" s="43"/>
      <c r="K221" s="43"/>
      <c r="L221" s="43"/>
      <c r="M221" s="42" t="s">
        <v>30</v>
      </c>
      <c r="N221" s="43"/>
      <c r="O221" s="43"/>
      <c r="P221" s="44" t="s">
        <v>991</v>
      </c>
      <c r="Q221" s="45"/>
      <c r="R221" s="46">
        <v>1.0</v>
      </c>
      <c r="S221" s="39" t="s">
        <v>87</v>
      </c>
      <c r="T221" s="43"/>
      <c r="U221" s="39" t="s">
        <v>32</v>
      </c>
      <c r="V221" s="44" t="s">
        <v>992</v>
      </c>
      <c r="W221" s="45"/>
      <c r="X221" s="43"/>
      <c r="Y221" s="39" t="s">
        <v>33</v>
      </c>
      <c r="Z221" s="6"/>
      <c r="AA221" s="6"/>
      <c r="AB221" s="6"/>
      <c r="AC221" s="6"/>
      <c r="AD221" s="6"/>
      <c r="AE221" s="6"/>
    </row>
    <row r="222">
      <c r="A222" s="19">
        <f t="shared" si="2"/>
        <v>221</v>
      </c>
      <c r="B222" s="20" t="s">
        <v>176</v>
      </c>
      <c r="C222" s="20" t="s">
        <v>177</v>
      </c>
      <c r="D222" s="108" t="s">
        <v>27</v>
      </c>
      <c r="E222" s="22">
        <v>46106.84722222222</v>
      </c>
      <c r="F222" s="22"/>
      <c r="G222" s="20" t="s">
        <v>993</v>
      </c>
      <c r="H222" s="20" t="s">
        <v>994</v>
      </c>
      <c r="I222" s="20" t="s">
        <v>995</v>
      </c>
      <c r="J222" s="20" t="s">
        <v>176</v>
      </c>
      <c r="K222" s="20">
        <v>9.04943553E9</v>
      </c>
      <c r="L222" s="20" t="s">
        <v>996</v>
      </c>
      <c r="M222" s="25"/>
      <c r="N222" s="25"/>
      <c r="O222" s="25"/>
      <c r="P222" s="26" t="s">
        <v>997</v>
      </c>
      <c r="Q222" s="26"/>
      <c r="R222" s="36">
        <v>1.0</v>
      </c>
      <c r="S222" s="20" t="s">
        <v>38</v>
      </c>
      <c r="T222" s="22">
        <v>46091.638194444444</v>
      </c>
      <c r="U222" s="22">
        <v>46091.63888888889</v>
      </c>
      <c r="V222" s="26" t="s">
        <v>998</v>
      </c>
      <c r="W222" s="27" t="s">
        <v>999</v>
      </c>
      <c r="X222" s="6"/>
      <c r="Y222" s="31" t="s">
        <v>33</v>
      </c>
      <c r="Z222" s="6"/>
      <c r="AA222" s="6"/>
      <c r="AB222" s="6"/>
      <c r="AC222" s="6"/>
      <c r="AD222" s="6"/>
      <c r="AE222" s="6"/>
    </row>
    <row r="223">
      <c r="A223" s="19">
        <f t="shared" si="2"/>
        <v>222</v>
      </c>
      <c r="B223" s="20" t="s">
        <v>1000</v>
      </c>
      <c r="C223" s="20" t="s">
        <v>1001</v>
      </c>
      <c r="D223" s="108" t="s">
        <v>38</v>
      </c>
      <c r="E223" s="22">
        <v>46106.84722222222</v>
      </c>
      <c r="F223" s="22">
        <v>46108.48888888889</v>
      </c>
      <c r="G223" s="25"/>
      <c r="H223" s="25"/>
      <c r="I223" s="25"/>
      <c r="J223" s="25"/>
      <c r="K223" s="25"/>
      <c r="L223" s="25"/>
      <c r="M223" s="25"/>
      <c r="N223" s="25"/>
      <c r="O223" s="25"/>
      <c r="P223" s="26" t="s">
        <v>1002</v>
      </c>
      <c r="Q223" s="27" t="s">
        <v>1003</v>
      </c>
      <c r="R223" s="25"/>
      <c r="S223" s="20" t="s">
        <v>38</v>
      </c>
      <c r="T223" s="28">
        <v>46091.0</v>
      </c>
      <c r="U223" s="28">
        <v>46091.0</v>
      </c>
      <c r="V223" s="29"/>
      <c r="W223" s="29"/>
      <c r="X223" s="25"/>
      <c r="Y223" s="20" t="s">
        <v>33</v>
      </c>
      <c r="Z223" s="6"/>
      <c r="AA223" s="6"/>
      <c r="AB223" s="6"/>
      <c r="AC223" s="6"/>
      <c r="AD223" s="6"/>
      <c r="AE223" s="6"/>
    </row>
    <row r="224">
      <c r="A224" s="7">
        <f t="shared" si="2"/>
        <v>223</v>
      </c>
      <c r="B224" s="31" t="s">
        <v>1004</v>
      </c>
      <c r="C224" s="31" t="s">
        <v>1005</v>
      </c>
      <c r="D224" s="110" t="s">
        <v>27</v>
      </c>
      <c r="E224" s="32">
        <v>46106.84722222222</v>
      </c>
      <c r="F224" s="33"/>
      <c r="G224" s="6"/>
      <c r="H224" s="6"/>
      <c r="I224" s="6"/>
      <c r="J224" s="6"/>
      <c r="K224" s="6"/>
      <c r="L224" s="6"/>
      <c r="M224" s="37"/>
      <c r="N224" s="6"/>
      <c r="O224" s="6"/>
      <c r="P224" s="34" t="s">
        <v>1006</v>
      </c>
      <c r="Q224" s="35"/>
      <c r="R224" s="36">
        <v>1.0</v>
      </c>
      <c r="S224" s="31" t="s">
        <v>38</v>
      </c>
      <c r="T224" s="33">
        <v>6686200.0</v>
      </c>
      <c r="U224" s="33">
        <v>46092.0</v>
      </c>
      <c r="V224" s="35"/>
      <c r="W224" s="35"/>
      <c r="X224" s="6"/>
      <c r="Y224" s="31" t="s">
        <v>33</v>
      </c>
      <c r="Z224" s="6"/>
      <c r="AA224" s="6"/>
      <c r="AB224" s="6"/>
      <c r="AC224" s="6"/>
      <c r="AD224" s="6"/>
      <c r="AE224" s="6"/>
    </row>
    <row r="225">
      <c r="A225" s="7">
        <f t="shared" si="2"/>
        <v>224</v>
      </c>
      <c r="B225" s="31" t="s">
        <v>1007</v>
      </c>
      <c r="C225" s="31" t="s">
        <v>1008</v>
      </c>
      <c r="D225" s="110" t="s">
        <v>27</v>
      </c>
      <c r="E225" s="32">
        <v>46106.84722222222</v>
      </c>
      <c r="F225" s="8"/>
      <c r="G225" s="6"/>
      <c r="H225" s="6"/>
      <c r="I225" s="6"/>
      <c r="J225" s="6"/>
      <c r="K225" s="6"/>
      <c r="L225" s="6"/>
      <c r="M225" s="37"/>
      <c r="N225" s="6"/>
      <c r="O225" s="6"/>
      <c r="P225" s="34" t="s">
        <v>1009</v>
      </c>
      <c r="Q225" s="35"/>
      <c r="R225" s="36">
        <v>1.0</v>
      </c>
      <c r="S225" s="31" t="s">
        <v>27</v>
      </c>
      <c r="T225" s="33">
        <v>46092.0</v>
      </c>
      <c r="U225" s="31" t="s">
        <v>32</v>
      </c>
      <c r="V225" s="35"/>
      <c r="W225" s="35"/>
      <c r="X225" s="6"/>
      <c r="Y225" s="31" t="s">
        <v>33</v>
      </c>
      <c r="Z225" s="6"/>
      <c r="AA225" s="6"/>
      <c r="AB225" s="6"/>
      <c r="AC225" s="6"/>
      <c r="AD225" s="6"/>
      <c r="AE225" s="6"/>
    </row>
    <row r="226">
      <c r="A226" s="38">
        <f t="shared" si="2"/>
        <v>225</v>
      </c>
      <c r="B226" s="83" t="s">
        <v>1010</v>
      </c>
      <c r="C226" s="87" t="s">
        <v>1011</v>
      </c>
      <c r="D226" s="111" t="s">
        <v>27</v>
      </c>
      <c r="E226" s="41">
        <v>46111.438888888886</v>
      </c>
      <c r="F226" s="39"/>
      <c r="G226" s="43"/>
      <c r="H226" s="83" t="s">
        <v>1012</v>
      </c>
      <c r="I226" s="43"/>
      <c r="J226" s="43"/>
      <c r="K226" s="43"/>
      <c r="L226" s="43"/>
      <c r="M226" s="42" t="s">
        <v>30</v>
      </c>
      <c r="N226" s="43"/>
      <c r="O226" s="43"/>
      <c r="P226" s="44" t="s">
        <v>1013</v>
      </c>
      <c r="Q226" s="45"/>
      <c r="R226" s="46"/>
      <c r="S226" s="39" t="s">
        <v>87</v>
      </c>
      <c r="T226" s="41">
        <v>46092.686111111114</v>
      </c>
      <c r="U226" s="39" t="s">
        <v>32</v>
      </c>
      <c r="V226" s="44" t="s">
        <v>1014</v>
      </c>
      <c r="W226" s="45"/>
      <c r="X226" s="46">
        <v>1.0</v>
      </c>
      <c r="Y226" s="39" t="s">
        <v>33</v>
      </c>
      <c r="Z226" s="6"/>
      <c r="AA226" s="6"/>
      <c r="AB226" s="6"/>
      <c r="AC226" s="6"/>
      <c r="AD226" s="6"/>
      <c r="AE226" s="6"/>
    </row>
    <row r="227">
      <c r="A227" s="19">
        <f t="shared" si="2"/>
        <v>226</v>
      </c>
      <c r="B227" s="80" t="s">
        <v>1015</v>
      </c>
      <c r="C227" s="80" t="s">
        <v>1016</v>
      </c>
      <c r="D227" s="108" t="s">
        <v>38</v>
      </c>
      <c r="E227" s="22">
        <v>46108.75833333333</v>
      </c>
      <c r="F227" s="22">
        <v>46111.60138888889</v>
      </c>
      <c r="G227" s="25"/>
      <c r="H227" s="80" t="s">
        <v>1012</v>
      </c>
      <c r="I227" s="25"/>
      <c r="J227" s="25"/>
      <c r="K227" s="25"/>
      <c r="L227" s="25"/>
      <c r="M227" s="48" t="s">
        <v>30</v>
      </c>
      <c r="N227" s="25"/>
      <c r="O227" s="25"/>
      <c r="P227" s="26" t="s">
        <v>1017</v>
      </c>
      <c r="Q227" s="27" t="s">
        <v>1018</v>
      </c>
      <c r="R227" s="30"/>
      <c r="S227" s="20" t="s">
        <v>87</v>
      </c>
      <c r="T227" s="22">
        <v>46092.68680555555</v>
      </c>
      <c r="U227" s="20" t="s">
        <v>32</v>
      </c>
      <c r="V227" s="26" t="s">
        <v>1019</v>
      </c>
      <c r="W227" s="29"/>
      <c r="X227" s="30">
        <v>1.0</v>
      </c>
      <c r="Y227" s="20" t="s">
        <v>33</v>
      </c>
      <c r="Z227" s="6"/>
      <c r="AA227" s="6"/>
      <c r="AB227" s="6"/>
      <c r="AC227" s="6"/>
      <c r="AD227" s="6"/>
      <c r="AE227" s="6"/>
    </row>
    <row r="228">
      <c r="A228" s="19">
        <f t="shared" si="2"/>
        <v>227</v>
      </c>
      <c r="B228" s="80" t="s">
        <v>1020</v>
      </c>
      <c r="C228" s="80" t="s">
        <v>1021</v>
      </c>
      <c r="D228" s="108" t="s">
        <v>38</v>
      </c>
      <c r="E228" s="22">
        <v>46106.847916666666</v>
      </c>
      <c r="F228" s="22">
        <v>46108.32430555556</v>
      </c>
      <c r="G228" s="25"/>
      <c r="H228" s="80" t="s">
        <v>1022</v>
      </c>
      <c r="I228" s="25"/>
      <c r="J228" s="25"/>
      <c r="K228" s="25"/>
      <c r="L228" s="25"/>
      <c r="M228" s="48" t="s">
        <v>30</v>
      </c>
      <c r="N228" s="25"/>
      <c r="O228" s="25"/>
      <c r="P228" s="26" t="s">
        <v>1023</v>
      </c>
      <c r="Q228" s="27" t="s">
        <v>1024</v>
      </c>
      <c r="R228" s="25"/>
      <c r="S228" s="20" t="s">
        <v>38</v>
      </c>
      <c r="T228" s="22">
        <v>46092.6875</v>
      </c>
      <c r="U228" s="22">
        <v>46093.33194444444</v>
      </c>
      <c r="V228" s="26" t="s">
        <v>1025</v>
      </c>
      <c r="W228" s="27" t="s">
        <v>1026</v>
      </c>
      <c r="X228" s="25"/>
      <c r="Y228" s="20" t="s">
        <v>33</v>
      </c>
      <c r="Z228" s="6"/>
      <c r="AA228" s="6"/>
      <c r="AB228" s="6"/>
      <c r="AC228" s="6"/>
      <c r="AD228" s="6"/>
      <c r="AE228" s="6"/>
    </row>
    <row r="229">
      <c r="A229" s="19">
        <f t="shared" si="2"/>
        <v>228</v>
      </c>
      <c r="B229" s="80" t="s">
        <v>1027</v>
      </c>
      <c r="C229" s="80" t="s">
        <v>1028</v>
      </c>
      <c r="D229" s="108" t="s">
        <v>38</v>
      </c>
      <c r="E229" s="22">
        <v>46106.847916666666</v>
      </c>
      <c r="F229" s="22">
        <v>46107.42291666667</v>
      </c>
      <c r="G229" s="25"/>
      <c r="H229" s="80" t="s">
        <v>1029</v>
      </c>
      <c r="I229" s="25"/>
      <c r="J229" s="25"/>
      <c r="K229" s="25"/>
      <c r="L229" s="25"/>
      <c r="M229" s="48" t="s">
        <v>30</v>
      </c>
      <c r="N229" s="25"/>
      <c r="O229" s="25"/>
      <c r="P229" s="26" t="s">
        <v>1030</v>
      </c>
      <c r="Q229" s="27" t="s">
        <v>1031</v>
      </c>
      <c r="R229" s="25"/>
      <c r="S229" s="20" t="s">
        <v>38</v>
      </c>
      <c r="T229" s="22">
        <v>46092.6875</v>
      </c>
      <c r="U229" s="22">
        <v>46097.529861111114</v>
      </c>
      <c r="V229" s="26" t="s">
        <v>1032</v>
      </c>
      <c r="W229" s="27" t="s">
        <v>1033</v>
      </c>
      <c r="X229" s="25"/>
      <c r="Y229" s="20" t="s">
        <v>33</v>
      </c>
      <c r="Z229" s="6"/>
      <c r="AA229" s="6"/>
      <c r="AB229" s="6"/>
      <c r="AC229" s="6"/>
      <c r="AD229" s="6"/>
      <c r="AE229" s="6"/>
    </row>
    <row r="230">
      <c r="A230" s="38">
        <f t="shared" si="2"/>
        <v>229</v>
      </c>
      <c r="B230" s="83" t="s">
        <v>1034</v>
      </c>
      <c r="C230" s="83" t="s">
        <v>1035</v>
      </c>
      <c r="D230" s="111" t="s">
        <v>27</v>
      </c>
      <c r="E230" s="41">
        <v>46106.847916666666</v>
      </c>
      <c r="F230" s="39"/>
      <c r="G230" s="43"/>
      <c r="H230" s="83" t="s">
        <v>1029</v>
      </c>
      <c r="I230" s="43"/>
      <c r="J230" s="43"/>
      <c r="K230" s="43"/>
      <c r="L230" s="43"/>
      <c r="M230" s="42" t="s">
        <v>30</v>
      </c>
      <c r="N230" s="43"/>
      <c r="O230" s="43"/>
      <c r="P230" s="44" t="s">
        <v>1036</v>
      </c>
      <c r="Q230" s="45"/>
      <c r="R230" s="46">
        <v>1.0</v>
      </c>
      <c r="S230" s="39" t="s">
        <v>87</v>
      </c>
      <c r="T230" s="41">
        <v>46092.6875</v>
      </c>
      <c r="U230" s="39" t="s">
        <v>32</v>
      </c>
      <c r="V230" s="44" t="s">
        <v>1037</v>
      </c>
      <c r="W230" s="45"/>
      <c r="X230" s="46">
        <v>1.0</v>
      </c>
      <c r="Y230" s="39" t="s">
        <v>33</v>
      </c>
      <c r="Z230" s="6"/>
      <c r="AA230" s="6"/>
      <c r="AB230" s="6"/>
      <c r="AC230" s="6"/>
      <c r="AD230" s="6"/>
      <c r="AE230" s="6"/>
    </row>
    <row r="231">
      <c r="A231" s="19">
        <f t="shared" si="2"/>
        <v>230</v>
      </c>
      <c r="B231" s="80" t="s">
        <v>1038</v>
      </c>
      <c r="C231" s="80" t="s">
        <v>1039</v>
      </c>
      <c r="D231" s="108" t="s">
        <v>38</v>
      </c>
      <c r="E231" s="109">
        <v>46107.0</v>
      </c>
      <c r="F231" s="22">
        <v>46108.71319444444</v>
      </c>
      <c r="G231" s="20" t="s">
        <v>1040</v>
      </c>
      <c r="H231" s="80" t="s">
        <v>1029</v>
      </c>
      <c r="I231" s="25"/>
      <c r="J231" s="25"/>
      <c r="K231" s="25"/>
      <c r="L231" s="25"/>
      <c r="M231" s="48" t="s">
        <v>30</v>
      </c>
      <c r="N231" s="25"/>
      <c r="O231" s="25"/>
      <c r="P231" s="26" t="s">
        <v>1041</v>
      </c>
      <c r="Q231" s="27" t="s">
        <v>1042</v>
      </c>
      <c r="R231" s="30"/>
      <c r="S231" s="20" t="s">
        <v>87</v>
      </c>
      <c r="T231" s="22">
        <v>46092.68819444445</v>
      </c>
      <c r="U231" s="20" t="s">
        <v>32</v>
      </c>
      <c r="V231" s="26" t="s">
        <v>1043</v>
      </c>
      <c r="W231" s="29"/>
      <c r="X231" s="30">
        <v>1.0</v>
      </c>
      <c r="Y231" s="20" t="s">
        <v>33</v>
      </c>
      <c r="Z231" s="6"/>
      <c r="AA231" s="6"/>
      <c r="AB231" s="6"/>
      <c r="AC231" s="6"/>
      <c r="AD231" s="6"/>
      <c r="AE231" s="6"/>
    </row>
    <row r="232">
      <c r="A232" s="38">
        <f t="shared" si="2"/>
        <v>231</v>
      </c>
      <c r="B232" s="83" t="s">
        <v>1044</v>
      </c>
      <c r="C232" s="83" t="s">
        <v>1045</v>
      </c>
      <c r="D232" s="111" t="s">
        <v>27</v>
      </c>
      <c r="E232" s="41">
        <v>46106.847916666666</v>
      </c>
      <c r="F232" s="39"/>
      <c r="G232" s="43"/>
      <c r="H232" s="83" t="s">
        <v>1029</v>
      </c>
      <c r="I232" s="43"/>
      <c r="J232" s="43"/>
      <c r="K232" s="43"/>
      <c r="L232" s="43"/>
      <c r="M232" s="42" t="s">
        <v>30</v>
      </c>
      <c r="N232" s="43"/>
      <c r="O232" s="43"/>
      <c r="P232" s="44" t="s">
        <v>1046</v>
      </c>
      <c r="Q232" s="45"/>
      <c r="R232" s="46">
        <v>1.0</v>
      </c>
      <c r="S232" s="39" t="s">
        <v>87</v>
      </c>
      <c r="T232" s="41">
        <v>46092.68819444445</v>
      </c>
      <c r="U232" s="39" t="s">
        <v>32</v>
      </c>
      <c r="V232" s="44" t="s">
        <v>1047</v>
      </c>
      <c r="W232" s="45"/>
      <c r="X232" s="46">
        <v>1.0</v>
      </c>
      <c r="Y232" s="39" t="s">
        <v>33</v>
      </c>
      <c r="Z232" s="6"/>
      <c r="AA232" s="6"/>
      <c r="AB232" s="6"/>
      <c r="AC232" s="6"/>
      <c r="AD232" s="6"/>
      <c r="AE232" s="6"/>
    </row>
    <row r="233">
      <c r="A233" s="38">
        <f t="shared" si="2"/>
        <v>232</v>
      </c>
      <c r="B233" s="83" t="s">
        <v>1048</v>
      </c>
      <c r="C233" s="83" t="s">
        <v>1049</v>
      </c>
      <c r="D233" s="111" t="s">
        <v>27</v>
      </c>
      <c r="E233" s="41">
        <v>46106.847916666666</v>
      </c>
      <c r="F233" s="39"/>
      <c r="G233" s="43"/>
      <c r="H233" s="83" t="s">
        <v>1029</v>
      </c>
      <c r="I233" s="43"/>
      <c r="J233" s="43"/>
      <c r="K233" s="43"/>
      <c r="L233" s="43"/>
      <c r="M233" s="42" t="s">
        <v>30</v>
      </c>
      <c r="N233" s="43"/>
      <c r="O233" s="43"/>
      <c r="P233" s="44" t="s">
        <v>1050</v>
      </c>
      <c r="Q233" s="45"/>
      <c r="R233" s="46">
        <v>1.0</v>
      </c>
      <c r="S233" s="39" t="s">
        <v>87</v>
      </c>
      <c r="T233" s="41">
        <v>46092.68819444445</v>
      </c>
      <c r="U233" s="39" t="s">
        <v>32</v>
      </c>
      <c r="V233" s="44" t="s">
        <v>1051</v>
      </c>
      <c r="W233" s="45"/>
      <c r="X233" s="46">
        <v>1.0</v>
      </c>
      <c r="Y233" s="39" t="s">
        <v>33</v>
      </c>
      <c r="Z233" s="6"/>
      <c r="AA233" s="6"/>
      <c r="AB233" s="6"/>
      <c r="AC233" s="6"/>
      <c r="AD233" s="6"/>
      <c r="AE233" s="6"/>
    </row>
    <row r="234">
      <c r="A234" s="38">
        <f t="shared" si="2"/>
        <v>233</v>
      </c>
      <c r="B234" s="83" t="s">
        <v>1052</v>
      </c>
      <c r="C234" s="83" t="s">
        <v>1053</v>
      </c>
      <c r="D234" s="111" t="s">
        <v>27</v>
      </c>
      <c r="E234" s="41">
        <v>46106.847916666666</v>
      </c>
      <c r="F234" s="39"/>
      <c r="G234" s="43"/>
      <c r="H234" s="83" t="s">
        <v>1029</v>
      </c>
      <c r="I234" s="43"/>
      <c r="J234" s="43"/>
      <c r="K234" s="43"/>
      <c r="L234" s="43"/>
      <c r="M234" s="42" t="s">
        <v>30</v>
      </c>
      <c r="N234" s="43"/>
      <c r="O234" s="43"/>
      <c r="P234" s="44" t="s">
        <v>1054</v>
      </c>
      <c r="Q234" s="45"/>
      <c r="R234" s="46">
        <v>1.0</v>
      </c>
      <c r="S234" s="39" t="s">
        <v>87</v>
      </c>
      <c r="T234" s="41">
        <v>46092.688888888886</v>
      </c>
      <c r="U234" s="39" t="s">
        <v>32</v>
      </c>
      <c r="V234" s="44" t="s">
        <v>1055</v>
      </c>
      <c r="W234" s="45"/>
      <c r="X234" s="46">
        <v>1.0</v>
      </c>
      <c r="Y234" s="39" t="s">
        <v>33</v>
      </c>
      <c r="Z234" s="6"/>
      <c r="AA234" s="6"/>
      <c r="AB234" s="6"/>
      <c r="AC234" s="6"/>
      <c r="AD234" s="6"/>
      <c r="AE234" s="6"/>
    </row>
    <row r="235">
      <c r="A235" s="38">
        <f t="shared" si="2"/>
        <v>234</v>
      </c>
      <c r="B235" s="83" t="s">
        <v>1056</v>
      </c>
      <c r="C235" s="83" t="s">
        <v>1057</v>
      </c>
      <c r="D235" s="111" t="s">
        <v>27</v>
      </c>
      <c r="E235" s="41">
        <v>46106.847916666666</v>
      </c>
      <c r="F235" s="39"/>
      <c r="G235" s="43"/>
      <c r="H235" s="83" t="s">
        <v>1058</v>
      </c>
      <c r="I235" s="43"/>
      <c r="J235" s="43"/>
      <c r="K235" s="43"/>
      <c r="L235" s="43"/>
      <c r="M235" s="42" t="s">
        <v>30</v>
      </c>
      <c r="N235" s="43"/>
      <c r="O235" s="43"/>
      <c r="P235" s="44" t="s">
        <v>1059</v>
      </c>
      <c r="Q235" s="45"/>
      <c r="R235" s="46">
        <v>1.0</v>
      </c>
      <c r="S235" s="39" t="s">
        <v>87</v>
      </c>
      <c r="T235" s="41">
        <v>46092.688888888886</v>
      </c>
      <c r="U235" s="39" t="s">
        <v>32</v>
      </c>
      <c r="V235" s="44" t="s">
        <v>1060</v>
      </c>
      <c r="W235" s="45"/>
      <c r="X235" s="46">
        <v>1.0</v>
      </c>
      <c r="Y235" s="39" t="s">
        <v>33</v>
      </c>
      <c r="Z235" s="6"/>
      <c r="AA235" s="6"/>
      <c r="AB235" s="6"/>
      <c r="AC235" s="6"/>
      <c r="AD235" s="6"/>
      <c r="AE235" s="6"/>
    </row>
    <row r="236">
      <c r="A236" s="19">
        <f t="shared" si="2"/>
        <v>235</v>
      </c>
      <c r="B236" s="80" t="s">
        <v>1061</v>
      </c>
      <c r="C236" s="80" t="s">
        <v>1062</v>
      </c>
      <c r="D236" s="108" t="s">
        <v>27</v>
      </c>
      <c r="E236" s="22">
        <v>46106.847916666666</v>
      </c>
      <c r="F236" s="22"/>
      <c r="G236" s="25"/>
      <c r="H236" s="85" t="s">
        <v>969</v>
      </c>
      <c r="I236" s="25"/>
      <c r="J236" s="25"/>
      <c r="K236" s="25"/>
      <c r="L236" s="25"/>
      <c r="M236" s="48" t="s">
        <v>30</v>
      </c>
      <c r="N236" s="25"/>
      <c r="O236" s="25"/>
      <c r="P236" s="26" t="s">
        <v>1063</v>
      </c>
      <c r="Q236" s="26"/>
      <c r="R236" s="30">
        <v>1.0</v>
      </c>
      <c r="S236" s="20" t="s">
        <v>38</v>
      </c>
      <c r="T236" s="22">
        <v>46092.688888888886</v>
      </c>
      <c r="U236" s="22">
        <v>46093.36736111111</v>
      </c>
      <c r="V236" s="26" t="s">
        <v>1064</v>
      </c>
      <c r="W236" s="27" t="s">
        <v>1065</v>
      </c>
      <c r="X236" s="25"/>
      <c r="Y236" s="31" t="s">
        <v>33</v>
      </c>
      <c r="Z236" s="6"/>
      <c r="AA236" s="6"/>
      <c r="AB236" s="6"/>
      <c r="AC236" s="6"/>
      <c r="AD236" s="6"/>
      <c r="AE236" s="6"/>
    </row>
    <row r="237">
      <c r="A237" s="19">
        <f t="shared" si="2"/>
        <v>236</v>
      </c>
      <c r="B237" s="80" t="s">
        <v>1066</v>
      </c>
      <c r="C237" s="80" t="s">
        <v>1067</v>
      </c>
      <c r="D237" s="108" t="s">
        <v>27</v>
      </c>
      <c r="E237" s="22">
        <v>46106.84861111111</v>
      </c>
      <c r="F237" s="22"/>
      <c r="G237" s="25"/>
      <c r="H237" s="80" t="s">
        <v>969</v>
      </c>
      <c r="I237" s="25"/>
      <c r="J237" s="25"/>
      <c r="K237" s="25"/>
      <c r="L237" s="25"/>
      <c r="M237" s="48" t="s">
        <v>30</v>
      </c>
      <c r="N237" s="25"/>
      <c r="O237" s="25"/>
      <c r="P237" s="26" t="s">
        <v>1068</v>
      </c>
      <c r="Q237" s="26"/>
      <c r="R237" s="30">
        <v>1.0</v>
      </c>
      <c r="S237" s="20" t="s">
        <v>38</v>
      </c>
      <c r="T237" s="22">
        <v>46092.68958333333</v>
      </c>
      <c r="U237" s="22">
        <v>46100.441666666666</v>
      </c>
      <c r="V237" s="26" t="s">
        <v>1069</v>
      </c>
      <c r="W237" s="27" t="s">
        <v>1070</v>
      </c>
      <c r="X237" s="30">
        <v>1.0</v>
      </c>
      <c r="Y237" s="31" t="s">
        <v>33</v>
      </c>
      <c r="Z237" s="6"/>
      <c r="AA237" s="6"/>
      <c r="AB237" s="6"/>
      <c r="AC237" s="6"/>
      <c r="AD237" s="6"/>
      <c r="AE237" s="6"/>
    </row>
    <row r="238">
      <c r="A238" s="19">
        <f t="shared" si="2"/>
        <v>237</v>
      </c>
      <c r="B238" s="112" t="s">
        <v>1071</v>
      </c>
      <c r="C238" s="80" t="s">
        <v>1072</v>
      </c>
      <c r="D238" s="108" t="s">
        <v>27</v>
      </c>
      <c r="E238" s="22">
        <v>46106.84861111111</v>
      </c>
      <c r="F238" s="22"/>
      <c r="G238" s="25"/>
      <c r="H238" s="85" t="s">
        <v>1073</v>
      </c>
      <c r="I238" s="25"/>
      <c r="J238" s="25"/>
      <c r="K238" s="25"/>
      <c r="L238" s="25"/>
      <c r="M238" s="48" t="s">
        <v>30</v>
      </c>
      <c r="N238" s="25"/>
      <c r="O238" s="25"/>
      <c r="P238" s="26" t="s">
        <v>1074</v>
      </c>
      <c r="Q238" s="26"/>
      <c r="R238" s="30">
        <v>1.0</v>
      </c>
      <c r="S238" s="20" t="s">
        <v>38</v>
      </c>
      <c r="T238" s="22">
        <v>46092.68958333333</v>
      </c>
      <c r="U238" s="22">
        <v>46092.927083333336</v>
      </c>
      <c r="V238" s="26" t="s">
        <v>1075</v>
      </c>
      <c r="W238" s="27" t="s">
        <v>1076</v>
      </c>
      <c r="X238" s="25"/>
      <c r="Y238" s="31" t="s">
        <v>33</v>
      </c>
      <c r="Z238" s="6"/>
      <c r="AA238" s="6"/>
      <c r="AB238" s="6"/>
      <c r="AC238" s="6"/>
      <c r="AD238" s="6"/>
      <c r="AE238" s="6"/>
    </row>
    <row r="239">
      <c r="A239" s="38">
        <f t="shared" si="2"/>
        <v>238</v>
      </c>
      <c r="B239" s="83" t="s">
        <v>1077</v>
      </c>
      <c r="C239" s="83" t="s">
        <v>1078</v>
      </c>
      <c r="D239" s="111" t="s">
        <v>165</v>
      </c>
      <c r="E239" s="41">
        <v>46106.84861111111</v>
      </c>
      <c r="F239" s="39"/>
      <c r="G239" s="43"/>
      <c r="H239" s="83" t="s">
        <v>1079</v>
      </c>
      <c r="I239" s="43"/>
      <c r="J239" s="43"/>
      <c r="K239" s="43"/>
      <c r="L239" s="43"/>
      <c r="M239" s="42" t="s">
        <v>30</v>
      </c>
      <c r="N239" s="43"/>
      <c r="O239" s="43"/>
      <c r="P239" s="44" t="s">
        <v>1080</v>
      </c>
      <c r="Q239" s="45"/>
      <c r="R239" s="46">
        <v>1.0</v>
      </c>
      <c r="S239" s="39" t="s">
        <v>87</v>
      </c>
      <c r="T239" s="41">
        <v>46092.68958333333</v>
      </c>
      <c r="U239" s="39" t="s">
        <v>32</v>
      </c>
      <c r="V239" s="44" t="s">
        <v>1081</v>
      </c>
      <c r="W239" s="45"/>
      <c r="X239" s="46">
        <v>1.0</v>
      </c>
      <c r="Y239" s="39" t="s">
        <v>33</v>
      </c>
      <c r="Z239" s="6"/>
      <c r="AA239" s="6"/>
      <c r="AB239" s="6"/>
      <c r="AC239" s="6"/>
      <c r="AD239" s="6"/>
      <c r="AE239" s="6"/>
    </row>
    <row r="240">
      <c r="A240" s="19">
        <f t="shared" si="2"/>
        <v>239</v>
      </c>
      <c r="B240" s="57" t="s">
        <v>1082</v>
      </c>
      <c r="C240" s="57" t="s">
        <v>1083</v>
      </c>
      <c r="D240" s="108" t="s">
        <v>38</v>
      </c>
      <c r="E240" s="22">
        <v>46106.84861111111</v>
      </c>
      <c r="F240" s="22">
        <v>46107.49513888889</v>
      </c>
      <c r="G240" s="25"/>
      <c r="H240" s="81"/>
      <c r="I240" s="25"/>
      <c r="J240" s="25"/>
      <c r="K240" s="25"/>
      <c r="L240" s="25"/>
      <c r="M240" s="25"/>
      <c r="N240" s="25"/>
      <c r="O240" s="25"/>
      <c r="P240" s="26" t="s">
        <v>1084</v>
      </c>
      <c r="Q240" s="27" t="s">
        <v>1085</v>
      </c>
      <c r="R240" s="25"/>
      <c r="S240" s="20" t="s">
        <v>38</v>
      </c>
      <c r="T240" s="22">
        <v>46093.70277777778</v>
      </c>
      <c r="U240" s="22">
        <v>46094.61319444444</v>
      </c>
      <c r="V240" s="26" t="s">
        <v>1086</v>
      </c>
      <c r="W240" s="27" t="s">
        <v>1087</v>
      </c>
      <c r="X240" s="25"/>
      <c r="Y240" s="20" t="s">
        <v>33</v>
      </c>
      <c r="Z240" s="6"/>
      <c r="AA240" s="6"/>
      <c r="AB240" s="6"/>
      <c r="AC240" s="6"/>
      <c r="AD240" s="6"/>
      <c r="AE240" s="6"/>
    </row>
    <row r="241">
      <c r="A241" s="19">
        <f t="shared" si="2"/>
        <v>240</v>
      </c>
      <c r="B241" s="57" t="s">
        <v>1088</v>
      </c>
      <c r="C241" s="20" t="s">
        <v>1089</v>
      </c>
      <c r="D241" s="108" t="s">
        <v>38</v>
      </c>
      <c r="E241" s="22">
        <v>46106.84861111111</v>
      </c>
      <c r="F241" s="22">
        <v>46114.45486111111</v>
      </c>
      <c r="G241" s="25"/>
      <c r="H241" s="81"/>
      <c r="I241" s="25"/>
      <c r="J241" s="25"/>
      <c r="K241" s="25"/>
      <c r="L241" s="25"/>
      <c r="M241" s="25"/>
      <c r="N241" s="25"/>
      <c r="O241" s="25"/>
      <c r="P241" s="26" t="s">
        <v>1090</v>
      </c>
      <c r="Q241" s="27" t="s">
        <v>1091</v>
      </c>
      <c r="R241" s="30">
        <v>1.0</v>
      </c>
      <c r="S241" s="20" t="s">
        <v>87</v>
      </c>
      <c r="T241" s="22">
        <v>46093.70277777778</v>
      </c>
      <c r="U241" s="20" t="s">
        <v>32</v>
      </c>
      <c r="V241" s="26" t="s">
        <v>1092</v>
      </c>
      <c r="W241" s="29"/>
      <c r="X241" s="30">
        <v>1.0</v>
      </c>
      <c r="Y241" s="20" t="s">
        <v>33</v>
      </c>
      <c r="Z241" s="6"/>
      <c r="AA241" s="6"/>
      <c r="AB241" s="6"/>
      <c r="AC241" s="6"/>
      <c r="AD241" s="6"/>
      <c r="AE241" s="6"/>
    </row>
    <row r="242">
      <c r="A242" s="19">
        <f t="shared" si="2"/>
        <v>241</v>
      </c>
      <c r="B242" s="80" t="s">
        <v>1093</v>
      </c>
      <c r="C242" s="80" t="s">
        <v>1094</v>
      </c>
      <c r="D242" s="108" t="s">
        <v>38</v>
      </c>
      <c r="E242" s="22">
        <v>46106.84861111111</v>
      </c>
      <c r="F242" s="22">
        <v>46106.9</v>
      </c>
      <c r="G242" s="25"/>
      <c r="H242" s="80" t="s">
        <v>1095</v>
      </c>
      <c r="I242" s="25"/>
      <c r="J242" s="25"/>
      <c r="K242" s="25"/>
      <c r="L242" s="25"/>
      <c r="M242" s="48" t="s">
        <v>30</v>
      </c>
      <c r="N242" s="25"/>
      <c r="O242" s="25"/>
      <c r="P242" s="26" t="s">
        <v>1096</v>
      </c>
      <c r="Q242" s="27" t="s">
        <v>1097</v>
      </c>
      <c r="R242" s="25"/>
      <c r="S242" s="20" t="s">
        <v>38</v>
      </c>
      <c r="T242" s="22">
        <v>46093.70277777778</v>
      </c>
      <c r="U242" s="22">
        <v>46095.53333333333</v>
      </c>
      <c r="V242" s="26" t="s">
        <v>1098</v>
      </c>
      <c r="W242" s="27" t="s">
        <v>1099</v>
      </c>
      <c r="X242" s="25"/>
      <c r="Y242" s="20" t="s">
        <v>33</v>
      </c>
      <c r="Z242" s="6"/>
      <c r="AA242" s="6"/>
      <c r="AB242" s="6"/>
      <c r="AC242" s="6"/>
      <c r="AD242" s="6"/>
      <c r="AE242" s="6"/>
    </row>
    <row r="243">
      <c r="A243" s="19">
        <f t="shared" si="2"/>
        <v>242</v>
      </c>
      <c r="B243" s="80" t="s">
        <v>1100</v>
      </c>
      <c r="C243" s="80" t="s">
        <v>1101</v>
      </c>
      <c r="D243" s="108" t="s">
        <v>38</v>
      </c>
      <c r="E243" s="22">
        <v>46106.84861111111</v>
      </c>
      <c r="F243" s="22">
        <v>46106.85138888889</v>
      </c>
      <c r="G243" s="25"/>
      <c r="H243" s="80" t="s">
        <v>1102</v>
      </c>
      <c r="I243" s="25"/>
      <c r="J243" s="25"/>
      <c r="K243" s="25"/>
      <c r="L243" s="25"/>
      <c r="M243" s="48" t="s">
        <v>30</v>
      </c>
      <c r="N243" s="25"/>
      <c r="O243" s="25"/>
      <c r="P243" s="26" t="s">
        <v>1103</v>
      </c>
      <c r="Q243" s="27" t="s">
        <v>1104</v>
      </c>
      <c r="R243" s="25"/>
      <c r="S243" s="20" t="s">
        <v>38</v>
      </c>
      <c r="T243" s="22">
        <v>46093.70347222222</v>
      </c>
      <c r="U243" s="22">
        <v>46094.413194444445</v>
      </c>
      <c r="V243" s="26" t="s">
        <v>1105</v>
      </c>
      <c r="W243" s="27" t="s">
        <v>1106</v>
      </c>
      <c r="X243" s="25"/>
      <c r="Y243" s="20" t="s">
        <v>33</v>
      </c>
      <c r="Z243" s="6"/>
      <c r="AA243" s="6"/>
      <c r="AB243" s="6"/>
      <c r="AC243" s="6"/>
      <c r="AD243" s="6"/>
      <c r="AE243" s="6"/>
    </row>
    <row r="244">
      <c r="A244" s="19">
        <f t="shared" si="2"/>
        <v>243</v>
      </c>
      <c r="B244" s="80" t="s">
        <v>1107</v>
      </c>
      <c r="C244" s="80" t="s">
        <v>1108</v>
      </c>
      <c r="D244" s="108" t="s">
        <v>27</v>
      </c>
      <c r="E244" s="22">
        <v>46106.84861111111</v>
      </c>
      <c r="F244" s="22"/>
      <c r="G244" s="25"/>
      <c r="H244" s="80" t="s">
        <v>854</v>
      </c>
      <c r="I244" s="25"/>
      <c r="J244" s="25"/>
      <c r="K244" s="25"/>
      <c r="L244" s="25"/>
      <c r="M244" s="48" t="s">
        <v>30</v>
      </c>
      <c r="N244" s="25"/>
      <c r="O244" s="25"/>
      <c r="P244" s="26" t="s">
        <v>1109</v>
      </c>
      <c r="Q244" s="26"/>
      <c r="R244" s="30">
        <v>1.0</v>
      </c>
      <c r="S244" s="20" t="s">
        <v>38</v>
      </c>
      <c r="T244" s="22">
        <v>46093.70347222222</v>
      </c>
      <c r="U244" s="22">
        <v>46094.756944444445</v>
      </c>
      <c r="V244" s="26" t="s">
        <v>1110</v>
      </c>
      <c r="W244" s="27" t="s">
        <v>1111</v>
      </c>
      <c r="X244" s="25"/>
      <c r="Y244" s="31" t="s">
        <v>33</v>
      </c>
      <c r="Z244" s="6"/>
      <c r="AA244" s="6"/>
      <c r="AB244" s="6"/>
      <c r="AC244" s="6"/>
      <c r="AD244" s="6"/>
      <c r="AE244" s="6"/>
    </row>
    <row r="245">
      <c r="A245" s="19">
        <f t="shared" si="2"/>
        <v>244</v>
      </c>
      <c r="B245" s="80" t="s">
        <v>1112</v>
      </c>
      <c r="C245" s="80" t="s">
        <v>1113</v>
      </c>
      <c r="D245" s="108" t="s">
        <v>38</v>
      </c>
      <c r="E245" s="22">
        <v>46106.84861111111</v>
      </c>
      <c r="F245" s="22">
        <v>46107.467361111114</v>
      </c>
      <c r="G245" s="25"/>
      <c r="H245" s="80" t="s">
        <v>854</v>
      </c>
      <c r="I245" s="25"/>
      <c r="J245" s="25"/>
      <c r="K245" s="25"/>
      <c r="L245" s="25"/>
      <c r="M245" s="48" t="s">
        <v>30</v>
      </c>
      <c r="N245" s="25"/>
      <c r="O245" s="25"/>
      <c r="P245" s="26" t="s">
        <v>1114</v>
      </c>
      <c r="Q245" s="27" t="s">
        <v>1115</v>
      </c>
      <c r="R245" s="25"/>
      <c r="S245" s="20" t="s">
        <v>38</v>
      </c>
      <c r="T245" s="22">
        <v>46093.70347222222</v>
      </c>
      <c r="U245" s="22">
        <v>46093.722916666666</v>
      </c>
      <c r="V245" s="26" t="s">
        <v>1116</v>
      </c>
      <c r="W245" s="27" t="s">
        <v>1117</v>
      </c>
      <c r="X245" s="25"/>
      <c r="Y245" s="20" t="s">
        <v>33</v>
      </c>
      <c r="Z245" s="6"/>
      <c r="AA245" s="6"/>
      <c r="AB245" s="6"/>
      <c r="AC245" s="6"/>
      <c r="AD245" s="6"/>
      <c r="AE245" s="6"/>
    </row>
    <row r="246">
      <c r="A246" s="19">
        <f t="shared" si="2"/>
        <v>245</v>
      </c>
      <c r="B246" s="80" t="s">
        <v>1118</v>
      </c>
      <c r="C246" s="89" t="s">
        <v>1119</v>
      </c>
      <c r="D246" s="108" t="s">
        <v>27</v>
      </c>
      <c r="E246" s="22">
        <v>46106.84861111111</v>
      </c>
      <c r="F246" s="22"/>
      <c r="G246" s="25"/>
      <c r="H246" s="80" t="s">
        <v>1120</v>
      </c>
      <c r="I246" s="25"/>
      <c r="J246" s="25"/>
      <c r="K246" s="25"/>
      <c r="L246" s="25"/>
      <c r="M246" s="20" t="s">
        <v>30</v>
      </c>
      <c r="N246" s="25"/>
      <c r="O246" s="25"/>
      <c r="P246" s="26" t="s">
        <v>1121</v>
      </c>
      <c r="Q246" s="26"/>
      <c r="R246" s="30">
        <v>1.0</v>
      </c>
      <c r="S246" s="20" t="s">
        <v>38</v>
      </c>
      <c r="T246" s="22">
        <v>46093.714583333334</v>
      </c>
      <c r="U246" s="22">
        <v>46094.48125</v>
      </c>
      <c r="V246" s="26" t="s">
        <v>1122</v>
      </c>
      <c r="W246" s="27" t="s">
        <v>1123</v>
      </c>
      <c r="X246" s="25"/>
      <c r="Y246" s="31" t="s">
        <v>33</v>
      </c>
      <c r="Z246" s="6"/>
      <c r="AA246" s="6"/>
      <c r="AB246" s="6"/>
      <c r="AC246" s="6"/>
      <c r="AD246" s="6"/>
      <c r="AE246" s="6"/>
    </row>
    <row r="247">
      <c r="A247" s="38">
        <f t="shared" si="2"/>
        <v>246</v>
      </c>
      <c r="B247" s="83" t="s">
        <v>1124</v>
      </c>
      <c r="C247" s="83" t="s">
        <v>1125</v>
      </c>
      <c r="D247" s="111" t="s">
        <v>27</v>
      </c>
      <c r="E247" s="41">
        <v>46106.84861111111</v>
      </c>
      <c r="F247" s="39"/>
      <c r="G247" s="43"/>
      <c r="H247" s="83" t="s">
        <v>1126</v>
      </c>
      <c r="I247" s="43"/>
      <c r="J247" s="43"/>
      <c r="K247" s="43"/>
      <c r="L247" s="43"/>
      <c r="M247" s="42" t="s">
        <v>30</v>
      </c>
      <c r="N247" s="43"/>
      <c r="O247" s="43"/>
      <c r="P247" s="44" t="s">
        <v>1127</v>
      </c>
      <c r="Q247" s="45"/>
      <c r="R247" s="46">
        <v>1.0</v>
      </c>
      <c r="S247" s="39" t="s">
        <v>87</v>
      </c>
      <c r="T247" s="41">
        <v>46093.70486111111</v>
      </c>
      <c r="U247" s="39" t="s">
        <v>32</v>
      </c>
      <c r="V247" s="44" t="s">
        <v>1128</v>
      </c>
      <c r="W247" s="45"/>
      <c r="X247" s="46">
        <v>1.0</v>
      </c>
      <c r="Y247" s="39" t="s">
        <v>33</v>
      </c>
      <c r="Z247" s="6"/>
      <c r="AA247" s="6"/>
      <c r="AB247" s="6"/>
      <c r="AC247" s="6"/>
      <c r="AD247" s="6"/>
      <c r="AE247" s="6"/>
    </row>
    <row r="248">
      <c r="A248" s="19">
        <f t="shared" si="2"/>
        <v>247</v>
      </c>
      <c r="B248" s="80" t="s">
        <v>1129</v>
      </c>
      <c r="C248" s="80" t="s">
        <v>1130</v>
      </c>
      <c r="D248" s="108" t="s">
        <v>38</v>
      </c>
      <c r="E248" s="22">
        <v>46106.84930555556</v>
      </c>
      <c r="F248" s="22">
        <v>46106.89097222222</v>
      </c>
      <c r="G248" s="25"/>
      <c r="H248" s="80" t="s">
        <v>1131</v>
      </c>
      <c r="I248" s="25"/>
      <c r="J248" s="25"/>
      <c r="K248" s="25"/>
      <c r="L248" s="25"/>
      <c r="M248" s="48" t="s">
        <v>30</v>
      </c>
      <c r="N248" s="25"/>
      <c r="O248" s="25"/>
      <c r="P248" s="26" t="s">
        <v>1132</v>
      </c>
      <c r="Q248" s="27" t="s">
        <v>1133</v>
      </c>
      <c r="R248" s="25"/>
      <c r="S248" s="20" t="s">
        <v>38</v>
      </c>
      <c r="T248" s="22">
        <v>46093.70486111111</v>
      </c>
      <c r="U248" s="22">
        <v>46093.71666666667</v>
      </c>
      <c r="V248" s="26" t="s">
        <v>1134</v>
      </c>
      <c r="W248" s="27" t="s">
        <v>1135</v>
      </c>
      <c r="X248" s="25"/>
      <c r="Y248" s="20" t="s">
        <v>33</v>
      </c>
      <c r="Z248" s="6"/>
      <c r="AA248" s="6"/>
      <c r="AB248" s="6"/>
      <c r="AC248" s="6"/>
      <c r="AD248" s="6"/>
      <c r="AE248" s="6"/>
    </row>
    <row r="249">
      <c r="A249" s="19">
        <f t="shared" si="2"/>
        <v>248</v>
      </c>
      <c r="B249" s="80" t="s">
        <v>1136</v>
      </c>
      <c r="C249" s="80" t="s">
        <v>1137</v>
      </c>
      <c r="D249" s="108" t="s">
        <v>38</v>
      </c>
      <c r="E249" s="22">
        <v>46106.84930555556</v>
      </c>
      <c r="F249" s="22">
        <v>46107.46527777778</v>
      </c>
      <c r="G249" s="25"/>
      <c r="H249" s="80" t="s">
        <v>1138</v>
      </c>
      <c r="I249" s="25"/>
      <c r="J249" s="25"/>
      <c r="K249" s="25"/>
      <c r="L249" s="25"/>
      <c r="M249" s="48" t="s">
        <v>30</v>
      </c>
      <c r="N249" s="25"/>
      <c r="O249" s="25"/>
      <c r="P249" s="26" t="s">
        <v>1139</v>
      </c>
      <c r="Q249" s="27" t="s">
        <v>1140</v>
      </c>
      <c r="R249" s="25"/>
      <c r="S249" s="20" t="s">
        <v>38</v>
      </c>
      <c r="T249" s="22">
        <v>46093.70486111111</v>
      </c>
      <c r="U249" s="22">
        <v>46095.48888888889</v>
      </c>
      <c r="V249" s="26" t="s">
        <v>1141</v>
      </c>
      <c r="W249" s="27" t="s">
        <v>1142</v>
      </c>
      <c r="X249" s="25"/>
      <c r="Y249" s="20" t="s">
        <v>33</v>
      </c>
      <c r="Z249" s="6"/>
      <c r="AA249" s="6"/>
      <c r="AB249" s="6"/>
      <c r="AC249" s="6"/>
      <c r="AD249" s="6"/>
      <c r="AE249" s="6"/>
    </row>
    <row r="250">
      <c r="A250" s="19">
        <f t="shared" si="2"/>
        <v>249</v>
      </c>
      <c r="B250" s="80" t="s">
        <v>1143</v>
      </c>
      <c r="C250" s="80" t="s">
        <v>1144</v>
      </c>
      <c r="D250" s="108" t="s">
        <v>38</v>
      </c>
      <c r="E250" s="22">
        <v>46106.84930555556</v>
      </c>
      <c r="F250" s="22">
        <v>46107.49513888889</v>
      </c>
      <c r="G250" s="25"/>
      <c r="H250" s="80" t="s">
        <v>1145</v>
      </c>
      <c r="I250" s="25"/>
      <c r="J250" s="25"/>
      <c r="K250" s="25"/>
      <c r="L250" s="25"/>
      <c r="M250" s="48" t="s">
        <v>30</v>
      </c>
      <c r="N250" s="25"/>
      <c r="O250" s="25"/>
      <c r="P250" s="26" t="s">
        <v>1146</v>
      </c>
      <c r="Q250" s="27" t="s">
        <v>1147</v>
      </c>
      <c r="R250" s="25"/>
      <c r="S250" s="20" t="s">
        <v>38</v>
      </c>
      <c r="T250" s="22">
        <v>46093.705555555556</v>
      </c>
      <c r="U250" s="22">
        <v>46097.575694444444</v>
      </c>
      <c r="V250" s="26" t="s">
        <v>1148</v>
      </c>
      <c r="W250" s="27" t="s">
        <v>1149</v>
      </c>
      <c r="X250" s="25"/>
      <c r="Y250" s="20" t="s">
        <v>33</v>
      </c>
      <c r="Z250" s="6"/>
      <c r="AA250" s="6"/>
      <c r="AB250" s="6"/>
      <c r="AC250" s="6"/>
      <c r="AD250" s="6"/>
      <c r="AE250" s="6"/>
    </row>
    <row r="251">
      <c r="A251" s="19">
        <f t="shared" si="2"/>
        <v>250</v>
      </c>
      <c r="B251" s="20" t="s">
        <v>1150</v>
      </c>
      <c r="C251" s="20" t="s">
        <v>1151</v>
      </c>
      <c r="D251" s="108" t="s">
        <v>27</v>
      </c>
      <c r="E251" s="22">
        <v>46106.84930555556</v>
      </c>
      <c r="F251" s="22"/>
      <c r="G251" s="20" t="s">
        <v>431</v>
      </c>
      <c r="H251" s="20" t="s">
        <v>1152</v>
      </c>
      <c r="I251" s="20" t="s">
        <v>1153</v>
      </c>
      <c r="J251" s="20" t="s">
        <v>1154</v>
      </c>
      <c r="K251" s="20">
        <v>7.031943899E9</v>
      </c>
      <c r="L251" s="20" t="s">
        <v>1155</v>
      </c>
      <c r="M251" s="20" t="s">
        <v>1156</v>
      </c>
      <c r="N251" s="25"/>
      <c r="O251" s="25"/>
      <c r="P251" s="26" t="s">
        <v>1157</v>
      </c>
      <c r="Q251" s="26"/>
      <c r="R251" s="30">
        <v>1.0</v>
      </c>
      <c r="S251" s="20" t="s">
        <v>38</v>
      </c>
      <c r="T251" s="22">
        <v>46093.763194444444</v>
      </c>
      <c r="U251" s="22">
        <v>46093.84166666667</v>
      </c>
      <c r="V251" s="26" t="s">
        <v>1158</v>
      </c>
      <c r="W251" s="27" t="s">
        <v>1159</v>
      </c>
      <c r="X251" s="30">
        <v>0.0</v>
      </c>
      <c r="Y251" s="31" t="s">
        <v>33</v>
      </c>
      <c r="Z251" s="6"/>
      <c r="AA251" s="6"/>
      <c r="AB251" s="6"/>
      <c r="AC251" s="6"/>
      <c r="AD251" s="6"/>
      <c r="AE251" s="6"/>
    </row>
    <row r="252">
      <c r="A252" s="19">
        <f t="shared" si="2"/>
        <v>251</v>
      </c>
      <c r="B252" s="20" t="s">
        <v>1160</v>
      </c>
      <c r="C252" s="20" t="s">
        <v>1161</v>
      </c>
      <c r="D252" s="108" t="s">
        <v>38</v>
      </c>
      <c r="E252" s="22">
        <v>46106.84930555556</v>
      </c>
      <c r="F252" s="22">
        <v>46107.40833333333</v>
      </c>
      <c r="G252" s="20" t="s">
        <v>431</v>
      </c>
      <c r="H252" s="20" t="s">
        <v>1162</v>
      </c>
      <c r="I252" s="20" t="s">
        <v>995</v>
      </c>
      <c r="J252" s="25"/>
      <c r="K252" s="20">
        <v>7.013491112E9</v>
      </c>
      <c r="L252" s="20" t="s">
        <v>1163</v>
      </c>
      <c r="M252" s="20" t="s">
        <v>30</v>
      </c>
      <c r="N252" s="25"/>
      <c r="O252" s="25"/>
      <c r="P252" s="26" t="s">
        <v>1164</v>
      </c>
      <c r="Q252" s="27" t="s">
        <v>1165</v>
      </c>
      <c r="R252" s="30"/>
      <c r="S252" s="20" t="s">
        <v>38</v>
      </c>
      <c r="T252" s="22">
        <v>46094.46875</v>
      </c>
      <c r="U252" s="22">
        <v>46094.77013888889</v>
      </c>
      <c r="V252" s="26" t="s">
        <v>1166</v>
      </c>
      <c r="W252" s="27" t="s">
        <v>1167</v>
      </c>
      <c r="X252" s="30">
        <v>0.0</v>
      </c>
      <c r="Y252" s="20" t="s">
        <v>33</v>
      </c>
      <c r="Z252" s="6"/>
      <c r="AA252" s="6"/>
      <c r="AB252" s="6"/>
      <c r="AC252" s="6"/>
      <c r="AD252" s="6"/>
      <c r="AE252" s="6"/>
    </row>
    <row r="253">
      <c r="A253" s="19">
        <f t="shared" si="2"/>
        <v>252</v>
      </c>
      <c r="B253" s="20" t="s">
        <v>1168</v>
      </c>
      <c r="C253" s="20" t="s">
        <v>1101</v>
      </c>
      <c r="D253" s="108" t="s">
        <v>38</v>
      </c>
      <c r="E253" s="22">
        <v>46106.84930555556</v>
      </c>
      <c r="F253" s="22">
        <v>46106.85208333333</v>
      </c>
      <c r="G253" s="20" t="s">
        <v>431</v>
      </c>
      <c r="H253" s="20" t="s">
        <v>1102</v>
      </c>
      <c r="I253" s="20" t="s">
        <v>995</v>
      </c>
      <c r="J253" s="25"/>
      <c r="K253" s="20">
        <v>8.03382867E9</v>
      </c>
      <c r="L253" s="20" t="s">
        <v>1169</v>
      </c>
      <c r="M253" s="20" t="s">
        <v>30</v>
      </c>
      <c r="N253" s="25"/>
      <c r="O253" s="25"/>
      <c r="P253" s="26" t="s">
        <v>1170</v>
      </c>
      <c r="Q253" s="27" t="s">
        <v>1171</v>
      </c>
      <c r="R253" s="30"/>
      <c r="S253" s="20" t="s">
        <v>38</v>
      </c>
      <c r="T253" s="22">
        <v>46094.47986111111</v>
      </c>
      <c r="U253" s="22">
        <v>46094.60902777778</v>
      </c>
      <c r="V253" s="26" t="s">
        <v>1172</v>
      </c>
      <c r="W253" s="27" t="s">
        <v>1173</v>
      </c>
      <c r="X253" s="30">
        <v>0.0</v>
      </c>
      <c r="Y253" s="20" t="s">
        <v>33</v>
      </c>
      <c r="Z253" s="6"/>
      <c r="AA253" s="6"/>
      <c r="AB253" s="6"/>
      <c r="AC253" s="6"/>
      <c r="AD253" s="6"/>
      <c r="AE253" s="6"/>
    </row>
    <row r="254">
      <c r="A254" s="38">
        <f t="shared" si="2"/>
        <v>253</v>
      </c>
      <c r="B254" s="39" t="s">
        <v>1174</v>
      </c>
      <c r="C254" s="39" t="s">
        <v>1175</v>
      </c>
      <c r="D254" s="111" t="s">
        <v>27</v>
      </c>
      <c r="E254" s="41">
        <v>46106.85</v>
      </c>
      <c r="F254" s="39"/>
      <c r="G254" s="39" t="s">
        <v>431</v>
      </c>
      <c r="H254" s="39" t="s">
        <v>1176</v>
      </c>
      <c r="I254" s="39" t="s">
        <v>995</v>
      </c>
      <c r="J254" s="43"/>
      <c r="K254" s="39">
        <v>6.48625651E8</v>
      </c>
      <c r="L254" s="39" t="s">
        <v>1177</v>
      </c>
      <c r="M254" s="39" t="s">
        <v>30</v>
      </c>
      <c r="N254" s="43"/>
      <c r="O254" s="43"/>
      <c r="P254" s="44" t="s">
        <v>1178</v>
      </c>
      <c r="Q254" s="45"/>
      <c r="R254" s="46">
        <v>1.0</v>
      </c>
      <c r="S254" s="39" t="s">
        <v>87</v>
      </c>
      <c r="T254" s="41">
        <v>46094.52777777778</v>
      </c>
      <c r="U254" s="39" t="s">
        <v>32</v>
      </c>
      <c r="V254" s="44" t="s">
        <v>1179</v>
      </c>
      <c r="W254" s="45"/>
      <c r="X254" s="46">
        <v>0.0</v>
      </c>
      <c r="Y254" s="39" t="s">
        <v>33</v>
      </c>
      <c r="Z254" s="6"/>
      <c r="AA254" s="6"/>
      <c r="AB254" s="6"/>
      <c r="AC254" s="6"/>
      <c r="AD254" s="6"/>
      <c r="AE254" s="6"/>
    </row>
    <row r="255">
      <c r="A255" s="19">
        <f t="shared" si="2"/>
        <v>254</v>
      </c>
      <c r="B255" s="20" t="s">
        <v>1180</v>
      </c>
      <c r="C255" s="20" t="s">
        <v>1181</v>
      </c>
      <c r="D255" s="108" t="s">
        <v>27</v>
      </c>
      <c r="E255" s="22">
        <v>46106.85</v>
      </c>
      <c r="F255" s="22"/>
      <c r="G255" s="20" t="s">
        <v>431</v>
      </c>
      <c r="H255" s="20" t="s">
        <v>1182</v>
      </c>
      <c r="I255" s="20" t="s">
        <v>995</v>
      </c>
      <c r="J255" s="20" t="s">
        <v>1183</v>
      </c>
      <c r="K255" s="20">
        <v>7.089348032E9</v>
      </c>
      <c r="L255" s="20" t="s">
        <v>1184</v>
      </c>
      <c r="M255" s="20" t="s">
        <v>1185</v>
      </c>
      <c r="N255" s="25"/>
      <c r="O255" s="25"/>
      <c r="P255" s="26" t="s">
        <v>1186</v>
      </c>
      <c r="Q255" s="26"/>
      <c r="R255" s="30">
        <v>1.0</v>
      </c>
      <c r="S255" s="20" t="s">
        <v>38</v>
      </c>
      <c r="T255" s="22">
        <v>46094.53402777778</v>
      </c>
      <c r="U255" s="22">
        <v>46101.61597222222</v>
      </c>
      <c r="V255" s="26" t="s">
        <v>1187</v>
      </c>
      <c r="W255" s="27" t="s">
        <v>1188</v>
      </c>
      <c r="X255" s="30">
        <v>1.0</v>
      </c>
      <c r="Y255" s="31" t="s">
        <v>33</v>
      </c>
      <c r="Z255" s="6"/>
      <c r="AA255" s="6"/>
      <c r="AB255" s="6"/>
      <c r="AC255" s="6"/>
      <c r="AD255" s="6"/>
      <c r="AE255" s="6"/>
    </row>
    <row r="256">
      <c r="A256" s="19">
        <f t="shared" si="2"/>
        <v>255</v>
      </c>
      <c r="B256" s="20" t="s">
        <v>1189</v>
      </c>
      <c r="C256" s="20" t="s">
        <v>1190</v>
      </c>
      <c r="D256" s="108" t="s">
        <v>38</v>
      </c>
      <c r="E256" s="22">
        <v>46106.85</v>
      </c>
      <c r="F256" s="22">
        <v>46107.62569444445</v>
      </c>
      <c r="G256" s="20" t="s">
        <v>431</v>
      </c>
      <c r="H256" s="20" t="s">
        <v>1191</v>
      </c>
      <c r="I256" s="20" t="s">
        <v>995</v>
      </c>
      <c r="J256" s="25"/>
      <c r="K256" s="20">
        <v>9.056593335E9</v>
      </c>
      <c r="L256" s="20" t="s">
        <v>1192</v>
      </c>
      <c r="M256" s="20" t="s">
        <v>30</v>
      </c>
      <c r="N256" s="25"/>
      <c r="O256" s="25"/>
      <c r="P256" s="26" t="s">
        <v>1193</v>
      </c>
      <c r="Q256" s="27" t="s">
        <v>1194</v>
      </c>
      <c r="R256" s="30"/>
      <c r="S256" s="20" t="s">
        <v>38</v>
      </c>
      <c r="T256" s="22">
        <v>46094.611805555556</v>
      </c>
      <c r="U256" s="22">
        <v>46094.61388888889</v>
      </c>
      <c r="V256" s="26" t="s">
        <v>1195</v>
      </c>
      <c r="W256" s="27" t="s">
        <v>1196</v>
      </c>
      <c r="X256" s="30">
        <v>0.0</v>
      </c>
      <c r="Y256" s="20" t="s">
        <v>33</v>
      </c>
      <c r="Z256" s="6"/>
      <c r="AA256" s="6"/>
      <c r="AB256" s="6"/>
      <c r="AC256" s="6"/>
      <c r="AD256" s="6"/>
      <c r="AE256" s="6"/>
    </row>
    <row r="257">
      <c r="A257" s="19">
        <f t="shared" si="2"/>
        <v>256</v>
      </c>
      <c r="B257" s="20" t="s">
        <v>1197</v>
      </c>
      <c r="C257" s="20" t="s">
        <v>1198</v>
      </c>
      <c r="D257" s="108" t="s">
        <v>38</v>
      </c>
      <c r="E257" s="22">
        <v>46106.85</v>
      </c>
      <c r="F257" s="22">
        <v>46112.56180555555</v>
      </c>
      <c r="G257" s="20" t="s">
        <v>1199</v>
      </c>
      <c r="H257" s="20" t="s">
        <v>1200</v>
      </c>
      <c r="I257" s="20" t="s">
        <v>1201</v>
      </c>
      <c r="J257" s="25"/>
      <c r="K257" s="20">
        <v>6.4862732E8</v>
      </c>
      <c r="L257" s="20" t="s">
        <v>1202</v>
      </c>
      <c r="M257" s="20" t="s">
        <v>30</v>
      </c>
      <c r="N257" s="25"/>
      <c r="O257" s="25"/>
      <c r="P257" s="26" t="s">
        <v>1203</v>
      </c>
      <c r="Q257" s="27" t="s">
        <v>1204</v>
      </c>
      <c r="R257" s="30"/>
      <c r="S257" s="20" t="s">
        <v>38</v>
      </c>
      <c r="T257" s="22">
        <v>46094.69375</v>
      </c>
      <c r="U257" s="22">
        <v>46094.69652777778</v>
      </c>
      <c r="V257" s="26" t="s">
        <v>1205</v>
      </c>
      <c r="W257" s="27" t="s">
        <v>1206</v>
      </c>
      <c r="X257" s="30">
        <v>0.0</v>
      </c>
      <c r="Y257" s="20" t="s">
        <v>33</v>
      </c>
      <c r="Z257" s="6"/>
      <c r="AA257" s="6"/>
      <c r="AB257" s="6"/>
      <c r="AC257" s="6"/>
      <c r="AD257" s="6"/>
      <c r="AE257" s="6"/>
    </row>
    <row r="258">
      <c r="A258" s="38">
        <f t="shared" si="2"/>
        <v>257</v>
      </c>
      <c r="B258" s="39" t="s">
        <v>1207</v>
      </c>
      <c r="C258" s="39" t="s">
        <v>1208</v>
      </c>
      <c r="D258" s="111" t="s">
        <v>27</v>
      </c>
      <c r="E258" s="41">
        <v>46106.85</v>
      </c>
      <c r="F258" s="39"/>
      <c r="G258" s="39" t="s">
        <v>431</v>
      </c>
      <c r="H258" s="39" t="s">
        <v>1209</v>
      </c>
      <c r="I258" s="39" t="s">
        <v>995</v>
      </c>
      <c r="J258" s="43"/>
      <c r="K258" s="39" t="s">
        <v>1210</v>
      </c>
      <c r="L258" s="39" t="s">
        <v>1211</v>
      </c>
      <c r="M258" s="39" t="s">
        <v>30</v>
      </c>
      <c r="N258" s="43"/>
      <c r="O258" s="43"/>
      <c r="P258" s="44" t="s">
        <v>1212</v>
      </c>
      <c r="Q258" s="45"/>
      <c r="R258" s="46">
        <v>1.0</v>
      </c>
      <c r="S258" s="39" t="s">
        <v>87</v>
      </c>
      <c r="T258" s="41">
        <v>46094.83541666667</v>
      </c>
      <c r="U258" s="39" t="s">
        <v>32</v>
      </c>
      <c r="V258" s="44" t="s">
        <v>1213</v>
      </c>
      <c r="W258" s="45"/>
      <c r="X258" s="46">
        <v>0.0</v>
      </c>
      <c r="Y258" s="39" t="s">
        <v>33</v>
      </c>
      <c r="Z258" s="6"/>
      <c r="AA258" s="6"/>
      <c r="AB258" s="6"/>
      <c r="AC258" s="6"/>
      <c r="AD258" s="6"/>
      <c r="AE258" s="6"/>
    </row>
    <row r="259">
      <c r="A259" s="38">
        <f t="shared" si="2"/>
        <v>258</v>
      </c>
      <c r="B259" s="39" t="s">
        <v>1214</v>
      </c>
      <c r="C259" s="39" t="s">
        <v>1215</v>
      </c>
      <c r="D259" s="111" t="s">
        <v>27</v>
      </c>
      <c r="E259" s="41">
        <v>46106.85</v>
      </c>
      <c r="F259" s="39"/>
      <c r="G259" s="39" t="s">
        <v>431</v>
      </c>
      <c r="H259" s="39" t="s">
        <v>1216</v>
      </c>
      <c r="I259" s="39" t="s">
        <v>995</v>
      </c>
      <c r="J259" s="43"/>
      <c r="K259" s="39">
        <v>8.041192218E9</v>
      </c>
      <c r="L259" s="39" t="s">
        <v>1217</v>
      </c>
      <c r="M259" s="39" t="s">
        <v>30</v>
      </c>
      <c r="N259" s="43"/>
      <c r="O259" s="43"/>
      <c r="P259" s="44" t="s">
        <v>1218</v>
      </c>
      <c r="Q259" s="45"/>
      <c r="R259" s="46">
        <v>1.0</v>
      </c>
      <c r="S259" s="39" t="s">
        <v>87</v>
      </c>
      <c r="T259" s="41">
        <v>46097.27361111111</v>
      </c>
      <c r="U259" s="39" t="s">
        <v>32</v>
      </c>
      <c r="V259" s="44" t="s">
        <v>1219</v>
      </c>
      <c r="W259" s="45"/>
      <c r="X259" s="46">
        <v>0.0</v>
      </c>
      <c r="Y259" s="39" t="s">
        <v>33</v>
      </c>
      <c r="Z259" s="6"/>
      <c r="AA259" s="6"/>
      <c r="AB259" s="6"/>
      <c r="AC259" s="6"/>
      <c r="AD259" s="6"/>
      <c r="AE259" s="6"/>
    </row>
    <row r="260">
      <c r="A260" s="19">
        <f t="shared" si="2"/>
        <v>259</v>
      </c>
      <c r="B260" s="20" t="s">
        <v>1220</v>
      </c>
      <c r="C260" s="20" t="s">
        <v>1221</v>
      </c>
      <c r="D260" s="108" t="s">
        <v>38</v>
      </c>
      <c r="E260" s="22">
        <v>46106.850694444445</v>
      </c>
      <c r="F260" s="22">
        <v>46108.60138888889</v>
      </c>
      <c r="G260" s="20" t="s">
        <v>431</v>
      </c>
      <c r="H260" s="20" t="s">
        <v>1222</v>
      </c>
      <c r="I260" s="20" t="s">
        <v>995</v>
      </c>
      <c r="J260" s="25"/>
      <c r="K260" s="20">
        <v>9.087099246E9</v>
      </c>
      <c r="L260" s="20" t="s">
        <v>1223</v>
      </c>
      <c r="M260" s="20" t="s">
        <v>30</v>
      </c>
      <c r="N260" s="25"/>
      <c r="O260" s="25"/>
      <c r="P260" s="26" t="s">
        <v>1224</v>
      </c>
      <c r="Q260" s="27" t="s">
        <v>1225</v>
      </c>
      <c r="R260" s="30"/>
      <c r="S260" s="20" t="s">
        <v>38</v>
      </c>
      <c r="T260" s="22">
        <v>46097.4375</v>
      </c>
      <c r="U260" s="22">
        <v>46097.45138888889</v>
      </c>
      <c r="V260" s="26" t="s">
        <v>1226</v>
      </c>
      <c r="W260" s="27" t="s">
        <v>1227</v>
      </c>
      <c r="X260" s="30">
        <v>0.0</v>
      </c>
      <c r="Y260" s="20" t="s">
        <v>33</v>
      </c>
      <c r="Z260" s="6"/>
      <c r="AA260" s="6"/>
      <c r="AB260" s="6"/>
      <c r="AC260" s="6"/>
      <c r="AD260" s="6"/>
      <c r="AE260" s="6"/>
    </row>
    <row r="261">
      <c r="A261" s="19">
        <f t="shared" si="2"/>
        <v>260</v>
      </c>
      <c r="B261" s="20" t="s">
        <v>1228</v>
      </c>
      <c r="C261" s="20" t="s">
        <v>1229</v>
      </c>
      <c r="D261" s="108" t="s">
        <v>27</v>
      </c>
      <c r="E261" s="22">
        <v>46106.850694444445</v>
      </c>
      <c r="F261" s="22"/>
      <c r="G261" s="20" t="s">
        <v>431</v>
      </c>
      <c r="H261" s="20" t="s">
        <v>1230</v>
      </c>
      <c r="I261" s="20" t="s">
        <v>995</v>
      </c>
      <c r="J261" s="25"/>
      <c r="K261" s="20">
        <v>8.041260195E9</v>
      </c>
      <c r="L261" s="20" t="s">
        <v>1231</v>
      </c>
      <c r="M261" s="20" t="s">
        <v>30</v>
      </c>
      <c r="N261" s="25"/>
      <c r="O261" s="25"/>
      <c r="P261" s="26" t="s">
        <v>1232</v>
      </c>
      <c r="Q261" s="26"/>
      <c r="R261" s="30">
        <v>1.0</v>
      </c>
      <c r="S261" s="20" t="s">
        <v>38</v>
      </c>
      <c r="T261" s="22">
        <v>46098.34861111111</v>
      </c>
      <c r="U261" s="22">
        <v>46098.35625</v>
      </c>
      <c r="V261" s="26" t="s">
        <v>1233</v>
      </c>
      <c r="W261" s="27" t="s">
        <v>1234</v>
      </c>
      <c r="X261" s="30">
        <v>0.0</v>
      </c>
      <c r="Y261" s="31" t="s">
        <v>33</v>
      </c>
      <c r="Z261" s="6"/>
      <c r="AA261" s="6"/>
      <c r="AB261" s="6"/>
      <c r="AC261" s="6"/>
      <c r="AD261" s="6"/>
      <c r="AE261" s="6"/>
    </row>
    <row r="262">
      <c r="A262" s="19">
        <f t="shared" si="2"/>
        <v>261</v>
      </c>
      <c r="B262" s="20" t="s">
        <v>1235</v>
      </c>
      <c r="C262" s="20" t="s">
        <v>1236</v>
      </c>
      <c r="D262" s="108" t="s">
        <v>38</v>
      </c>
      <c r="E262" s="22">
        <v>46106.850694444445</v>
      </c>
      <c r="F262" s="22">
        <v>46108.73888888889</v>
      </c>
      <c r="G262" s="20" t="s">
        <v>297</v>
      </c>
      <c r="H262" s="20" t="s">
        <v>1237</v>
      </c>
      <c r="I262" s="20" t="s">
        <v>1201</v>
      </c>
      <c r="J262" s="25"/>
      <c r="K262" s="20">
        <v>9.056165748E9</v>
      </c>
      <c r="L262" s="20" t="s">
        <v>1238</v>
      </c>
      <c r="M262" s="20" t="s">
        <v>30</v>
      </c>
      <c r="N262" s="25"/>
      <c r="O262" s="25"/>
      <c r="P262" s="26" t="s">
        <v>1239</v>
      </c>
      <c r="Q262" s="27" t="s">
        <v>1240</v>
      </c>
      <c r="R262" s="30"/>
      <c r="S262" s="20" t="s">
        <v>38</v>
      </c>
      <c r="T262" s="22">
        <v>46098.51458333333</v>
      </c>
      <c r="U262" s="22">
        <v>46098.54513888889</v>
      </c>
      <c r="V262" s="26" t="s">
        <v>1241</v>
      </c>
      <c r="W262" s="27" t="s">
        <v>1242</v>
      </c>
      <c r="X262" s="30">
        <v>0.0</v>
      </c>
      <c r="Y262" s="20" t="s">
        <v>33</v>
      </c>
      <c r="Z262" s="6"/>
      <c r="AA262" s="6"/>
      <c r="AB262" s="6"/>
      <c r="AC262" s="6"/>
      <c r="AD262" s="6"/>
      <c r="AE262" s="6"/>
    </row>
    <row r="263">
      <c r="A263" s="19">
        <f t="shared" si="2"/>
        <v>262</v>
      </c>
      <c r="B263" s="20" t="s">
        <v>1243</v>
      </c>
      <c r="C263" s="20" t="s">
        <v>1244</v>
      </c>
      <c r="D263" s="108" t="s">
        <v>27</v>
      </c>
      <c r="E263" s="22">
        <v>46106.850694444445</v>
      </c>
      <c r="F263" s="22"/>
      <c r="G263" s="20" t="s">
        <v>431</v>
      </c>
      <c r="H263" s="20" t="s">
        <v>1245</v>
      </c>
      <c r="I263" s="20" t="s">
        <v>995</v>
      </c>
      <c r="J263" s="25"/>
      <c r="K263" s="20">
        <v>9.0113014E9</v>
      </c>
      <c r="L263" s="20" t="s">
        <v>1246</v>
      </c>
      <c r="M263" s="20" t="s">
        <v>30</v>
      </c>
      <c r="N263" s="25"/>
      <c r="O263" s="25"/>
      <c r="P263" s="26" t="s">
        <v>1247</v>
      </c>
      <c r="Q263" s="26"/>
      <c r="R263" s="30">
        <v>1.0</v>
      </c>
      <c r="S263" s="20" t="s">
        <v>38</v>
      </c>
      <c r="T263" s="22">
        <v>46098.62291666667</v>
      </c>
      <c r="U263" s="22">
        <v>46098.625</v>
      </c>
      <c r="V263" s="26" t="s">
        <v>1248</v>
      </c>
      <c r="W263" s="27" t="s">
        <v>1249</v>
      </c>
      <c r="X263" s="30">
        <v>0.0</v>
      </c>
      <c r="Y263" s="31" t="s">
        <v>33</v>
      </c>
      <c r="Z263" s="6"/>
      <c r="AA263" s="6"/>
      <c r="AB263" s="6"/>
      <c r="AC263" s="6"/>
      <c r="AD263" s="6"/>
      <c r="AE263" s="6"/>
    </row>
    <row r="264">
      <c r="A264" s="19">
        <f t="shared" si="2"/>
        <v>263</v>
      </c>
      <c r="B264" s="20" t="s">
        <v>1250</v>
      </c>
      <c r="C264" s="20" t="s">
        <v>1251</v>
      </c>
      <c r="D264" s="108" t="s">
        <v>27</v>
      </c>
      <c r="E264" s="22">
        <v>46106.850694444445</v>
      </c>
      <c r="F264" s="22"/>
      <c r="G264" s="20" t="s">
        <v>431</v>
      </c>
      <c r="H264" s="20" t="s">
        <v>1252</v>
      </c>
      <c r="I264" s="20" t="s">
        <v>1201</v>
      </c>
      <c r="J264" s="20" t="s">
        <v>1250</v>
      </c>
      <c r="K264" s="20">
        <v>3.6263092E8</v>
      </c>
      <c r="L264" s="20" t="s">
        <v>1253</v>
      </c>
      <c r="M264" s="20" t="s">
        <v>1254</v>
      </c>
      <c r="N264" s="25"/>
      <c r="O264" s="25"/>
      <c r="P264" s="26" t="s">
        <v>1255</v>
      </c>
      <c r="Q264" s="26"/>
      <c r="R264" s="30">
        <v>1.0</v>
      </c>
      <c r="S264" s="20" t="s">
        <v>38</v>
      </c>
      <c r="T264" s="22">
        <v>46098.65138888889</v>
      </c>
      <c r="U264" s="22">
        <v>46098.65902777778</v>
      </c>
      <c r="V264" s="26" t="s">
        <v>1256</v>
      </c>
      <c r="W264" s="27" t="s">
        <v>1257</v>
      </c>
      <c r="X264" s="30">
        <v>0.0</v>
      </c>
      <c r="Y264" s="31" t="s">
        <v>33</v>
      </c>
      <c r="Z264" s="6"/>
      <c r="AA264" s="6"/>
      <c r="AB264" s="6"/>
      <c r="AC264" s="6"/>
      <c r="AD264" s="6"/>
      <c r="AE264" s="6"/>
    </row>
    <row r="265">
      <c r="A265" s="38">
        <f t="shared" si="2"/>
        <v>264</v>
      </c>
      <c r="B265" s="39" t="s">
        <v>1258</v>
      </c>
      <c r="C265" s="39" t="s">
        <v>1259</v>
      </c>
      <c r="D265" s="111" t="s">
        <v>27</v>
      </c>
      <c r="E265" s="41">
        <v>46106.850694444445</v>
      </c>
      <c r="F265" s="39"/>
      <c r="G265" s="39" t="s">
        <v>1260</v>
      </c>
      <c r="H265" s="39" t="s">
        <v>1261</v>
      </c>
      <c r="I265" s="39" t="s">
        <v>995</v>
      </c>
      <c r="J265" s="39" t="s">
        <v>1262</v>
      </c>
      <c r="K265" s="39">
        <v>9.04800746E9</v>
      </c>
      <c r="L265" s="39" t="s">
        <v>1263</v>
      </c>
      <c r="M265" s="39" t="s">
        <v>1264</v>
      </c>
      <c r="N265" s="43"/>
      <c r="O265" s="43"/>
      <c r="P265" s="44" t="s">
        <v>1265</v>
      </c>
      <c r="Q265" s="45"/>
      <c r="R265" s="46">
        <v>1.0</v>
      </c>
      <c r="S265" s="39" t="s">
        <v>87</v>
      </c>
      <c r="T265" s="41">
        <v>46098.665972222225</v>
      </c>
      <c r="U265" s="39" t="s">
        <v>32</v>
      </c>
      <c r="V265" s="44" t="s">
        <v>1266</v>
      </c>
      <c r="W265" s="45"/>
      <c r="X265" s="46">
        <v>0.0</v>
      </c>
      <c r="Y265" s="39" t="s">
        <v>33</v>
      </c>
      <c r="Z265" s="6"/>
      <c r="AA265" s="6"/>
      <c r="AB265" s="6"/>
      <c r="AC265" s="6"/>
      <c r="AD265" s="6"/>
      <c r="AE265" s="6"/>
    </row>
    <row r="266">
      <c r="A266" s="19">
        <f t="shared" si="2"/>
        <v>265</v>
      </c>
      <c r="B266" s="20" t="s">
        <v>1267</v>
      </c>
      <c r="C266" s="20" t="s">
        <v>1268</v>
      </c>
      <c r="D266" s="108" t="s">
        <v>38</v>
      </c>
      <c r="E266" s="22">
        <v>46106.850694444445</v>
      </c>
      <c r="F266" s="22">
        <v>46107.475694444445</v>
      </c>
      <c r="G266" s="20" t="s">
        <v>431</v>
      </c>
      <c r="H266" s="20" t="s">
        <v>1269</v>
      </c>
      <c r="I266" s="20" t="s">
        <v>995</v>
      </c>
      <c r="J266" s="25"/>
      <c r="K266" s="20">
        <v>9.010716851E9</v>
      </c>
      <c r="L266" s="20" t="s">
        <v>1270</v>
      </c>
      <c r="M266" s="20" t="s">
        <v>30</v>
      </c>
      <c r="N266" s="25"/>
      <c r="O266" s="25"/>
      <c r="P266" s="26" t="s">
        <v>1271</v>
      </c>
      <c r="Q266" s="27" t="s">
        <v>1272</v>
      </c>
      <c r="R266" s="30"/>
      <c r="S266" s="20" t="s">
        <v>38</v>
      </c>
      <c r="T266" s="22">
        <v>46099.46041666667</v>
      </c>
      <c r="U266" s="22">
        <v>46099.46319444444</v>
      </c>
      <c r="V266" s="26" t="s">
        <v>1273</v>
      </c>
      <c r="W266" s="27" t="s">
        <v>1274</v>
      </c>
      <c r="X266" s="30">
        <v>0.0</v>
      </c>
      <c r="Y266" s="20" t="s">
        <v>33</v>
      </c>
      <c r="Z266" s="6"/>
      <c r="AA266" s="6"/>
      <c r="AB266" s="6"/>
      <c r="AC266" s="6"/>
      <c r="AD266" s="6"/>
      <c r="AE266" s="6"/>
    </row>
    <row r="267">
      <c r="A267" s="19">
        <f t="shared" si="2"/>
        <v>266</v>
      </c>
      <c r="B267" s="20" t="s">
        <v>1275</v>
      </c>
      <c r="C267" s="20" t="s">
        <v>1276</v>
      </c>
      <c r="D267" s="108" t="s">
        <v>38</v>
      </c>
      <c r="E267" s="22">
        <v>46106.850694444445</v>
      </c>
      <c r="F267" s="22">
        <v>46107.55138888889</v>
      </c>
      <c r="G267" s="20" t="s">
        <v>431</v>
      </c>
      <c r="H267" s="20" t="s">
        <v>1277</v>
      </c>
      <c r="I267" s="20" t="s">
        <v>995</v>
      </c>
      <c r="J267" s="25"/>
      <c r="K267" s="20" t="s">
        <v>1278</v>
      </c>
      <c r="L267" s="20" t="s">
        <v>1279</v>
      </c>
      <c r="M267" s="20" t="s">
        <v>30</v>
      </c>
      <c r="N267" s="25"/>
      <c r="O267" s="25"/>
      <c r="P267" s="26" t="s">
        <v>1280</v>
      </c>
      <c r="Q267" s="27" t="s">
        <v>1281</v>
      </c>
      <c r="R267" s="30"/>
      <c r="S267" s="20" t="s">
        <v>38</v>
      </c>
      <c r="T267" s="22">
        <v>46099.603472222225</v>
      </c>
      <c r="U267" s="22">
        <v>46099.654861111114</v>
      </c>
      <c r="V267" s="26" t="s">
        <v>1282</v>
      </c>
      <c r="W267" s="27" t="s">
        <v>1283</v>
      </c>
      <c r="X267" s="30">
        <v>0.0</v>
      </c>
      <c r="Y267" s="20" t="s">
        <v>33</v>
      </c>
      <c r="Z267" s="6"/>
      <c r="AA267" s="6"/>
      <c r="AB267" s="6"/>
      <c r="AC267" s="6"/>
      <c r="AD267" s="6"/>
      <c r="AE267" s="6"/>
    </row>
    <row r="268">
      <c r="A268" s="19">
        <f t="shared" si="2"/>
        <v>267</v>
      </c>
      <c r="B268" s="20" t="s">
        <v>1284</v>
      </c>
      <c r="C268" s="20" t="s">
        <v>1285</v>
      </c>
      <c r="D268" s="108" t="s">
        <v>38</v>
      </c>
      <c r="E268" s="22">
        <v>46106.850694444445</v>
      </c>
      <c r="F268" s="22">
        <v>46108.384722222225</v>
      </c>
      <c r="G268" s="20" t="s">
        <v>431</v>
      </c>
      <c r="H268" s="20" t="s">
        <v>1286</v>
      </c>
      <c r="I268" s="20" t="s">
        <v>995</v>
      </c>
      <c r="J268" s="25"/>
      <c r="K268" s="20">
        <v>8.09448727E9</v>
      </c>
      <c r="L268" s="20" t="s">
        <v>1287</v>
      </c>
      <c r="M268" s="20" t="s">
        <v>30</v>
      </c>
      <c r="N268" s="25"/>
      <c r="O268" s="25"/>
      <c r="P268" s="26" t="s">
        <v>1288</v>
      </c>
      <c r="Q268" s="27" t="s">
        <v>1289</v>
      </c>
      <c r="R268" s="30"/>
      <c r="S268" s="20" t="s">
        <v>87</v>
      </c>
      <c r="T268" s="22">
        <v>46099.60555555556</v>
      </c>
      <c r="U268" s="20" t="s">
        <v>32</v>
      </c>
      <c r="V268" s="26" t="s">
        <v>1290</v>
      </c>
      <c r="W268" s="29"/>
      <c r="X268" s="30">
        <v>0.0</v>
      </c>
      <c r="Y268" s="20" t="s">
        <v>33</v>
      </c>
      <c r="Z268" s="6"/>
      <c r="AA268" s="6"/>
      <c r="AB268" s="6"/>
      <c r="AC268" s="6"/>
      <c r="AD268" s="6"/>
      <c r="AE268" s="6"/>
    </row>
    <row r="269">
      <c r="A269" s="38">
        <f t="shared" si="2"/>
        <v>268</v>
      </c>
      <c r="B269" s="39" t="s">
        <v>1291</v>
      </c>
      <c r="C269" s="39" t="s">
        <v>1292</v>
      </c>
      <c r="D269" s="111" t="s">
        <v>27</v>
      </c>
      <c r="E269" s="41">
        <v>46106.850694444445</v>
      </c>
      <c r="F269" s="39"/>
      <c r="G269" s="39" t="s">
        <v>431</v>
      </c>
      <c r="H269" s="39" t="s">
        <v>1293</v>
      </c>
      <c r="I269" s="39" t="s">
        <v>995</v>
      </c>
      <c r="J269" s="43"/>
      <c r="K269" s="39">
        <v>9.073933258E9</v>
      </c>
      <c r="L269" s="39" t="s">
        <v>1294</v>
      </c>
      <c r="M269" s="39" t="s">
        <v>1295</v>
      </c>
      <c r="N269" s="43"/>
      <c r="O269" s="43"/>
      <c r="P269" s="44" t="s">
        <v>1296</v>
      </c>
      <c r="Q269" s="45"/>
      <c r="R269" s="46">
        <v>1.0</v>
      </c>
      <c r="S269" s="39" t="s">
        <v>87</v>
      </c>
      <c r="T269" s="41">
        <v>46099.611805555556</v>
      </c>
      <c r="U269" s="39" t="s">
        <v>32</v>
      </c>
      <c r="V269" s="44" t="s">
        <v>1297</v>
      </c>
      <c r="W269" s="45"/>
      <c r="X269" s="46">
        <v>0.0</v>
      </c>
      <c r="Y269" s="39" t="s">
        <v>33</v>
      </c>
      <c r="Z269" s="6"/>
      <c r="AA269" s="6"/>
      <c r="AB269" s="6"/>
      <c r="AC269" s="6"/>
      <c r="AD269" s="6"/>
      <c r="AE269" s="6"/>
    </row>
    <row r="270">
      <c r="A270" s="19">
        <f t="shared" si="2"/>
        <v>269</v>
      </c>
      <c r="B270" s="20" t="s">
        <v>1298</v>
      </c>
      <c r="C270" s="20" t="s">
        <v>1299</v>
      </c>
      <c r="D270" s="108" t="s">
        <v>27</v>
      </c>
      <c r="E270" s="22">
        <v>46106.85138888889</v>
      </c>
      <c r="F270" s="22"/>
      <c r="G270" s="20" t="s">
        <v>431</v>
      </c>
      <c r="H270" s="20" t="s">
        <v>1300</v>
      </c>
      <c r="I270" s="20" t="s">
        <v>995</v>
      </c>
      <c r="J270" s="25"/>
      <c r="K270" s="20" t="s">
        <v>1301</v>
      </c>
      <c r="L270" s="20" t="s">
        <v>1302</v>
      </c>
      <c r="M270" s="20" t="s">
        <v>30</v>
      </c>
      <c r="N270" s="25"/>
      <c r="O270" s="25"/>
      <c r="P270" s="26" t="s">
        <v>1303</v>
      </c>
      <c r="Q270" s="26"/>
      <c r="R270" s="30">
        <v>1.0</v>
      </c>
      <c r="S270" s="20" t="s">
        <v>38</v>
      </c>
      <c r="T270" s="22">
        <v>46099.61736111111</v>
      </c>
      <c r="U270" s="22">
        <v>46099.61875</v>
      </c>
      <c r="V270" s="26" t="s">
        <v>1304</v>
      </c>
      <c r="W270" s="27" t="s">
        <v>1305</v>
      </c>
      <c r="X270" s="30">
        <v>0.0</v>
      </c>
      <c r="Y270" s="31" t="s">
        <v>33</v>
      </c>
      <c r="Z270" s="6"/>
      <c r="AA270" s="6"/>
      <c r="AB270" s="6"/>
      <c r="AC270" s="6"/>
      <c r="AD270" s="6"/>
      <c r="AE270" s="6"/>
    </row>
    <row r="271">
      <c r="A271" s="19">
        <f t="shared" si="2"/>
        <v>270</v>
      </c>
      <c r="B271" s="20" t="s">
        <v>1306</v>
      </c>
      <c r="C271" s="20" t="s">
        <v>1307</v>
      </c>
      <c r="D271" s="108" t="s">
        <v>38</v>
      </c>
      <c r="E271" s="22">
        <v>46106.85138888889</v>
      </c>
      <c r="F271" s="22">
        <v>46107.3125</v>
      </c>
      <c r="G271" s="20" t="s">
        <v>431</v>
      </c>
      <c r="H271" s="20" t="s">
        <v>1308</v>
      </c>
      <c r="I271" s="20" t="s">
        <v>995</v>
      </c>
      <c r="J271" s="20" t="s">
        <v>1306</v>
      </c>
      <c r="K271" s="20">
        <v>8.040998811E9</v>
      </c>
      <c r="L271" s="20" t="s">
        <v>1309</v>
      </c>
      <c r="M271" s="20" t="s">
        <v>927</v>
      </c>
      <c r="N271" s="25"/>
      <c r="O271" s="25"/>
      <c r="P271" s="26" t="s">
        <v>1310</v>
      </c>
      <c r="Q271" s="27" t="s">
        <v>1311</v>
      </c>
      <c r="R271" s="30"/>
      <c r="S271" s="20" t="s">
        <v>38</v>
      </c>
      <c r="T271" s="22">
        <v>46099.62569444445</v>
      </c>
      <c r="U271" s="22">
        <v>46099.63680555556</v>
      </c>
      <c r="V271" s="26" t="s">
        <v>1312</v>
      </c>
      <c r="W271" s="27" t="s">
        <v>1313</v>
      </c>
      <c r="X271" s="30">
        <v>0.0</v>
      </c>
      <c r="Y271" s="20" t="s">
        <v>33</v>
      </c>
      <c r="Z271" s="6"/>
      <c r="AA271" s="6"/>
      <c r="AB271" s="6"/>
      <c r="AC271" s="6"/>
      <c r="AD271" s="6"/>
      <c r="AE271" s="6"/>
    </row>
    <row r="272">
      <c r="A272" s="19">
        <f t="shared" si="2"/>
        <v>271</v>
      </c>
      <c r="B272" s="20" t="s">
        <v>1314</v>
      </c>
      <c r="C272" s="20" t="s">
        <v>1315</v>
      </c>
      <c r="D272" s="108" t="s">
        <v>27</v>
      </c>
      <c r="E272" s="22">
        <v>46106.85138888889</v>
      </c>
      <c r="F272" s="22"/>
      <c r="G272" s="20" t="s">
        <v>431</v>
      </c>
      <c r="H272" s="20" t="s">
        <v>1316</v>
      </c>
      <c r="I272" s="20" t="s">
        <v>1153</v>
      </c>
      <c r="J272" s="20" t="s">
        <v>1317</v>
      </c>
      <c r="K272" s="20" t="s">
        <v>1318</v>
      </c>
      <c r="L272" s="20" t="s">
        <v>1319</v>
      </c>
      <c r="M272" s="20" t="s">
        <v>1320</v>
      </c>
      <c r="N272" s="25"/>
      <c r="O272" s="25"/>
      <c r="P272" s="26" t="s">
        <v>1321</v>
      </c>
      <c r="Q272" s="26"/>
      <c r="R272" s="30">
        <v>1.0</v>
      </c>
      <c r="S272" s="20" t="s">
        <v>38</v>
      </c>
      <c r="T272" s="22">
        <v>46099.65416666667</v>
      </c>
      <c r="U272" s="22">
        <v>46099.95347222222</v>
      </c>
      <c r="V272" s="26" t="s">
        <v>1322</v>
      </c>
      <c r="W272" s="27" t="s">
        <v>1323</v>
      </c>
      <c r="X272" s="30">
        <v>0.0</v>
      </c>
      <c r="Y272" s="31" t="s">
        <v>33</v>
      </c>
      <c r="Z272" s="6"/>
      <c r="AA272" s="6"/>
      <c r="AB272" s="6"/>
      <c r="AC272" s="6"/>
      <c r="AD272" s="6"/>
      <c r="AE272" s="6"/>
    </row>
    <row r="273">
      <c r="A273" s="19">
        <f t="shared" si="2"/>
        <v>272</v>
      </c>
      <c r="B273" s="20" t="s">
        <v>1324</v>
      </c>
      <c r="C273" s="20" t="s">
        <v>1325</v>
      </c>
      <c r="D273" s="108" t="s">
        <v>38</v>
      </c>
      <c r="E273" s="22">
        <v>46106.85138888889</v>
      </c>
      <c r="F273" s="22">
        <v>46107.04791666667</v>
      </c>
      <c r="G273" s="20" t="s">
        <v>431</v>
      </c>
      <c r="H273" s="20" t="s">
        <v>1326</v>
      </c>
      <c r="I273" s="20" t="s">
        <v>995</v>
      </c>
      <c r="J273" s="20" t="s">
        <v>1327</v>
      </c>
      <c r="K273" s="20">
        <v>8.034720337E9</v>
      </c>
      <c r="L273" s="20" t="s">
        <v>1328</v>
      </c>
      <c r="M273" s="20" t="s">
        <v>1329</v>
      </c>
      <c r="N273" s="25"/>
      <c r="O273" s="25"/>
      <c r="P273" s="26" t="s">
        <v>1330</v>
      </c>
      <c r="Q273" s="27" t="s">
        <v>1331</v>
      </c>
      <c r="R273" s="30"/>
      <c r="S273" s="20" t="s">
        <v>87</v>
      </c>
      <c r="T273" s="22">
        <v>46100.56736111111</v>
      </c>
      <c r="U273" s="20" t="s">
        <v>32</v>
      </c>
      <c r="V273" s="26" t="s">
        <v>1332</v>
      </c>
      <c r="W273" s="29"/>
      <c r="X273" s="30">
        <v>0.0</v>
      </c>
      <c r="Y273" s="20" t="s">
        <v>33</v>
      </c>
      <c r="Z273" s="6"/>
      <c r="AA273" s="6"/>
      <c r="AB273" s="6"/>
      <c r="AC273" s="6"/>
      <c r="AD273" s="6"/>
      <c r="AE273" s="6"/>
    </row>
    <row r="274">
      <c r="A274" s="19">
        <f t="shared" si="2"/>
        <v>273</v>
      </c>
      <c r="B274" s="20" t="s">
        <v>1333</v>
      </c>
      <c r="C274" s="20" t="s">
        <v>1334</v>
      </c>
      <c r="D274" s="108" t="s">
        <v>38</v>
      </c>
      <c r="E274" s="22">
        <v>46106.85138888889</v>
      </c>
      <c r="F274" s="22">
        <v>46113.43680555555</v>
      </c>
      <c r="G274" s="20" t="s">
        <v>297</v>
      </c>
      <c r="H274" s="20" t="s">
        <v>1335</v>
      </c>
      <c r="I274" s="20" t="s">
        <v>995</v>
      </c>
      <c r="J274" s="20" t="s">
        <v>1333</v>
      </c>
      <c r="K274" s="20">
        <v>9.07684745E9</v>
      </c>
      <c r="L274" s="20" t="s">
        <v>1336</v>
      </c>
      <c r="M274" s="20" t="s">
        <v>1337</v>
      </c>
      <c r="N274" s="25"/>
      <c r="O274" s="25"/>
      <c r="P274" s="26" t="s">
        <v>1338</v>
      </c>
      <c r="Q274" s="27" t="s">
        <v>1339</v>
      </c>
      <c r="R274" s="30"/>
      <c r="S274" s="20" t="s">
        <v>38</v>
      </c>
      <c r="T274" s="22">
        <v>46100.64027777778</v>
      </c>
      <c r="U274" s="22">
        <v>46100.754166666666</v>
      </c>
      <c r="V274" s="26" t="s">
        <v>1340</v>
      </c>
      <c r="W274" s="27" t="s">
        <v>1341</v>
      </c>
      <c r="X274" s="30">
        <v>0.0</v>
      </c>
      <c r="Y274" s="20" t="s">
        <v>33</v>
      </c>
      <c r="Z274" s="6"/>
      <c r="AA274" s="6"/>
      <c r="AB274" s="6"/>
      <c r="AC274" s="6"/>
      <c r="AD274" s="6"/>
      <c r="AE274" s="6"/>
    </row>
    <row r="275">
      <c r="A275" s="19">
        <f t="shared" si="2"/>
        <v>274</v>
      </c>
      <c r="B275" s="20" t="s">
        <v>1342</v>
      </c>
      <c r="C275" s="20" t="s">
        <v>1175</v>
      </c>
      <c r="D275" s="108" t="s">
        <v>38</v>
      </c>
      <c r="E275" s="22">
        <v>46106.85138888889</v>
      </c>
      <c r="F275" s="22">
        <v>46107.330555555556</v>
      </c>
      <c r="G275" s="20" t="s">
        <v>431</v>
      </c>
      <c r="H275" s="20" t="s">
        <v>1176</v>
      </c>
      <c r="I275" s="20" t="s">
        <v>995</v>
      </c>
      <c r="J275" s="25"/>
      <c r="K275" s="20">
        <v>6.48625651E8</v>
      </c>
      <c r="L275" s="20" t="s">
        <v>1177</v>
      </c>
      <c r="M275" s="20" t="s">
        <v>30</v>
      </c>
      <c r="N275" s="25"/>
      <c r="O275" s="25"/>
      <c r="P275" s="26" t="s">
        <v>1343</v>
      </c>
      <c r="Q275" s="27" t="s">
        <v>1344</v>
      </c>
      <c r="R275" s="30"/>
      <c r="S275" s="20" t="s">
        <v>38</v>
      </c>
      <c r="T275" s="22">
        <v>46100.739583333336</v>
      </c>
      <c r="U275" s="22">
        <v>46100.75208333333</v>
      </c>
      <c r="V275" s="26" t="s">
        <v>1345</v>
      </c>
      <c r="W275" s="27" t="s">
        <v>1346</v>
      </c>
      <c r="X275" s="30">
        <v>0.0</v>
      </c>
      <c r="Y275" s="20" t="s">
        <v>33</v>
      </c>
      <c r="Z275" s="6"/>
      <c r="AA275" s="6"/>
      <c r="AB275" s="6"/>
      <c r="AC275" s="6"/>
      <c r="AD275" s="6"/>
      <c r="AE275" s="6"/>
    </row>
    <row r="276">
      <c r="A276" s="7">
        <f t="shared" si="2"/>
        <v>275</v>
      </c>
      <c r="B276" s="31" t="s">
        <v>1347</v>
      </c>
      <c r="C276" s="31" t="s">
        <v>1348</v>
      </c>
      <c r="D276" s="110" t="s">
        <v>27</v>
      </c>
      <c r="E276" s="32">
        <v>46105.688888888886</v>
      </c>
      <c r="F276" s="6"/>
      <c r="G276" s="31" t="s">
        <v>431</v>
      </c>
      <c r="H276" s="31" t="s">
        <v>1349</v>
      </c>
      <c r="I276" s="31" t="s">
        <v>995</v>
      </c>
      <c r="J276" s="31" t="s">
        <v>1347</v>
      </c>
      <c r="K276" s="31">
        <v>9.0557377E9</v>
      </c>
      <c r="L276" s="31" t="s">
        <v>1350</v>
      </c>
      <c r="M276" s="31" t="s">
        <v>1351</v>
      </c>
      <c r="N276" s="6"/>
      <c r="O276" s="6"/>
      <c r="P276" s="34" t="s">
        <v>1352</v>
      </c>
      <c r="Q276" s="35"/>
      <c r="R276" s="36">
        <v>1.0</v>
      </c>
      <c r="S276" s="31"/>
      <c r="T276" s="32"/>
      <c r="U276" s="6"/>
      <c r="V276" s="34"/>
      <c r="W276" s="35"/>
      <c r="X276" s="36"/>
      <c r="Y276" s="6"/>
      <c r="Z276" s="6"/>
      <c r="AA276" s="6"/>
      <c r="AB276" s="6"/>
      <c r="AC276" s="6"/>
      <c r="AD276" s="6"/>
      <c r="AE276" s="6"/>
    </row>
    <row r="277">
      <c r="A277" s="19">
        <f t="shared" si="2"/>
        <v>276</v>
      </c>
      <c r="B277" s="20" t="s">
        <v>1353</v>
      </c>
      <c r="C277" s="20" t="s">
        <v>1354</v>
      </c>
      <c r="D277" s="108" t="s">
        <v>38</v>
      </c>
      <c r="E277" s="22">
        <v>46105.688888888886</v>
      </c>
      <c r="F277" s="22">
        <v>46107.51666666667</v>
      </c>
      <c r="G277" s="20" t="s">
        <v>431</v>
      </c>
      <c r="H277" s="20" t="s">
        <v>1355</v>
      </c>
      <c r="I277" s="20" t="s">
        <v>1201</v>
      </c>
      <c r="J277" s="25"/>
      <c r="K277" s="20">
        <v>8.06320494E9</v>
      </c>
      <c r="L277" s="20" t="s">
        <v>1356</v>
      </c>
      <c r="M277" s="20" t="s">
        <v>30</v>
      </c>
      <c r="N277" s="25"/>
      <c r="O277" s="25"/>
      <c r="P277" s="26" t="s">
        <v>1357</v>
      </c>
      <c r="Q277" s="27" t="s">
        <v>1358</v>
      </c>
      <c r="R277" s="30">
        <v>0.0</v>
      </c>
      <c r="S277" s="20"/>
      <c r="T277" s="22"/>
      <c r="U277" s="25"/>
      <c r="V277" s="26"/>
      <c r="W277" s="29"/>
      <c r="X277" s="30"/>
      <c r="Y277" s="25"/>
      <c r="Z277" s="6"/>
      <c r="AA277" s="6"/>
      <c r="AB277" s="6"/>
      <c r="AC277" s="6"/>
      <c r="AD277" s="6"/>
      <c r="AE277" s="6"/>
    </row>
    <row r="278">
      <c r="A278" s="7">
        <f t="shared" si="2"/>
        <v>277</v>
      </c>
      <c r="B278" s="31" t="s">
        <v>1353</v>
      </c>
      <c r="C278" s="31" t="s">
        <v>1354</v>
      </c>
      <c r="D278" s="110" t="s">
        <v>27</v>
      </c>
      <c r="E278" s="32">
        <v>46106.81527777778</v>
      </c>
      <c r="F278" s="6"/>
      <c r="G278" s="31" t="s">
        <v>431</v>
      </c>
      <c r="H278" s="31" t="s">
        <v>1355</v>
      </c>
      <c r="I278" s="31" t="s">
        <v>995</v>
      </c>
      <c r="J278" s="6"/>
      <c r="K278" s="31" t="s">
        <v>1359</v>
      </c>
      <c r="L278" s="31" t="s">
        <v>1356</v>
      </c>
      <c r="M278" s="31" t="s">
        <v>30</v>
      </c>
      <c r="N278" s="6"/>
      <c r="O278" s="6"/>
      <c r="P278" s="34" t="s">
        <v>1360</v>
      </c>
      <c r="Q278" s="35"/>
      <c r="R278" s="36">
        <v>1.0</v>
      </c>
      <c r="S278" s="31"/>
      <c r="T278" s="6"/>
      <c r="U278" s="6"/>
      <c r="V278" s="35"/>
      <c r="W278" s="35"/>
      <c r="X278" s="36"/>
      <c r="Y278" s="6"/>
      <c r="Z278" s="6"/>
      <c r="AA278" s="6"/>
      <c r="AB278" s="6"/>
      <c r="AC278" s="6"/>
      <c r="AD278" s="6"/>
      <c r="AE278" s="6"/>
    </row>
    <row r="279">
      <c r="A279" s="19">
        <f t="shared" si="2"/>
        <v>278</v>
      </c>
      <c r="B279" s="20" t="s">
        <v>1361</v>
      </c>
      <c r="C279" s="20" t="s">
        <v>1362</v>
      </c>
      <c r="D279" s="108" t="s">
        <v>38</v>
      </c>
      <c r="E279" s="22">
        <v>46105.68958333333</v>
      </c>
      <c r="F279" s="22">
        <v>46105.7125</v>
      </c>
      <c r="G279" s="20" t="s">
        <v>431</v>
      </c>
      <c r="H279" s="20" t="s">
        <v>1363</v>
      </c>
      <c r="I279" s="20" t="s">
        <v>995</v>
      </c>
      <c r="J279" s="25"/>
      <c r="K279" s="20">
        <v>9.091015142E9</v>
      </c>
      <c r="L279" s="20" t="s">
        <v>1364</v>
      </c>
      <c r="M279" s="20" t="s">
        <v>30</v>
      </c>
      <c r="N279" s="25"/>
      <c r="O279" s="25"/>
      <c r="P279" s="26" t="s">
        <v>1365</v>
      </c>
      <c r="Q279" s="27" t="s">
        <v>1366</v>
      </c>
      <c r="R279" s="30">
        <v>0.0</v>
      </c>
      <c r="S279" s="20"/>
      <c r="T279" s="22"/>
      <c r="U279" s="22"/>
      <c r="V279" s="26"/>
      <c r="W279" s="26"/>
      <c r="X279" s="30"/>
      <c r="Y279" s="6"/>
      <c r="Z279" s="6"/>
      <c r="AA279" s="6"/>
      <c r="AB279" s="6"/>
      <c r="AC279" s="6"/>
      <c r="AD279" s="6"/>
      <c r="AE279" s="6"/>
    </row>
    <row r="280">
      <c r="A280" s="7">
        <f t="shared" si="2"/>
        <v>279</v>
      </c>
      <c r="B280" s="31" t="s">
        <v>1353</v>
      </c>
      <c r="C280" s="31" t="s">
        <v>1367</v>
      </c>
      <c r="D280" s="110" t="s">
        <v>27</v>
      </c>
      <c r="E280" s="32">
        <v>46105.68958333333</v>
      </c>
      <c r="F280" s="6"/>
      <c r="G280" s="31" t="s">
        <v>431</v>
      </c>
      <c r="H280" s="31" t="s">
        <v>1355</v>
      </c>
      <c r="I280" s="31" t="s">
        <v>995</v>
      </c>
      <c r="J280" s="6"/>
      <c r="K280" s="31" t="s">
        <v>1359</v>
      </c>
      <c r="L280" s="31" t="s">
        <v>1368</v>
      </c>
      <c r="M280" s="31" t="s">
        <v>30</v>
      </c>
      <c r="N280" s="31" t="s">
        <v>1369</v>
      </c>
      <c r="O280" s="6"/>
      <c r="P280" s="34" t="s">
        <v>1370</v>
      </c>
      <c r="Q280" s="35"/>
      <c r="R280" s="36">
        <v>1.0</v>
      </c>
      <c r="S280" s="31"/>
      <c r="T280" s="32"/>
      <c r="U280" s="6"/>
      <c r="V280" s="34"/>
      <c r="W280" s="35"/>
      <c r="X280" s="36"/>
      <c r="Y280" s="6"/>
      <c r="Z280" s="6"/>
      <c r="AA280" s="6"/>
      <c r="AB280" s="6"/>
      <c r="AC280" s="6"/>
      <c r="AD280" s="6"/>
      <c r="AE280" s="6"/>
    </row>
    <row r="281">
      <c r="A281" s="19">
        <f t="shared" si="2"/>
        <v>280</v>
      </c>
      <c r="B281" s="20" t="s">
        <v>1371</v>
      </c>
      <c r="C281" s="20" t="s">
        <v>1372</v>
      </c>
      <c r="D281" s="108" t="s">
        <v>38</v>
      </c>
      <c r="E281" s="22">
        <v>46105.69027777778</v>
      </c>
      <c r="F281" s="22">
        <v>46111.67083333333</v>
      </c>
      <c r="G281" s="20" t="s">
        <v>1373</v>
      </c>
      <c r="H281" s="20" t="s">
        <v>1286</v>
      </c>
      <c r="I281" s="20" t="s">
        <v>1201</v>
      </c>
      <c r="J281" s="25"/>
      <c r="K281" s="20" t="s">
        <v>1374</v>
      </c>
      <c r="L281" s="20" t="s">
        <v>1375</v>
      </c>
      <c r="M281" s="20" t="s">
        <v>30</v>
      </c>
      <c r="N281" s="25"/>
      <c r="O281" s="25"/>
      <c r="P281" s="26" t="s">
        <v>1376</v>
      </c>
      <c r="Q281" s="27" t="s">
        <v>1377</v>
      </c>
      <c r="R281" s="30">
        <v>0.0</v>
      </c>
      <c r="S281" s="20"/>
      <c r="T281" s="22"/>
      <c r="U281" s="25"/>
      <c r="V281" s="26"/>
      <c r="W281" s="29"/>
      <c r="X281" s="30"/>
      <c r="Y281" s="25"/>
      <c r="Z281" s="6"/>
      <c r="AA281" s="6"/>
      <c r="AB281" s="6"/>
      <c r="AC281" s="6"/>
      <c r="AD281" s="6"/>
      <c r="AE281" s="6"/>
    </row>
    <row r="282">
      <c r="A282" s="7">
        <f t="shared" si="2"/>
        <v>281</v>
      </c>
      <c r="B282" s="31" t="s">
        <v>1378</v>
      </c>
      <c r="C282" s="31" t="s">
        <v>1379</v>
      </c>
      <c r="D282" s="110" t="s">
        <v>27</v>
      </c>
      <c r="E282" s="32">
        <v>46105.69027777778</v>
      </c>
      <c r="F282" s="6"/>
      <c r="G282" s="31" t="s">
        <v>431</v>
      </c>
      <c r="H282" s="31" t="s">
        <v>1380</v>
      </c>
      <c r="I282" s="31" t="s">
        <v>995</v>
      </c>
      <c r="J282" s="6"/>
      <c r="K282" s="31">
        <v>9.086530055E9</v>
      </c>
      <c r="L282" s="31" t="s">
        <v>1381</v>
      </c>
      <c r="M282" s="31" t="s">
        <v>30</v>
      </c>
      <c r="N282" s="6"/>
      <c r="O282" s="6"/>
      <c r="P282" s="34" t="s">
        <v>1382</v>
      </c>
      <c r="Q282" s="35"/>
      <c r="R282" s="36">
        <v>1.0</v>
      </c>
      <c r="S282" s="31"/>
      <c r="T282" s="32"/>
      <c r="U282" s="6"/>
      <c r="V282" s="34"/>
      <c r="W282" s="35"/>
      <c r="X282" s="36"/>
      <c r="Y282" s="6"/>
      <c r="Z282" s="6"/>
      <c r="AA282" s="6"/>
      <c r="AB282" s="6"/>
      <c r="AC282" s="6"/>
      <c r="AD282" s="6"/>
      <c r="AE282" s="6"/>
    </row>
    <row r="283">
      <c r="A283" s="38">
        <f t="shared" si="2"/>
        <v>282</v>
      </c>
      <c r="B283" s="39" t="s">
        <v>176</v>
      </c>
      <c r="C283" s="39" t="s">
        <v>177</v>
      </c>
      <c r="D283" s="111" t="s">
        <v>87</v>
      </c>
      <c r="E283" s="41">
        <v>46104.76527777778</v>
      </c>
      <c r="F283" s="43"/>
      <c r="G283" s="39" t="s">
        <v>993</v>
      </c>
      <c r="H283" s="39" t="s">
        <v>994</v>
      </c>
      <c r="I283" s="39" t="s">
        <v>995</v>
      </c>
      <c r="J283" s="43"/>
      <c r="K283" s="39">
        <v>9.04943553E9</v>
      </c>
      <c r="L283" s="39" t="s">
        <v>1383</v>
      </c>
      <c r="M283" s="39" t="s">
        <v>1351</v>
      </c>
      <c r="N283" s="43"/>
      <c r="O283" s="43"/>
      <c r="P283" s="44" t="s">
        <v>1384</v>
      </c>
      <c r="Q283" s="45"/>
      <c r="R283" s="46">
        <v>0.0</v>
      </c>
      <c r="S283" s="39"/>
      <c r="T283" s="41"/>
      <c r="U283" s="43"/>
      <c r="V283" s="44"/>
      <c r="W283" s="45"/>
      <c r="X283" s="46"/>
      <c r="Y283" s="6"/>
      <c r="Z283" s="6"/>
      <c r="AA283" s="6"/>
      <c r="AB283" s="6"/>
      <c r="AC283" s="6"/>
      <c r="AD283" s="6"/>
      <c r="AE283" s="6"/>
    </row>
    <row r="284">
      <c r="A284" s="19">
        <f t="shared" si="2"/>
        <v>283</v>
      </c>
      <c r="B284" s="20" t="s">
        <v>1385</v>
      </c>
      <c r="C284" s="20" t="s">
        <v>1386</v>
      </c>
      <c r="D284" s="108" t="s">
        <v>38</v>
      </c>
      <c r="E284" s="22">
        <v>46105.486805555556</v>
      </c>
      <c r="F284" s="22">
        <v>46105.538194444445</v>
      </c>
      <c r="G284" s="20" t="s">
        <v>1387</v>
      </c>
      <c r="H284" s="20" t="s">
        <v>1286</v>
      </c>
      <c r="I284" s="20" t="s">
        <v>995</v>
      </c>
      <c r="J284" s="25"/>
      <c r="K284" s="20">
        <v>8.094236856E9</v>
      </c>
      <c r="L284" s="20" t="s">
        <v>1388</v>
      </c>
      <c r="M284" s="20" t="s">
        <v>30</v>
      </c>
      <c r="N284" s="25"/>
      <c r="O284" s="25"/>
      <c r="P284" s="26" t="s">
        <v>1389</v>
      </c>
      <c r="Q284" s="27" t="s">
        <v>1390</v>
      </c>
      <c r="R284" s="30">
        <v>0.0</v>
      </c>
      <c r="S284" s="20"/>
      <c r="T284" s="22"/>
      <c r="U284" s="22"/>
      <c r="V284" s="26"/>
      <c r="W284" s="26"/>
      <c r="X284" s="30"/>
      <c r="Y284" s="6"/>
      <c r="Z284" s="6"/>
      <c r="AA284" s="6"/>
      <c r="AB284" s="6"/>
      <c r="AC284" s="6"/>
      <c r="AD284" s="6"/>
      <c r="AE284" s="6"/>
    </row>
    <row r="285">
      <c r="A285" s="7">
        <f t="shared" si="2"/>
        <v>284</v>
      </c>
      <c r="B285" s="31" t="s">
        <v>1391</v>
      </c>
      <c r="C285" s="31" t="s">
        <v>1392</v>
      </c>
      <c r="D285" s="110" t="s">
        <v>27</v>
      </c>
      <c r="E285" s="32">
        <v>46105.48819444444</v>
      </c>
      <c r="F285" s="6"/>
      <c r="G285" s="31" t="s">
        <v>431</v>
      </c>
      <c r="H285" s="31" t="s">
        <v>1393</v>
      </c>
      <c r="I285" s="31" t="s">
        <v>1201</v>
      </c>
      <c r="J285" s="6"/>
      <c r="K285" s="31" t="s">
        <v>1394</v>
      </c>
      <c r="L285" s="31" t="s">
        <v>1395</v>
      </c>
      <c r="M285" s="31" t="s">
        <v>30</v>
      </c>
      <c r="N285" s="6"/>
      <c r="O285" s="6"/>
      <c r="P285" s="34" t="s">
        <v>1396</v>
      </c>
      <c r="Q285" s="35"/>
      <c r="R285" s="36">
        <v>1.0</v>
      </c>
      <c r="S285" s="31"/>
      <c r="T285" s="32"/>
      <c r="U285" s="6"/>
      <c r="V285" s="34"/>
      <c r="W285" s="35"/>
      <c r="X285" s="36"/>
      <c r="Y285" s="6"/>
      <c r="Z285" s="6"/>
      <c r="AA285" s="6"/>
      <c r="AB285" s="6"/>
      <c r="AC285" s="6"/>
      <c r="AD285" s="6"/>
      <c r="AE285" s="6"/>
    </row>
    <row r="286">
      <c r="A286" s="7">
        <f t="shared" si="2"/>
        <v>285</v>
      </c>
      <c r="B286" s="31" t="s">
        <v>1397</v>
      </c>
      <c r="C286" s="31" t="s">
        <v>1398</v>
      </c>
      <c r="D286" s="110" t="s">
        <v>27</v>
      </c>
      <c r="E286" s="32">
        <v>46105.69861111111</v>
      </c>
      <c r="F286" s="6"/>
      <c r="G286" s="31" t="s">
        <v>297</v>
      </c>
      <c r="H286" s="31" t="s">
        <v>1399</v>
      </c>
      <c r="I286" s="31" t="s">
        <v>1201</v>
      </c>
      <c r="J286" s="6"/>
      <c r="K286" s="31">
        <v>8.04113019E9</v>
      </c>
      <c r="L286" s="31" t="s">
        <v>1400</v>
      </c>
      <c r="M286" s="31" t="s">
        <v>30</v>
      </c>
      <c r="N286" s="6"/>
      <c r="O286" s="6"/>
      <c r="P286" s="34" t="s">
        <v>1401</v>
      </c>
      <c r="Q286" s="35"/>
      <c r="R286" s="36">
        <v>1.0</v>
      </c>
      <c r="S286" s="31"/>
      <c r="T286" s="32"/>
      <c r="U286" s="6"/>
      <c r="V286" s="34"/>
      <c r="W286" s="35"/>
      <c r="X286" s="36"/>
      <c r="Y286" s="6"/>
      <c r="Z286" s="6"/>
      <c r="AA286" s="6"/>
      <c r="AB286" s="6"/>
      <c r="AC286" s="6"/>
      <c r="AD286" s="6"/>
      <c r="AE286" s="6"/>
    </row>
    <row r="287">
      <c r="A287" s="19">
        <f t="shared" si="2"/>
        <v>286</v>
      </c>
      <c r="B287" s="57" t="s">
        <v>1402</v>
      </c>
      <c r="C287" s="57" t="s">
        <v>1403</v>
      </c>
      <c r="D287" s="108" t="s">
        <v>38</v>
      </c>
      <c r="E287" s="22">
        <v>46106.55972222222</v>
      </c>
      <c r="F287" s="22">
        <v>46112.575</v>
      </c>
      <c r="G287" s="25"/>
      <c r="H287" s="57" t="s">
        <v>1404</v>
      </c>
      <c r="I287" s="25"/>
      <c r="J287" s="25"/>
      <c r="K287" s="25"/>
      <c r="L287" s="25"/>
      <c r="M287" s="25"/>
      <c r="N287" s="25"/>
      <c r="O287" s="25"/>
      <c r="P287" s="26" t="s">
        <v>1405</v>
      </c>
      <c r="Q287" s="27" t="s">
        <v>1406</v>
      </c>
      <c r="R287" s="25"/>
      <c r="S287" s="20"/>
      <c r="T287" s="22"/>
      <c r="U287" s="25"/>
      <c r="V287" s="26"/>
      <c r="W287" s="29"/>
      <c r="X287" s="25"/>
      <c r="Y287" s="25"/>
      <c r="Z287" s="6"/>
      <c r="AA287" s="6"/>
      <c r="AB287" s="6"/>
      <c r="AC287" s="6"/>
      <c r="AD287" s="6"/>
      <c r="AE287" s="6"/>
    </row>
    <row r="288">
      <c r="A288" s="19">
        <f t="shared" si="2"/>
        <v>287</v>
      </c>
      <c r="B288" s="20" t="s">
        <v>1407</v>
      </c>
      <c r="C288" s="20" t="s">
        <v>1408</v>
      </c>
      <c r="D288" s="108" t="s">
        <v>38</v>
      </c>
      <c r="E288" s="22">
        <v>46106.70625</v>
      </c>
      <c r="F288" s="22">
        <v>46113.313888888886</v>
      </c>
      <c r="G288" s="20" t="s">
        <v>1409</v>
      </c>
      <c r="H288" s="20" t="s">
        <v>1410</v>
      </c>
      <c r="I288" s="20" t="s">
        <v>995</v>
      </c>
      <c r="J288" s="25"/>
      <c r="K288" s="20">
        <v>9.03335757E9</v>
      </c>
      <c r="L288" s="20" t="s">
        <v>1411</v>
      </c>
      <c r="M288" s="20" t="s">
        <v>30</v>
      </c>
      <c r="N288" s="25"/>
      <c r="O288" s="25"/>
      <c r="P288" s="26" t="s">
        <v>1412</v>
      </c>
      <c r="Q288" s="27" t="s">
        <v>1413</v>
      </c>
      <c r="R288" s="30">
        <v>0.0</v>
      </c>
      <c r="S288" s="20"/>
      <c r="T288" s="22"/>
      <c r="U288" s="25"/>
      <c r="V288" s="26"/>
      <c r="W288" s="29"/>
      <c r="X288" s="30"/>
      <c r="Y288" s="25"/>
      <c r="Z288" s="6"/>
      <c r="AA288" s="6"/>
      <c r="AB288" s="6"/>
      <c r="AC288" s="6"/>
      <c r="AD288" s="6"/>
      <c r="AE288" s="6"/>
    </row>
    <row r="289">
      <c r="A289" s="19">
        <f t="shared" si="2"/>
        <v>288</v>
      </c>
      <c r="B289" s="20" t="s">
        <v>1414</v>
      </c>
      <c r="C289" s="20" t="s">
        <v>1415</v>
      </c>
      <c r="D289" s="108" t="s">
        <v>38</v>
      </c>
      <c r="E289" s="22">
        <v>46107.663194444445</v>
      </c>
      <c r="F289" s="22">
        <v>46108.53611111111</v>
      </c>
      <c r="G289" s="20" t="s">
        <v>431</v>
      </c>
      <c r="H289" s="20" t="s">
        <v>1416</v>
      </c>
      <c r="I289" s="20" t="s">
        <v>995</v>
      </c>
      <c r="J289" s="25"/>
      <c r="K289" s="20">
        <v>8.034708922E9</v>
      </c>
      <c r="L289" s="20" t="s">
        <v>1417</v>
      </c>
      <c r="M289" s="20" t="s">
        <v>30</v>
      </c>
      <c r="N289" s="25"/>
      <c r="O289" s="25"/>
      <c r="P289" s="26" t="s">
        <v>1418</v>
      </c>
      <c r="Q289" s="27" t="s">
        <v>1419</v>
      </c>
      <c r="R289" s="30">
        <v>0.0</v>
      </c>
      <c r="S289" s="25"/>
      <c r="T289" s="25"/>
      <c r="U289" s="25"/>
      <c r="V289" s="25"/>
      <c r="W289" s="25"/>
      <c r="X289" s="25"/>
      <c r="Y289" s="25"/>
      <c r="Z289" s="6"/>
      <c r="AA289" s="6"/>
      <c r="AB289" s="6"/>
      <c r="AC289" s="6"/>
      <c r="AD289" s="6"/>
      <c r="AE289" s="6"/>
    </row>
    <row r="290">
      <c r="A290" s="7">
        <f t="shared" si="2"/>
        <v>289</v>
      </c>
      <c r="B290" s="31" t="s">
        <v>1420</v>
      </c>
      <c r="C290" s="31" t="s">
        <v>1421</v>
      </c>
      <c r="D290" s="110" t="s">
        <v>27</v>
      </c>
      <c r="E290" s="32">
        <v>46107.66736111111</v>
      </c>
      <c r="F290" s="6"/>
      <c r="G290" s="31" t="s">
        <v>1422</v>
      </c>
      <c r="H290" s="31" t="s">
        <v>1423</v>
      </c>
      <c r="I290" s="31" t="s">
        <v>995</v>
      </c>
      <c r="J290" s="6"/>
      <c r="K290" s="31">
        <v>7.031043883E9</v>
      </c>
      <c r="L290" s="31" t="s">
        <v>1424</v>
      </c>
      <c r="M290" s="31" t="s">
        <v>30</v>
      </c>
      <c r="N290" s="6"/>
      <c r="O290" s="6"/>
      <c r="P290" s="34" t="s">
        <v>1425</v>
      </c>
      <c r="Q290" s="35"/>
      <c r="R290" s="36">
        <v>0.0</v>
      </c>
      <c r="S290" s="6"/>
      <c r="T290" s="6"/>
      <c r="U290" s="6"/>
      <c r="V290" s="6"/>
      <c r="W290" s="6"/>
      <c r="X290" s="6"/>
      <c r="Y290" s="6"/>
      <c r="Z290" s="6"/>
      <c r="AA290" s="6"/>
      <c r="AB290" s="6"/>
      <c r="AC290" s="6"/>
      <c r="AD290" s="6"/>
      <c r="AE290" s="6"/>
    </row>
    <row r="291">
      <c r="A291" s="7">
        <f t="shared" si="2"/>
        <v>290</v>
      </c>
      <c r="B291" s="31" t="s">
        <v>1426</v>
      </c>
      <c r="C291" s="31" t="s">
        <v>1427</v>
      </c>
      <c r="D291" s="110" t="s">
        <v>27</v>
      </c>
      <c r="E291" s="32">
        <v>46107.66875</v>
      </c>
      <c r="F291" s="6"/>
      <c r="G291" s="31" t="s">
        <v>431</v>
      </c>
      <c r="H291" s="31" t="s">
        <v>1423</v>
      </c>
      <c r="I291" s="31" t="s">
        <v>995</v>
      </c>
      <c r="J291" s="6"/>
      <c r="K291" s="31">
        <v>8.071043183E9</v>
      </c>
      <c r="L291" s="31" t="s">
        <v>1424</v>
      </c>
      <c r="M291" s="31" t="s">
        <v>30</v>
      </c>
      <c r="N291" s="6"/>
      <c r="O291" s="6"/>
      <c r="P291" s="34" t="s">
        <v>1428</v>
      </c>
      <c r="Q291" s="35"/>
      <c r="R291" s="36">
        <v>0.0</v>
      </c>
      <c r="S291" s="6"/>
      <c r="T291" s="6"/>
      <c r="U291" s="6"/>
      <c r="V291" s="6"/>
      <c r="W291" s="6"/>
      <c r="X291" s="6"/>
      <c r="Y291" s="6"/>
      <c r="Z291" s="6"/>
      <c r="AA291" s="6"/>
      <c r="AB291" s="6"/>
      <c r="AC291" s="6"/>
      <c r="AD291" s="6"/>
      <c r="AE291" s="6"/>
    </row>
    <row r="292">
      <c r="A292" s="19">
        <f t="shared" si="2"/>
        <v>291</v>
      </c>
      <c r="B292" s="20" t="s">
        <v>1429</v>
      </c>
      <c r="C292" s="20" t="s">
        <v>1430</v>
      </c>
      <c r="D292" s="108" t="s">
        <v>38</v>
      </c>
      <c r="E292" s="22">
        <v>46107.67291666667</v>
      </c>
      <c r="F292" s="22">
        <v>46107.73819444444</v>
      </c>
      <c r="G292" s="20" t="s">
        <v>431</v>
      </c>
      <c r="H292" s="20" t="s">
        <v>1431</v>
      </c>
      <c r="I292" s="20" t="s">
        <v>995</v>
      </c>
      <c r="J292" s="20" t="s">
        <v>1432</v>
      </c>
      <c r="K292" s="20" t="s">
        <v>1433</v>
      </c>
      <c r="L292" s="20" t="s">
        <v>1434</v>
      </c>
      <c r="M292" s="20" t="s">
        <v>230</v>
      </c>
      <c r="N292" s="25"/>
      <c r="O292" s="25"/>
      <c r="P292" s="26" t="s">
        <v>1435</v>
      </c>
      <c r="Q292" s="27" t="s">
        <v>1436</v>
      </c>
      <c r="R292" s="30">
        <v>0.0</v>
      </c>
      <c r="S292" s="25"/>
      <c r="T292" s="25"/>
      <c r="U292" s="25"/>
      <c r="V292" s="25"/>
      <c r="W292" s="25"/>
      <c r="X292" s="25"/>
      <c r="Y292" s="25"/>
      <c r="Z292" s="6"/>
      <c r="AA292" s="6"/>
      <c r="AB292" s="6"/>
      <c r="AC292" s="6"/>
      <c r="AD292" s="6"/>
      <c r="AE292" s="6"/>
    </row>
    <row r="293">
      <c r="A293" s="19">
        <f t="shared" si="2"/>
        <v>292</v>
      </c>
      <c r="B293" s="20" t="s">
        <v>1437</v>
      </c>
      <c r="C293" s="20" t="s">
        <v>1438</v>
      </c>
      <c r="D293" s="108" t="s">
        <v>38</v>
      </c>
      <c r="E293" s="22">
        <v>46107.67361111111</v>
      </c>
      <c r="F293" s="22">
        <v>46107.69236111111</v>
      </c>
      <c r="G293" s="20" t="s">
        <v>214</v>
      </c>
      <c r="H293" s="20" t="s">
        <v>1439</v>
      </c>
      <c r="I293" s="20" t="s">
        <v>995</v>
      </c>
      <c r="J293" s="25"/>
      <c r="K293" s="20">
        <v>9.020803692E9</v>
      </c>
      <c r="L293" s="20" t="s">
        <v>1440</v>
      </c>
      <c r="M293" s="20" t="s">
        <v>30</v>
      </c>
      <c r="N293" s="25"/>
      <c r="O293" s="25"/>
      <c r="P293" s="26" t="s">
        <v>1441</v>
      </c>
      <c r="Q293" s="27" t="s">
        <v>1442</v>
      </c>
      <c r="R293" s="30">
        <v>0.0</v>
      </c>
      <c r="S293" s="25"/>
      <c r="T293" s="25"/>
      <c r="U293" s="25"/>
      <c r="V293" s="25"/>
      <c r="W293" s="25"/>
      <c r="X293" s="25"/>
      <c r="Y293" s="25"/>
      <c r="Z293" s="6"/>
      <c r="AA293" s="6"/>
      <c r="AB293" s="6"/>
      <c r="AC293" s="6"/>
      <c r="AD293" s="6"/>
      <c r="AE293" s="6"/>
    </row>
    <row r="294">
      <c r="A294" s="7">
        <f t="shared" si="2"/>
        <v>293</v>
      </c>
      <c r="B294" s="31" t="s">
        <v>1443</v>
      </c>
      <c r="C294" s="31" t="s">
        <v>1444</v>
      </c>
      <c r="D294" s="110" t="s">
        <v>85</v>
      </c>
      <c r="E294" s="32">
        <v>46107.72083333333</v>
      </c>
      <c r="F294" s="6"/>
      <c r="G294" s="31" t="s">
        <v>431</v>
      </c>
      <c r="H294" s="31" t="s">
        <v>1445</v>
      </c>
      <c r="I294" s="31" t="s">
        <v>1201</v>
      </c>
      <c r="J294" s="31" t="s">
        <v>1446</v>
      </c>
      <c r="K294" s="31">
        <v>9.040989041E9</v>
      </c>
      <c r="L294" s="31" t="s">
        <v>1447</v>
      </c>
      <c r="M294" s="31" t="s">
        <v>1448</v>
      </c>
      <c r="N294" s="6"/>
      <c r="O294" s="6"/>
      <c r="P294" s="34" t="s">
        <v>1449</v>
      </c>
      <c r="Q294" s="35"/>
      <c r="R294" s="36">
        <v>0.0</v>
      </c>
      <c r="S294" s="6"/>
      <c r="T294" s="6"/>
      <c r="U294" s="6"/>
      <c r="V294" s="6"/>
      <c r="W294" s="6"/>
      <c r="X294" s="6"/>
      <c r="Y294" s="6"/>
      <c r="Z294" s="6"/>
      <c r="AA294" s="6"/>
      <c r="AB294" s="6"/>
      <c r="AC294" s="6"/>
      <c r="AD294" s="6"/>
      <c r="AE294" s="6"/>
    </row>
    <row r="295">
      <c r="A295" s="19">
        <f t="shared" si="2"/>
        <v>294</v>
      </c>
      <c r="B295" s="20" t="s">
        <v>1450</v>
      </c>
      <c r="C295" s="20" t="s">
        <v>1451</v>
      </c>
      <c r="D295" s="108" t="s">
        <v>38</v>
      </c>
      <c r="E295" s="22">
        <v>46107.80069444444</v>
      </c>
      <c r="F295" s="22">
        <v>46108.864583333336</v>
      </c>
      <c r="G295" s="20" t="s">
        <v>431</v>
      </c>
      <c r="H295" s="20" t="s">
        <v>1452</v>
      </c>
      <c r="I295" s="20" t="s">
        <v>995</v>
      </c>
      <c r="J295" s="20" t="s">
        <v>1450</v>
      </c>
      <c r="K295" s="20">
        <v>9.046736675E9</v>
      </c>
      <c r="L295" s="20" t="s">
        <v>1453</v>
      </c>
      <c r="M295" s="20" t="s">
        <v>1454</v>
      </c>
      <c r="N295" s="25"/>
      <c r="O295" s="25"/>
      <c r="P295" s="26" t="s">
        <v>1455</v>
      </c>
      <c r="Q295" s="27" t="s">
        <v>1456</v>
      </c>
      <c r="R295" s="30">
        <v>0.0</v>
      </c>
      <c r="S295" s="25"/>
      <c r="T295" s="25"/>
      <c r="U295" s="25"/>
      <c r="V295" s="25"/>
      <c r="W295" s="25"/>
      <c r="X295" s="25"/>
      <c r="Y295" s="25"/>
      <c r="Z295" s="6"/>
      <c r="AA295" s="6"/>
      <c r="AB295" s="6"/>
      <c r="AC295" s="6"/>
      <c r="AD295" s="6"/>
      <c r="AE295" s="6"/>
    </row>
    <row r="296">
      <c r="A296" s="19">
        <f t="shared" si="2"/>
        <v>295</v>
      </c>
      <c r="B296" s="20" t="s">
        <v>1457</v>
      </c>
      <c r="C296" s="20" t="s">
        <v>1458</v>
      </c>
      <c r="D296" s="108" t="s">
        <v>38</v>
      </c>
      <c r="E296" s="22">
        <v>46107.802083333336</v>
      </c>
      <c r="F296" s="22">
        <v>46114.683333333334</v>
      </c>
      <c r="G296" s="20" t="s">
        <v>1459</v>
      </c>
      <c r="H296" s="20" t="s">
        <v>1460</v>
      </c>
      <c r="I296" s="20" t="s">
        <v>1201</v>
      </c>
      <c r="J296" s="25"/>
      <c r="K296" s="20">
        <v>9.95626221E8</v>
      </c>
      <c r="L296" s="20" t="s">
        <v>1461</v>
      </c>
      <c r="M296" s="20" t="s">
        <v>30</v>
      </c>
      <c r="N296" s="25"/>
      <c r="O296" s="25"/>
      <c r="P296" s="26" t="s">
        <v>1462</v>
      </c>
      <c r="Q296" s="27" t="s">
        <v>1463</v>
      </c>
      <c r="R296" s="30">
        <v>0.0</v>
      </c>
      <c r="S296" s="25"/>
      <c r="T296" s="25"/>
      <c r="U296" s="25"/>
      <c r="V296" s="25"/>
      <c r="W296" s="25"/>
      <c r="X296" s="25"/>
      <c r="Y296" s="25"/>
      <c r="Z296" s="6"/>
      <c r="AA296" s="6"/>
      <c r="AB296" s="6"/>
      <c r="AC296" s="6"/>
      <c r="AD296" s="6"/>
      <c r="AE296" s="6"/>
    </row>
    <row r="297">
      <c r="A297" s="19">
        <f t="shared" si="2"/>
        <v>296</v>
      </c>
      <c r="B297" s="20" t="s">
        <v>1464</v>
      </c>
      <c r="C297" s="20" t="s">
        <v>1465</v>
      </c>
      <c r="D297" s="108" t="s">
        <v>38</v>
      </c>
      <c r="E297" s="22">
        <v>46108.501388888886</v>
      </c>
      <c r="F297" s="22">
        <v>46108.55</v>
      </c>
      <c r="G297" s="20" t="s">
        <v>1466</v>
      </c>
      <c r="H297" s="20" t="s">
        <v>1416</v>
      </c>
      <c r="I297" s="20" t="s">
        <v>995</v>
      </c>
      <c r="J297" s="25"/>
      <c r="K297" s="20">
        <v>9.062947009E9</v>
      </c>
      <c r="L297" s="20" t="s">
        <v>1467</v>
      </c>
      <c r="M297" s="20" t="s">
        <v>30</v>
      </c>
      <c r="N297" s="25"/>
      <c r="O297" s="25"/>
      <c r="P297" s="26" t="s">
        <v>1468</v>
      </c>
      <c r="Q297" s="27" t="s">
        <v>1469</v>
      </c>
      <c r="R297" s="30">
        <v>0.0</v>
      </c>
      <c r="S297" s="25"/>
      <c r="T297" s="25"/>
      <c r="U297" s="25"/>
      <c r="V297" s="25"/>
      <c r="W297" s="25"/>
      <c r="X297" s="25"/>
      <c r="Y297" s="25"/>
      <c r="Z297" s="6"/>
      <c r="AA297" s="6"/>
      <c r="AB297" s="6"/>
      <c r="AC297" s="6"/>
      <c r="AD297" s="6"/>
      <c r="AE297" s="6"/>
    </row>
    <row r="298">
      <c r="A298" s="7">
        <f t="shared" si="2"/>
        <v>297</v>
      </c>
      <c r="B298" s="31" t="s">
        <v>1470</v>
      </c>
      <c r="C298" s="31" t="s">
        <v>1471</v>
      </c>
      <c r="D298" s="110" t="s">
        <v>27</v>
      </c>
      <c r="E298" s="32">
        <v>46108.509722222225</v>
      </c>
      <c r="F298" s="6"/>
      <c r="G298" s="31" t="s">
        <v>1472</v>
      </c>
      <c r="H298" s="31" t="s">
        <v>1473</v>
      </c>
      <c r="I298" s="31" t="s">
        <v>1201</v>
      </c>
      <c r="J298" s="6"/>
      <c r="K298" s="31">
        <v>8.052721579E9</v>
      </c>
      <c r="L298" s="31" t="s">
        <v>1474</v>
      </c>
      <c r="M298" s="31" t="s">
        <v>30</v>
      </c>
      <c r="N298" s="6"/>
      <c r="O298" s="6"/>
      <c r="P298" s="34" t="s">
        <v>1475</v>
      </c>
      <c r="Q298" s="35"/>
      <c r="R298" s="36">
        <v>0.0</v>
      </c>
      <c r="S298" s="6"/>
      <c r="T298" s="6"/>
      <c r="U298" s="6"/>
      <c r="V298" s="6"/>
      <c r="W298" s="6"/>
      <c r="X298" s="6"/>
      <c r="Y298" s="6"/>
      <c r="Z298" s="6"/>
      <c r="AA298" s="6"/>
      <c r="AB298" s="6"/>
      <c r="AC298" s="6"/>
      <c r="AD298" s="6"/>
      <c r="AE298" s="6"/>
    </row>
    <row r="299">
      <c r="A299" s="19">
        <f t="shared" si="2"/>
        <v>298</v>
      </c>
      <c r="B299" s="20" t="s">
        <v>1446</v>
      </c>
      <c r="C299" s="20" t="s">
        <v>1444</v>
      </c>
      <c r="D299" s="108" t="s">
        <v>38</v>
      </c>
      <c r="E299" s="22">
        <v>46108.67361111111</v>
      </c>
      <c r="F299" s="22">
        <v>46108.67638888889</v>
      </c>
      <c r="G299" s="20" t="s">
        <v>431</v>
      </c>
      <c r="H299" s="20" t="s">
        <v>1445</v>
      </c>
      <c r="I299" s="20" t="s">
        <v>1201</v>
      </c>
      <c r="J299" s="20" t="s">
        <v>1476</v>
      </c>
      <c r="K299" s="20">
        <v>9.040989041E9</v>
      </c>
      <c r="L299" s="20" t="s">
        <v>1447</v>
      </c>
      <c r="M299" s="20" t="s">
        <v>1448</v>
      </c>
      <c r="N299" s="25"/>
      <c r="O299" s="25"/>
      <c r="P299" s="26" t="s">
        <v>1477</v>
      </c>
      <c r="Q299" s="27" t="s">
        <v>1478</v>
      </c>
      <c r="R299" s="30">
        <v>0.0</v>
      </c>
      <c r="S299" s="25"/>
      <c r="T299" s="25"/>
      <c r="U299" s="25"/>
      <c r="V299" s="25"/>
      <c r="W299" s="25"/>
      <c r="X299" s="25"/>
      <c r="Y299" s="25"/>
      <c r="Z299" s="6"/>
      <c r="AA299" s="6"/>
      <c r="AB299" s="6"/>
      <c r="AC299" s="6"/>
      <c r="AD299" s="6"/>
      <c r="AE299" s="6"/>
    </row>
    <row r="300">
      <c r="A300" s="7">
        <f t="shared" si="2"/>
        <v>299</v>
      </c>
      <c r="B300" s="31" t="s">
        <v>1479</v>
      </c>
      <c r="C300" s="31" t="s">
        <v>1480</v>
      </c>
      <c r="D300" s="110" t="s">
        <v>85</v>
      </c>
      <c r="E300" s="32">
        <v>46108.705555555556</v>
      </c>
      <c r="F300" s="6"/>
      <c r="G300" s="31" t="s">
        <v>431</v>
      </c>
      <c r="H300" s="31" t="s">
        <v>1481</v>
      </c>
      <c r="I300" s="31" t="s">
        <v>995</v>
      </c>
      <c r="J300" s="6"/>
      <c r="K300" s="31">
        <v>9.087044211E9</v>
      </c>
      <c r="L300" s="31" t="s">
        <v>1482</v>
      </c>
      <c r="M300" s="31" t="s">
        <v>30</v>
      </c>
      <c r="N300" s="6"/>
      <c r="O300" s="6"/>
      <c r="P300" s="34" t="s">
        <v>1483</v>
      </c>
      <c r="Q300" s="35"/>
      <c r="R300" s="36">
        <v>0.0</v>
      </c>
      <c r="S300" s="6"/>
      <c r="T300" s="6"/>
      <c r="U300" s="6"/>
      <c r="V300" s="6"/>
      <c r="W300" s="6"/>
      <c r="X300" s="6"/>
      <c r="Y300" s="6"/>
      <c r="Z300" s="6"/>
      <c r="AA300" s="6"/>
      <c r="AB300" s="6"/>
      <c r="AC300" s="6"/>
      <c r="AD300" s="6"/>
      <c r="AE300" s="6"/>
    </row>
    <row r="301">
      <c r="A301" s="7">
        <f t="shared" si="2"/>
        <v>300</v>
      </c>
      <c r="B301" s="31" t="s">
        <v>1479</v>
      </c>
      <c r="C301" s="31" t="s">
        <v>1480</v>
      </c>
      <c r="D301" s="110" t="s">
        <v>85</v>
      </c>
      <c r="E301" s="32">
        <v>46108.705555555556</v>
      </c>
      <c r="F301" s="6"/>
      <c r="G301" s="31" t="s">
        <v>297</v>
      </c>
      <c r="H301" s="31" t="s">
        <v>1484</v>
      </c>
      <c r="I301" s="31" t="s">
        <v>995</v>
      </c>
      <c r="J301" s="6"/>
      <c r="K301" s="31">
        <v>9.087044211E9</v>
      </c>
      <c r="L301" s="31" t="s">
        <v>1485</v>
      </c>
      <c r="M301" s="31" t="s">
        <v>30</v>
      </c>
      <c r="N301" s="6"/>
      <c r="O301" s="6"/>
      <c r="P301" s="34" t="s">
        <v>1486</v>
      </c>
      <c r="Q301" s="35"/>
      <c r="R301" s="36">
        <v>0.0</v>
      </c>
      <c r="S301" s="6"/>
      <c r="T301" s="6"/>
      <c r="U301" s="6"/>
      <c r="V301" s="6"/>
      <c r="W301" s="6"/>
      <c r="X301" s="6"/>
      <c r="Y301" s="6"/>
      <c r="Z301" s="6"/>
      <c r="AA301" s="6"/>
      <c r="AB301" s="6"/>
      <c r="AC301" s="6"/>
      <c r="AD301" s="6"/>
      <c r="AE301" s="6"/>
    </row>
    <row r="302">
      <c r="A302" s="7">
        <f t="shared" si="2"/>
        <v>301</v>
      </c>
      <c r="B302" s="31" t="s">
        <v>1479</v>
      </c>
      <c r="C302" s="31" t="s">
        <v>1480</v>
      </c>
      <c r="D302" s="110" t="s">
        <v>27</v>
      </c>
      <c r="E302" s="32">
        <v>46108.70694444444</v>
      </c>
      <c r="F302" s="6"/>
      <c r="G302" s="31" t="s">
        <v>1487</v>
      </c>
      <c r="H302" s="31" t="s">
        <v>1488</v>
      </c>
      <c r="I302" s="31" t="s">
        <v>995</v>
      </c>
      <c r="J302" s="6"/>
      <c r="K302" s="31">
        <v>9.087044211E9</v>
      </c>
      <c r="L302" s="31" t="s">
        <v>1489</v>
      </c>
      <c r="M302" s="31" t="s">
        <v>30</v>
      </c>
      <c r="N302" s="6"/>
      <c r="O302" s="6"/>
      <c r="P302" s="34" t="s">
        <v>1490</v>
      </c>
      <c r="Q302" s="35"/>
      <c r="R302" s="36">
        <v>0.0</v>
      </c>
      <c r="S302" s="6"/>
      <c r="T302" s="6"/>
      <c r="U302" s="6"/>
      <c r="V302" s="6"/>
      <c r="W302" s="6"/>
      <c r="X302" s="6"/>
      <c r="Y302" s="6"/>
      <c r="Z302" s="6"/>
      <c r="AA302" s="6"/>
      <c r="AB302" s="6"/>
      <c r="AC302" s="6"/>
      <c r="AD302" s="6"/>
      <c r="AE302" s="6"/>
    </row>
    <row r="303">
      <c r="A303" s="7">
        <f t="shared" si="2"/>
        <v>302</v>
      </c>
      <c r="B303" s="31" t="s">
        <v>1479</v>
      </c>
      <c r="C303" s="31" t="s">
        <v>1480</v>
      </c>
      <c r="D303" s="110" t="s">
        <v>27</v>
      </c>
      <c r="E303" s="32">
        <v>46108.74791666667</v>
      </c>
      <c r="F303" s="6"/>
      <c r="G303" s="31" t="s">
        <v>431</v>
      </c>
      <c r="H303" s="31" t="s">
        <v>1491</v>
      </c>
      <c r="I303" s="31" t="s">
        <v>995</v>
      </c>
      <c r="J303" s="6"/>
      <c r="K303" s="31">
        <v>9.087044211E9</v>
      </c>
      <c r="L303" s="31" t="s">
        <v>1482</v>
      </c>
      <c r="M303" s="31" t="s">
        <v>30</v>
      </c>
      <c r="N303" s="6"/>
      <c r="O303" s="6"/>
      <c r="P303" s="34" t="s">
        <v>1492</v>
      </c>
      <c r="Q303" s="35"/>
      <c r="R303" s="36">
        <v>0.0</v>
      </c>
      <c r="S303" s="6"/>
      <c r="T303" s="6"/>
      <c r="U303" s="6"/>
      <c r="V303" s="6"/>
      <c r="W303" s="6"/>
      <c r="X303" s="6"/>
      <c r="Y303" s="6"/>
      <c r="Z303" s="6"/>
      <c r="AA303" s="6"/>
      <c r="AB303" s="6"/>
      <c r="AC303" s="6"/>
      <c r="AD303" s="6"/>
      <c r="AE303" s="6"/>
    </row>
    <row r="304">
      <c r="A304" s="19">
        <f t="shared" si="2"/>
        <v>303</v>
      </c>
      <c r="B304" s="20" t="s">
        <v>1479</v>
      </c>
      <c r="C304" s="20" t="s">
        <v>1480</v>
      </c>
      <c r="D304" s="108" t="s">
        <v>38</v>
      </c>
      <c r="E304" s="22">
        <v>46108.748611111114</v>
      </c>
      <c r="F304" s="22">
        <v>46113.35902777778</v>
      </c>
      <c r="G304" s="20" t="s">
        <v>297</v>
      </c>
      <c r="H304" s="20" t="s">
        <v>1493</v>
      </c>
      <c r="I304" s="20" t="s">
        <v>995</v>
      </c>
      <c r="J304" s="25"/>
      <c r="K304" s="20">
        <v>9.087044211E9</v>
      </c>
      <c r="L304" s="20" t="s">
        <v>1485</v>
      </c>
      <c r="M304" s="20" t="s">
        <v>30</v>
      </c>
      <c r="N304" s="25"/>
      <c r="O304" s="25"/>
      <c r="P304" s="26" t="s">
        <v>1494</v>
      </c>
      <c r="Q304" s="27" t="s">
        <v>1495</v>
      </c>
      <c r="R304" s="30">
        <v>0.0</v>
      </c>
      <c r="S304" s="25"/>
      <c r="T304" s="25"/>
      <c r="U304" s="25"/>
      <c r="V304" s="25"/>
      <c r="W304" s="25"/>
      <c r="X304" s="25"/>
      <c r="Y304" s="25"/>
      <c r="Z304" s="6"/>
      <c r="AA304" s="6"/>
      <c r="AB304" s="6"/>
      <c r="AC304" s="6"/>
      <c r="AD304" s="6"/>
      <c r="AE304" s="6"/>
    </row>
    <row r="305">
      <c r="A305" s="19">
        <f t="shared" si="2"/>
        <v>304</v>
      </c>
      <c r="B305" s="20" t="s">
        <v>1496</v>
      </c>
      <c r="C305" s="20" t="s">
        <v>1497</v>
      </c>
      <c r="D305" s="108" t="s">
        <v>38</v>
      </c>
      <c r="E305" s="22">
        <v>46108.80486111111</v>
      </c>
      <c r="F305" s="22">
        <v>46108.80625</v>
      </c>
      <c r="G305" s="20" t="s">
        <v>431</v>
      </c>
      <c r="H305" s="20" t="s">
        <v>1498</v>
      </c>
      <c r="I305" s="20" t="s">
        <v>995</v>
      </c>
      <c r="J305" s="25"/>
      <c r="K305" s="20">
        <v>8.03097216E9</v>
      </c>
      <c r="L305" s="20" t="s">
        <v>1499</v>
      </c>
      <c r="M305" s="20" t="s">
        <v>30</v>
      </c>
      <c r="N305" s="25"/>
      <c r="O305" s="25"/>
      <c r="P305" s="26" t="s">
        <v>1500</v>
      </c>
      <c r="Q305" s="27" t="s">
        <v>1501</v>
      </c>
      <c r="R305" s="30">
        <v>0.0</v>
      </c>
      <c r="S305" s="25"/>
      <c r="T305" s="25"/>
      <c r="U305" s="25"/>
      <c r="V305" s="25"/>
      <c r="W305" s="25"/>
      <c r="X305" s="25"/>
      <c r="Y305" s="25"/>
      <c r="Z305" s="6"/>
      <c r="AA305" s="6"/>
      <c r="AB305" s="6"/>
      <c r="AC305" s="6"/>
      <c r="AD305" s="6"/>
      <c r="AE305" s="6"/>
    </row>
    <row r="306">
      <c r="A306" s="7">
        <f t="shared" si="2"/>
        <v>305</v>
      </c>
      <c r="B306" s="31" t="s">
        <v>1502</v>
      </c>
      <c r="C306" s="31" t="s">
        <v>1503</v>
      </c>
      <c r="D306" s="110" t="s">
        <v>27</v>
      </c>
      <c r="E306" s="32">
        <v>46110.52777777778</v>
      </c>
      <c r="F306" s="6"/>
      <c r="G306" s="31" t="s">
        <v>431</v>
      </c>
      <c r="H306" s="31" t="s">
        <v>1504</v>
      </c>
      <c r="I306" s="31" t="s">
        <v>995</v>
      </c>
      <c r="J306" s="6"/>
      <c r="K306" s="31">
        <v>3.3526313E7</v>
      </c>
      <c r="L306" s="31" t="s">
        <v>1505</v>
      </c>
      <c r="M306" s="31" t="s">
        <v>1506</v>
      </c>
      <c r="N306" s="6"/>
      <c r="O306" s="6"/>
      <c r="P306" s="34" t="s">
        <v>1507</v>
      </c>
      <c r="Q306" s="35"/>
      <c r="R306" s="36">
        <v>0.0</v>
      </c>
      <c r="S306" s="6"/>
      <c r="T306" s="6"/>
      <c r="U306" s="6"/>
      <c r="V306" s="6"/>
      <c r="W306" s="6"/>
      <c r="X306" s="6"/>
      <c r="Y306" s="6"/>
      <c r="Z306" s="6"/>
      <c r="AA306" s="6"/>
      <c r="AB306" s="6"/>
      <c r="AC306" s="6"/>
      <c r="AD306" s="6"/>
      <c r="AE306" s="6"/>
    </row>
    <row r="307">
      <c r="A307" s="7">
        <f t="shared" si="2"/>
        <v>306</v>
      </c>
      <c r="B307" s="31" t="s">
        <v>1508</v>
      </c>
      <c r="C307" s="31" t="s">
        <v>1509</v>
      </c>
      <c r="D307" s="110" t="s">
        <v>27</v>
      </c>
      <c r="E307" s="32">
        <v>46110.625</v>
      </c>
      <c r="F307" s="6"/>
      <c r="G307" s="31" t="s">
        <v>1510</v>
      </c>
      <c r="H307" s="31" t="s">
        <v>1511</v>
      </c>
      <c r="I307" s="31" t="s">
        <v>995</v>
      </c>
      <c r="J307" s="31" t="s">
        <v>1508</v>
      </c>
      <c r="K307" s="31">
        <v>8.056282111E9</v>
      </c>
      <c r="L307" s="31" t="s">
        <v>1512</v>
      </c>
      <c r="M307" s="31" t="s">
        <v>230</v>
      </c>
      <c r="N307" s="6"/>
      <c r="O307" s="6"/>
      <c r="P307" s="34" t="s">
        <v>1513</v>
      </c>
      <c r="Q307" s="35"/>
      <c r="R307" s="36">
        <v>0.0</v>
      </c>
      <c r="S307" s="6"/>
      <c r="T307" s="6"/>
      <c r="U307" s="6"/>
      <c r="V307" s="6"/>
      <c r="W307" s="6"/>
      <c r="X307" s="6"/>
      <c r="Y307" s="6"/>
      <c r="Z307" s="6"/>
      <c r="AA307" s="6"/>
      <c r="AB307" s="6"/>
      <c r="AC307" s="6"/>
      <c r="AD307" s="6"/>
      <c r="AE307" s="6"/>
    </row>
    <row r="308">
      <c r="A308" s="19">
        <f t="shared" si="2"/>
        <v>307</v>
      </c>
      <c r="B308" s="20" t="s">
        <v>1514</v>
      </c>
      <c r="C308" s="20" t="s">
        <v>1515</v>
      </c>
      <c r="D308" s="108" t="s">
        <v>38</v>
      </c>
      <c r="E308" s="22">
        <v>46111.38402777778</v>
      </c>
      <c r="F308" s="22">
        <v>46112.59930555556</v>
      </c>
      <c r="G308" s="20" t="s">
        <v>1516</v>
      </c>
      <c r="H308" s="20" t="s">
        <v>1176</v>
      </c>
      <c r="I308" s="20" t="s">
        <v>995</v>
      </c>
      <c r="J308" s="25"/>
      <c r="K308" s="20">
        <v>9.050832963E9</v>
      </c>
      <c r="L308" s="20" t="s">
        <v>1517</v>
      </c>
      <c r="M308" s="20" t="s">
        <v>30</v>
      </c>
      <c r="N308" s="25"/>
      <c r="O308" s="25"/>
      <c r="P308" s="26" t="s">
        <v>1518</v>
      </c>
      <c r="Q308" s="27" t="s">
        <v>1519</v>
      </c>
      <c r="R308" s="30">
        <v>0.0</v>
      </c>
      <c r="S308" s="25"/>
      <c r="T308" s="25"/>
      <c r="U308" s="25"/>
      <c r="V308" s="25"/>
      <c r="W308" s="25"/>
      <c r="X308" s="25"/>
      <c r="Y308" s="25"/>
      <c r="Z308" s="6"/>
      <c r="AA308" s="6"/>
      <c r="AB308" s="6"/>
      <c r="AC308" s="6"/>
      <c r="AD308" s="6"/>
      <c r="AE308" s="6"/>
    </row>
    <row r="309">
      <c r="A309" s="19">
        <f t="shared" si="2"/>
        <v>308</v>
      </c>
      <c r="B309" s="20" t="s">
        <v>1520</v>
      </c>
      <c r="C309" s="20" t="s">
        <v>1521</v>
      </c>
      <c r="D309" s="108" t="s">
        <v>38</v>
      </c>
      <c r="E309" s="22">
        <v>46111.40833333333</v>
      </c>
      <c r="F309" s="22">
        <v>46111.419444444444</v>
      </c>
      <c r="G309" s="20" t="s">
        <v>1522</v>
      </c>
      <c r="H309" s="20" t="s">
        <v>1237</v>
      </c>
      <c r="I309" s="20" t="s">
        <v>995</v>
      </c>
      <c r="J309" s="25"/>
      <c r="K309" s="20" t="s">
        <v>1523</v>
      </c>
      <c r="L309" s="20" t="s">
        <v>1524</v>
      </c>
      <c r="M309" s="20" t="s">
        <v>30</v>
      </c>
      <c r="N309" s="25"/>
      <c r="O309" s="25"/>
      <c r="P309" s="26" t="s">
        <v>1525</v>
      </c>
      <c r="Q309" s="27" t="s">
        <v>1526</v>
      </c>
      <c r="R309" s="30">
        <v>0.0</v>
      </c>
      <c r="S309" s="25"/>
      <c r="T309" s="25"/>
      <c r="U309" s="25"/>
      <c r="V309" s="25"/>
      <c r="W309" s="25"/>
      <c r="X309" s="25"/>
      <c r="Y309" s="25"/>
      <c r="Z309" s="6"/>
      <c r="AA309" s="6"/>
      <c r="AB309" s="6"/>
      <c r="AC309" s="6"/>
      <c r="AD309" s="6"/>
      <c r="AE309" s="6"/>
    </row>
    <row r="310">
      <c r="A310" s="19">
        <f t="shared" si="2"/>
        <v>309</v>
      </c>
      <c r="B310" s="20" t="s">
        <v>1527</v>
      </c>
      <c r="C310" s="20" t="s">
        <v>1528</v>
      </c>
      <c r="D310" s="108" t="s">
        <v>38</v>
      </c>
      <c r="E310" s="22">
        <v>46111.41527777778</v>
      </c>
      <c r="F310" s="22">
        <v>46111.430555555555</v>
      </c>
      <c r="G310" s="20" t="s">
        <v>1529</v>
      </c>
      <c r="H310" s="20" t="s">
        <v>1530</v>
      </c>
      <c r="I310" s="20" t="s">
        <v>1201</v>
      </c>
      <c r="J310" s="25"/>
      <c r="K310" s="20">
        <v>9.020984449E9</v>
      </c>
      <c r="L310" s="20" t="s">
        <v>1531</v>
      </c>
      <c r="M310" s="20" t="s">
        <v>30</v>
      </c>
      <c r="N310" s="25"/>
      <c r="O310" s="25"/>
      <c r="P310" s="26" t="s">
        <v>1532</v>
      </c>
      <c r="Q310" s="27" t="s">
        <v>1533</v>
      </c>
      <c r="R310" s="30">
        <v>0.0</v>
      </c>
      <c r="S310" s="25"/>
      <c r="T310" s="25"/>
      <c r="U310" s="25"/>
      <c r="V310" s="25"/>
      <c r="W310" s="25"/>
      <c r="X310" s="25"/>
      <c r="Y310" s="25"/>
      <c r="Z310" s="6"/>
      <c r="AA310" s="6"/>
      <c r="AB310" s="6"/>
      <c r="AC310" s="6"/>
      <c r="AD310" s="6"/>
      <c r="AE310" s="6"/>
    </row>
    <row r="311">
      <c r="A311" s="19">
        <f t="shared" si="2"/>
        <v>310</v>
      </c>
      <c r="B311" s="20" t="s">
        <v>1534</v>
      </c>
      <c r="C311" s="20" t="s">
        <v>1535</v>
      </c>
      <c r="D311" s="108" t="s">
        <v>38</v>
      </c>
      <c r="E311" s="22">
        <v>46111.433333333334</v>
      </c>
      <c r="F311" s="22">
        <v>46111.45347222222</v>
      </c>
      <c r="G311" s="20" t="s">
        <v>214</v>
      </c>
      <c r="H311" s="20" t="s">
        <v>1536</v>
      </c>
      <c r="I311" s="20" t="s">
        <v>995</v>
      </c>
      <c r="J311" s="25"/>
      <c r="K311" s="20" t="s">
        <v>1537</v>
      </c>
      <c r="L311" s="20" t="s">
        <v>1538</v>
      </c>
      <c r="M311" s="20" t="s">
        <v>30</v>
      </c>
      <c r="N311" s="25"/>
      <c r="O311" s="25"/>
      <c r="P311" s="26" t="s">
        <v>1539</v>
      </c>
      <c r="Q311" s="27" t="s">
        <v>1540</v>
      </c>
      <c r="R311" s="30">
        <v>0.0</v>
      </c>
      <c r="S311" s="25"/>
      <c r="T311" s="25"/>
      <c r="U311" s="25"/>
      <c r="V311" s="25"/>
      <c r="W311" s="25"/>
      <c r="X311" s="25"/>
      <c r="Y311" s="25"/>
      <c r="Z311" s="6"/>
      <c r="AA311" s="6"/>
      <c r="AB311" s="6"/>
      <c r="AC311" s="6"/>
      <c r="AD311" s="6"/>
      <c r="AE311" s="6"/>
    </row>
    <row r="312">
      <c r="A312" s="7">
        <f t="shared" si="2"/>
        <v>311</v>
      </c>
      <c r="B312" s="31" t="s">
        <v>1541</v>
      </c>
      <c r="C312" s="31" t="s">
        <v>1542</v>
      </c>
      <c r="D312" s="110" t="s">
        <v>27</v>
      </c>
      <c r="E312" s="32">
        <v>46111.436111111114</v>
      </c>
      <c r="F312" s="6"/>
      <c r="G312" s="31" t="s">
        <v>214</v>
      </c>
      <c r="H312" s="31" t="s">
        <v>1543</v>
      </c>
      <c r="I312" s="31" t="s">
        <v>995</v>
      </c>
      <c r="J312" s="6"/>
      <c r="K312" s="31" t="s">
        <v>1544</v>
      </c>
      <c r="L312" s="31" t="s">
        <v>1545</v>
      </c>
      <c r="M312" s="31" t="s">
        <v>30</v>
      </c>
      <c r="N312" s="6"/>
      <c r="O312" s="6"/>
      <c r="P312" s="34" t="s">
        <v>1546</v>
      </c>
      <c r="Q312" s="35"/>
      <c r="R312" s="36">
        <v>0.0</v>
      </c>
      <c r="S312" s="6"/>
      <c r="T312" s="6"/>
      <c r="U312" s="6"/>
      <c r="V312" s="6"/>
      <c r="W312" s="6"/>
      <c r="X312" s="6"/>
      <c r="Y312" s="6"/>
      <c r="Z312" s="6"/>
      <c r="AA312" s="6"/>
      <c r="AB312" s="6"/>
      <c r="AC312" s="6"/>
      <c r="AD312" s="6"/>
      <c r="AE312" s="6"/>
    </row>
    <row r="313">
      <c r="A313" s="7">
        <f t="shared" si="2"/>
        <v>312</v>
      </c>
      <c r="B313" s="31" t="s">
        <v>1547</v>
      </c>
      <c r="C313" s="31" t="s">
        <v>1548</v>
      </c>
      <c r="D313" s="110" t="s">
        <v>27</v>
      </c>
      <c r="E313" s="32">
        <v>46111.447916666664</v>
      </c>
      <c r="F313" s="6"/>
      <c r="G313" s="31" t="s">
        <v>36</v>
      </c>
      <c r="H313" s="31" t="s">
        <v>1549</v>
      </c>
      <c r="I313" s="31" t="s">
        <v>995</v>
      </c>
      <c r="J313" s="6"/>
      <c r="K313" s="31" t="s">
        <v>1550</v>
      </c>
      <c r="L313" s="31" t="s">
        <v>1551</v>
      </c>
      <c r="M313" s="31" t="s">
        <v>30</v>
      </c>
      <c r="N313" s="6"/>
      <c r="O313" s="6"/>
      <c r="P313" s="34" t="s">
        <v>1552</v>
      </c>
      <c r="Q313" s="35"/>
      <c r="R313" s="36">
        <v>0.0</v>
      </c>
      <c r="S313" s="6"/>
      <c r="T313" s="6"/>
      <c r="U313" s="6"/>
      <c r="V313" s="6"/>
      <c r="W313" s="6"/>
      <c r="X313" s="6"/>
      <c r="Y313" s="6"/>
      <c r="Z313" s="6"/>
      <c r="AA313" s="6"/>
      <c r="AB313" s="6"/>
      <c r="AC313" s="6"/>
      <c r="AD313" s="6"/>
      <c r="AE313" s="6"/>
    </row>
    <row r="314">
      <c r="A314" s="19">
        <f t="shared" si="2"/>
        <v>313</v>
      </c>
      <c r="B314" s="20" t="s">
        <v>1553</v>
      </c>
      <c r="C314" s="20" t="s">
        <v>1554</v>
      </c>
      <c r="D314" s="108" t="s">
        <v>38</v>
      </c>
      <c r="E314" s="22">
        <v>46111.45486111111</v>
      </c>
      <c r="F314" s="22">
        <v>46111.85486111111</v>
      </c>
      <c r="G314" s="20" t="s">
        <v>1409</v>
      </c>
      <c r="H314" s="20" t="s">
        <v>1555</v>
      </c>
      <c r="I314" s="20" t="s">
        <v>995</v>
      </c>
      <c r="J314" s="25"/>
      <c r="K314" s="20">
        <v>9.054245266E9</v>
      </c>
      <c r="L314" s="20" t="s">
        <v>1556</v>
      </c>
      <c r="M314" s="20" t="s">
        <v>30</v>
      </c>
      <c r="N314" s="25"/>
      <c r="O314" s="25"/>
      <c r="P314" s="26" t="s">
        <v>1557</v>
      </c>
      <c r="Q314" s="27" t="s">
        <v>1558</v>
      </c>
      <c r="R314" s="30">
        <v>0.0</v>
      </c>
      <c r="S314" s="25"/>
      <c r="T314" s="25"/>
      <c r="U314" s="25"/>
      <c r="V314" s="25"/>
      <c r="W314" s="25"/>
      <c r="X314" s="25"/>
      <c r="Y314" s="25"/>
      <c r="Z314" s="6"/>
      <c r="AA314" s="6"/>
      <c r="AB314" s="6"/>
      <c r="AC314" s="6"/>
      <c r="AD314" s="6"/>
      <c r="AE314" s="6"/>
    </row>
    <row r="315">
      <c r="A315" s="19">
        <f t="shared" si="2"/>
        <v>314</v>
      </c>
      <c r="B315" s="20" t="s">
        <v>1553</v>
      </c>
      <c r="C315" s="20" t="s">
        <v>1554</v>
      </c>
      <c r="D315" s="108" t="s">
        <v>38</v>
      </c>
      <c r="E315" s="22">
        <v>46111.455555555556</v>
      </c>
      <c r="F315" s="22">
        <v>46111.854166666664</v>
      </c>
      <c r="G315" s="20" t="s">
        <v>431</v>
      </c>
      <c r="H315" s="20" t="s">
        <v>1559</v>
      </c>
      <c r="I315" s="20" t="s">
        <v>995</v>
      </c>
      <c r="J315" s="25"/>
      <c r="K315" s="20">
        <v>9.054245266E9</v>
      </c>
      <c r="L315" s="20" t="s">
        <v>1560</v>
      </c>
      <c r="M315" s="20" t="s">
        <v>30</v>
      </c>
      <c r="N315" s="25"/>
      <c r="O315" s="25"/>
      <c r="P315" s="26" t="s">
        <v>1561</v>
      </c>
      <c r="Q315" s="27" t="s">
        <v>1562</v>
      </c>
      <c r="R315" s="30">
        <v>0.0</v>
      </c>
      <c r="S315" s="25"/>
      <c r="T315" s="25"/>
      <c r="U315" s="25"/>
      <c r="V315" s="25"/>
      <c r="W315" s="25"/>
      <c r="X315" s="25"/>
      <c r="Y315" s="25"/>
      <c r="Z315" s="6"/>
      <c r="AA315" s="6"/>
      <c r="AB315" s="6"/>
      <c r="AC315" s="6"/>
      <c r="AD315" s="6"/>
      <c r="AE315" s="6"/>
    </row>
    <row r="316">
      <c r="A316" s="7">
        <f t="shared" si="2"/>
        <v>315</v>
      </c>
      <c r="B316" s="31" t="s">
        <v>1547</v>
      </c>
      <c r="C316" s="31" t="s">
        <v>1563</v>
      </c>
      <c r="D316" s="110" t="s">
        <v>27</v>
      </c>
      <c r="E316" s="32">
        <v>46111.458333333336</v>
      </c>
      <c r="F316" s="6"/>
      <c r="G316" s="31" t="s">
        <v>1564</v>
      </c>
      <c r="H316" s="31" t="s">
        <v>1549</v>
      </c>
      <c r="I316" s="31" t="s">
        <v>1201</v>
      </c>
      <c r="J316" s="6"/>
      <c r="K316" s="31" t="s">
        <v>1550</v>
      </c>
      <c r="L316" s="31" t="s">
        <v>1565</v>
      </c>
      <c r="M316" s="31" t="s">
        <v>30</v>
      </c>
      <c r="N316" s="6"/>
      <c r="O316" s="6"/>
      <c r="P316" s="34" t="s">
        <v>1566</v>
      </c>
      <c r="Q316" s="35"/>
      <c r="R316" s="36">
        <v>0.0</v>
      </c>
      <c r="S316" s="6"/>
      <c r="T316" s="6"/>
      <c r="U316" s="6"/>
      <c r="V316" s="6"/>
      <c r="W316" s="6"/>
      <c r="X316" s="6"/>
      <c r="Y316" s="6"/>
      <c r="Z316" s="6"/>
      <c r="AA316" s="6"/>
      <c r="AB316" s="6"/>
      <c r="AC316" s="6"/>
      <c r="AD316" s="6"/>
      <c r="AE316" s="6"/>
    </row>
    <row r="317">
      <c r="A317" s="7">
        <f t="shared" si="2"/>
        <v>316</v>
      </c>
      <c r="B317" s="31" t="s">
        <v>1547</v>
      </c>
      <c r="C317" s="31" t="s">
        <v>1567</v>
      </c>
      <c r="D317" s="110" t="s">
        <v>27</v>
      </c>
      <c r="E317" s="32">
        <v>46111.4625</v>
      </c>
      <c r="F317" s="6"/>
      <c r="G317" s="31" t="s">
        <v>36</v>
      </c>
      <c r="H317" s="31" t="s">
        <v>1568</v>
      </c>
      <c r="I317" s="31" t="s">
        <v>1201</v>
      </c>
      <c r="J317" s="6"/>
      <c r="K317" s="31" t="s">
        <v>1550</v>
      </c>
      <c r="L317" s="31" t="s">
        <v>1551</v>
      </c>
      <c r="M317" s="31" t="s">
        <v>30</v>
      </c>
      <c r="N317" s="6"/>
      <c r="O317" s="6"/>
      <c r="P317" s="34" t="s">
        <v>1569</v>
      </c>
      <c r="Q317" s="35"/>
      <c r="R317" s="36">
        <v>0.0</v>
      </c>
      <c r="S317" s="6"/>
      <c r="T317" s="6"/>
      <c r="U317" s="6"/>
      <c r="V317" s="6"/>
      <c r="W317" s="6"/>
      <c r="X317" s="6"/>
      <c r="Y317" s="6"/>
      <c r="Z317" s="6"/>
      <c r="AA317" s="6"/>
      <c r="AB317" s="6"/>
      <c r="AC317" s="6"/>
      <c r="AD317" s="6"/>
      <c r="AE317" s="6"/>
    </row>
    <row r="318">
      <c r="A318" s="7">
        <f t="shared" si="2"/>
        <v>317</v>
      </c>
      <c r="B318" s="31" t="s">
        <v>1547</v>
      </c>
      <c r="C318" s="31" t="s">
        <v>1570</v>
      </c>
      <c r="D318" s="110" t="s">
        <v>165</v>
      </c>
      <c r="E318" s="32">
        <v>46111.467361111114</v>
      </c>
      <c r="F318" s="6"/>
      <c r="G318" s="31" t="s">
        <v>36</v>
      </c>
      <c r="H318" s="31" t="s">
        <v>1549</v>
      </c>
      <c r="I318" s="31" t="s">
        <v>995</v>
      </c>
      <c r="J318" s="6"/>
      <c r="K318" s="31" t="s">
        <v>1550</v>
      </c>
      <c r="L318" s="31" t="s">
        <v>1551</v>
      </c>
      <c r="M318" s="31" t="s">
        <v>30</v>
      </c>
      <c r="N318" s="6"/>
      <c r="O318" s="6"/>
      <c r="P318" s="34" t="s">
        <v>1571</v>
      </c>
      <c r="Q318" s="35"/>
      <c r="R318" s="36">
        <v>0.0</v>
      </c>
      <c r="S318" s="6"/>
      <c r="T318" s="6"/>
      <c r="U318" s="6"/>
      <c r="V318" s="6"/>
      <c r="W318" s="6"/>
      <c r="X318" s="6"/>
      <c r="Y318" s="6"/>
      <c r="Z318" s="6"/>
      <c r="AA318" s="6"/>
      <c r="AB318" s="6"/>
      <c r="AC318" s="6"/>
      <c r="AD318" s="6"/>
      <c r="AE318" s="6"/>
    </row>
    <row r="319">
      <c r="A319" s="19">
        <f t="shared" si="2"/>
        <v>318</v>
      </c>
      <c r="B319" s="20" t="s">
        <v>1547</v>
      </c>
      <c r="C319" s="20" t="s">
        <v>1572</v>
      </c>
      <c r="D319" s="108" t="s">
        <v>38</v>
      </c>
      <c r="E319" s="22">
        <v>46111.470138888886</v>
      </c>
      <c r="F319" s="22">
        <v>46111.47152777778</v>
      </c>
      <c r="G319" s="20" t="s">
        <v>36</v>
      </c>
      <c r="H319" s="20" t="s">
        <v>1549</v>
      </c>
      <c r="I319" s="20" t="s">
        <v>995</v>
      </c>
      <c r="J319" s="25"/>
      <c r="K319" s="20" t="s">
        <v>1550</v>
      </c>
      <c r="L319" s="20" t="s">
        <v>1551</v>
      </c>
      <c r="M319" s="20" t="s">
        <v>30</v>
      </c>
      <c r="N319" s="25"/>
      <c r="O319" s="25"/>
      <c r="P319" s="26" t="s">
        <v>1573</v>
      </c>
      <c r="Q319" s="27" t="s">
        <v>1574</v>
      </c>
      <c r="R319" s="30">
        <v>0.0</v>
      </c>
      <c r="S319" s="25"/>
      <c r="T319" s="25"/>
      <c r="U319" s="25"/>
      <c r="V319" s="25"/>
      <c r="W319" s="25"/>
      <c r="X319" s="25"/>
      <c r="Y319" s="25"/>
      <c r="Z319" s="6"/>
      <c r="AA319" s="6"/>
      <c r="AB319" s="6"/>
      <c r="AC319" s="6"/>
      <c r="AD319" s="6"/>
      <c r="AE319" s="6"/>
    </row>
    <row r="320">
      <c r="A320" s="19">
        <f t="shared" si="2"/>
        <v>319</v>
      </c>
      <c r="B320" s="20" t="s">
        <v>980</v>
      </c>
      <c r="C320" s="20" t="s">
        <v>981</v>
      </c>
      <c r="D320" s="108" t="s">
        <v>38</v>
      </c>
      <c r="E320" s="22">
        <v>46111.50347222222</v>
      </c>
      <c r="F320" s="22">
        <v>46113.66875</v>
      </c>
      <c r="G320" s="20" t="s">
        <v>431</v>
      </c>
      <c r="H320" s="20" t="s">
        <v>1575</v>
      </c>
      <c r="I320" s="20" t="s">
        <v>995</v>
      </c>
      <c r="J320" s="25"/>
      <c r="K320" s="20">
        <v>8.069266662E9</v>
      </c>
      <c r="L320" s="20" t="s">
        <v>1576</v>
      </c>
      <c r="M320" s="20" t="s">
        <v>30</v>
      </c>
      <c r="N320" s="25"/>
      <c r="O320" s="25"/>
      <c r="P320" s="26" t="s">
        <v>1577</v>
      </c>
      <c r="Q320" s="27" t="s">
        <v>1578</v>
      </c>
      <c r="R320" s="30">
        <v>0.0</v>
      </c>
      <c r="S320" s="25"/>
      <c r="T320" s="25"/>
      <c r="U320" s="25"/>
      <c r="V320" s="25"/>
      <c r="W320" s="25"/>
      <c r="X320" s="25"/>
      <c r="Y320" s="25"/>
      <c r="Z320" s="6"/>
      <c r="AA320" s="6"/>
      <c r="AB320" s="6"/>
      <c r="AC320" s="6"/>
      <c r="AD320" s="6"/>
      <c r="AE320" s="6"/>
    </row>
    <row r="321">
      <c r="A321" s="19">
        <f t="shared" si="2"/>
        <v>320</v>
      </c>
      <c r="B321" s="20" t="s">
        <v>989</v>
      </c>
      <c r="C321" s="20" t="s">
        <v>990</v>
      </c>
      <c r="D321" s="108" t="s">
        <v>38</v>
      </c>
      <c r="E321" s="22">
        <v>46111.50625</v>
      </c>
      <c r="F321" s="22">
        <v>46113.71875</v>
      </c>
      <c r="G321" s="20" t="s">
        <v>1579</v>
      </c>
      <c r="H321" s="20" t="s">
        <v>986</v>
      </c>
      <c r="I321" s="20" t="s">
        <v>1201</v>
      </c>
      <c r="J321" s="25"/>
      <c r="K321" s="20">
        <v>9.065980823E9</v>
      </c>
      <c r="L321" s="20" t="s">
        <v>1580</v>
      </c>
      <c r="M321" s="20" t="s">
        <v>30</v>
      </c>
      <c r="N321" s="25"/>
      <c r="O321" s="25"/>
      <c r="P321" s="26" t="s">
        <v>1581</v>
      </c>
      <c r="Q321" s="27" t="s">
        <v>1582</v>
      </c>
      <c r="R321" s="30">
        <v>0.0</v>
      </c>
      <c r="S321" s="25"/>
      <c r="T321" s="25"/>
      <c r="U321" s="25"/>
      <c r="V321" s="25"/>
      <c r="W321" s="25"/>
      <c r="X321" s="25"/>
      <c r="Y321" s="25"/>
      <c r="Z321" s="6"/>
      <c r="AA321" s="6"/>
      <c r="AB321" s="6"/>
      <c r="AC321" s="6"/>
      <c r="AD321" s="6"/>
      <c r="AE321" s="6"/>
    </row>
    <row r="322">
      <c r="A322" s="7">
        <f t="shared" si="2"/>
        <v>321</v>
      </c>
      <c r="B322" s="31" t="s">
        <v>1583</v>
      </c>
      <c r="C322" s="31" t="s">
        <v>1584</v>
      </c>
      <c r="D322" s="110" t="s">
        <v>27</v>
      </c>
      <c r="E322" s="32">
        <v>46111.52569444444</v>
      </c>
      <c r="F322" s="6"/>
      <c r="G322" s="31" t="s">
        <v>431</v>
      </c>
      <c r="H322" s="31" t="s">
        <v>1585</v>
      </c>
      <c r="I322" s="31" t="s">
        <v>995</v>
      </c>
      <c r="J322" s="6"/>
      <c r="K322" s="31">
        <v>9.019707633E9</v>
      </c>
      <c r="L322" s="31" t="s">
        <v>1586</v>
      </c>
      <c r="M322" s="31" t="s">
        <v>30</v>
      </c>
      <c r="N322" s="6"/>
      <c r="O322" s="6"/>
      <c r="P322" s="34" t="s">
        <v>1587</v>
      </c>
      <c r="Q322" s="35"/>
      <c r="R322" s="36">
        <v>0.0</v>
      </c>
      <c r="S322" s="6"/>
      <c r="T322" s="6"/>
      <c r="U322" s="6"/>
      <c r="V322" s="6"/>
      <c r="W322" s="6"/>
      <c r="X322" s="6"/>
      <c r="Y322" s="6"/>
      <c r="Z322" s="6"/>
      <c r="AA322" s="6"/>
      <c r="AB322" s="6"/>
      <c r="AC322" s="6"/>
      <c r="AD322" s="6"/>
      <c r="AE322" s="6"/>
    </row>
    <row r="323">
      <c r="A323" s="19">
        <f t="shared" si="2"/>
        <v>322</v>
      </c>
      <c r="B323" s="20" t="s">
        <v>1588</v>
      </c>
      <c r="C323" s="20" t="s">
        <v>1589</v>
      </c>
      <c r="D323" s="108" t="s">
        <v>38</v>
      </c>
      <c r="E323" s="22">
        <v>46111.527083333334</v>
      </c>
      <c r="F323" s="22">
        <v>46111.55763888889</v>
      </c>
      <c r="G323" s="20" t="s">
        <v>214</v>
      </c>
      <c r="H323" s="20" t="s">
        <v>1590</v>
      </c>
      <c r="I323" s="20" t="s">
        <v>995</v>
      </c>
      <c r="J323" s="25"/>
      <c r="K323" s="20">
        <v>8.041134991E9</v>
      </c>
      <c r="L323" s="20" t="s">
        <v>1591</v>
      </c>
      <c r="M323" s="20" t="s">
        <v>30</v>
      </c>
      <c r="N323" s="25"/>
      <c r="O323" s="25"/>
      <c r="P323" s="26" t="s">
        <v>1592</v>
      </c>
      <c r="Q323" s="27" t="s">
        <v>1593</v>
      </c>
      <c r="R323" s="30">
        <v>0.0</v>
      </c>
      <c r="S323" s="25"/>
      <c r="T323" s="25"/>
      <c r="U323" s="25"/>
      <c r="V323" s="25"/>
      <c r="W323" s="25"/>
      <c r="X323" s="25"/>
      <c r="Y323" s="25"/>
      <c r="Z323" s="6"/>
      <c r="AA323" s="6"/>
      <c r="AB323" s="6"/>
      <c r="AC323" s="6"/>
      <c r="AD323" s="6"/>
      <c r="AE323" s="6"/>
    </row>
    <row r="324">
      <c r="A324" s="19">
        <f t="shared" si="2"/>
        <v>323</v>
      </c>
      <c r="B324" s="20" t="s">
        <v>1583</v>
      </c>
      <c r="C324" s="20" t="s">
        <v>1584</v>
      </c>
      <c r="D324" s="108" t="s">
        <v>38</v>
      </c>
      <c r="E324" s="22">
        <v>46111.52777777778</v>
      </c>
      <c r="F324" s="22">
        <v>46112.495833333334</v>
      </c>
      <c r="G324" s="20" t="s">
        <v>1594</v>
      </c>
      <c r="H324" s="20" t="s">
        <v>1595</v>
      </c>
      <c r="I324" s="20" t="s">
        <v>1201</v>
      </c>
      <c r="J324" s="25"/>
      <c r="K324" s="20" t="s">
        <v>1596</v>
      </c>
      <c r="L324" s="20" t="s">
        <v>1586</v>
      </c>
      <c r="M324" s="20" t="s">
        <v>30</v>
      </c>
      <c r="N324" s="25"/>
      <c r="O324" s="25"/>
      <c r="P324" s="26" t="s">
        <v>1597</v>
      </c>
      <c r="Q324" s="27" t="s">
        <v>1598</v>
      </c>
      <c r="R324" s="30">
        <v>0.0</v>
      </c>
      <c r="S324" s="25"/>
      <c r="T324" s="25"/>
      <c r="U324" s="25"/>
      <c r="V324" s="25"/>
      <c r="W324" s="25"/>
      <c r="X324" s="25"/>
      <c r="Y324" s="25"/>
      <c r="Z324" s="6"/>
      <c r="AA324" s="6"/>
      <c r="AB324" s="6"/>
      <c r="AC324" s="6"/>
      <c r="AD324" s="6"/>
      <c r="AE324" s="6"/>
    </row>
    <row r="325">
      <c r="A325" s="7">
        <f t="shared" si="2"/>
        <v>324</v>
      </c>
      <c r="B325" s="31" t="s">
        <v>518</v>
      </c>
      <c r="C325" s="31" t="s">
        <v>519</v>
      </c>
      <c r="D325" s="110" t="s">
        <v>27</v>
      </c>
      <c r="E325" s="32">
        <v>46111.54027777778</v>
      </c>
      <c r="F325" s="6"/>
      <c r="G325" s="31" t="s">
        <v>214</v>
      </c>
      <c r="H325" s="31" t="s">
        <v>520</v>
      </c>
      <c r="I325" s="31" t="s">
        <v>995</v>
      </c>
      <c r="J325" s="6"/>
      <c r="K325" s="31">
        <v>9.033055702E9</v>
      </c>
      <c r="L325" s="31" t="s">
        <v>1599</v>
      </c>
      <c r="M325" s="31" t="s">
        <v>30</v>
      </c>
      <c r="N325" s="6"/>
      <c r="O325" s="6"/>
      <c r="P325" s="34" t="s">
        <v>1600</v>
      </c>
      <c r="Q325" s="35"/>
      <c r="R325" s="36">
        <v>0.0</v>
      </c>
      <c r="S325" s="6"/>
      <c r="T325" s="6"/>
      <c r="U325" s="6"/>
      <c r="V325" s="6"/>
      <c r="W325" s="6"/>
      <c r="X325" s="6"/>
      <c r="Y325" s="6"/>
      <c r="Z325" s="6"/>
      <c r="AA325" s="6"/>
      <c r="AB325" s="6"/>
      <c r="AC325" s="6"/>
      <c r="AD325" s="6"/>
      <c r="AE325" s="6"/>
    </row>
    <row r="326">
      <c r="A326" s="7">
        <f t="shared" si="2"/>
        <v>325</v>
      </c>
      <c r="B326" s="31" t="s">
        <v>1601</v>
      </c>
      <c r="C326" s="31" t="s">
        <v>1602</v>
      </c>
      <c r="D326" s="110" t="s">
        <v>27</v>
      </c>
      <c r="E326" s="32">
        <v>46111.60833333333</v>
      </c>
      <c r="F326" s="6"/>
      <c r="G326" s="31" t="s">
        <v>1466</v>
      </c>
      <c r="H326" s="31" t="s">
        <v>1603</v>
      </c>
      <c r="I326" s="31" t="s">
        <v>1201</v>
      </c>
      <c r="J326" s="6"/>
      <c r="K326" s="31" t="s">
        <v>1604</v>
      </c>
      <c r="L326" s="31" t="s">
        <v>1605</v>
      </c>
      <c r="M326" s="31" t="s">
        <v>30</v>
      </c>
      <c r="N326" s="6"/>
      <c r="O326" s="6"/>
      <c r="P326" s="34" t="s">
        <v>1606</v>
      </c>
      <c r="Q326" s="35"/>
      <c r="R326" s="36">
        <v>0.0</v>
      </c>
      <c r="S326" s="6"/>
      <c r="T326" s="6"/>
      <c r="U326" s="6"/>
      <c r="V326" s="6"/>
      <c r="W326" s="6"/>
      <c r="X326" s="6"/>
      <c r="Y326" s="6"/>
      <c r="Z326" s="6"/>
      <c r="AA326" s="6"/>
      <c r="AB326" s="6"/>
      <c r="AC326" s="6"/>
      <c r="AD326" s="6"/>
      <c r="AE326" s="6"/>
    </row>
    <row r="327">
      <c r="A327" s="19">
        <f t="shared" si="2"/>
        <v>326</v>
      </c>
      <c r="B327" s="20" t="s">
        <v>1470</v>
      </c>
      <c r="C327" s="20" t="s">
        <v>1471</v>
      </c>
      <c r="D327" s="108" t="s">
        <v>38</v>
      </c>
      <c r="E327" s="22">
        <v>46111.60902777778</v>
      </c>
      <c r="F327" s="22">
        <v>46111.61944444444</v>
      </c>
      <c r="G327" s="20" t="s">
        <v>1466</v>
      </c>
      <c r="H327" s="20" t="s">
        <v>1603</v>
      </c>
      <c r="I327" s="20" t="s">
        <v>1201</v>
      </c>
      <c r="J327" s="25"/>
      <c r="K327" s="20" t="s">
        <v>1607</v>
      </c>
      <c r="L327" s="20" t="s">
        <v>1605</v>
      </c>
      <c r="M327" s="20" t="s">
        <v>30</v>
      </c>
      <c r="N327" s="25"/>
      <c r="O327" s="25"/>
      <c r="P327" s="26" t="s">
        <v>1608</v>
      </c>
      <c r="Q327" s="27" t="s">
        <v>1609</v>
      </c>
      <c r="R327" s="30">
        <v>0.0</v>
      </c>
      <c r="S327" s="25"/>
      <c r="T327" s="25"/>
      <c r="U327" s="25"/>
      <c r="V327" s="25"/>
      <c r="W327" s="25"/>
      <c r="X327" s="25"/>
      <c r="Y327" s="25"/>
      <c r="Z327" s="6"/>
      <c r="AA327" s="6"/>
      <c r="AB327" s="6"/>
      <c r="AC327" s="6"/>
      <c r="AD327" s="6"/>
      <c r="AE327" s="6"/>
    </row>
    <row r="328">
      <c r="A328" s="7">
        <f t="shared" si="2"/>
        <v>327</v>
      </c>
      <c r="B328" s="31" t="s">
        <v>1610</v>
      </c>
      <c r="C328" s="31" t="s">
        <v>1611</v>
      </c>
      <c r="D328" s="110" t="s">
        <v>165</v>
      </c>
      <c r="E328" s="32">
        <v>46111.677777777775</v>
      </c>
      <c r="F328" s="6"/>
      <c r="G328" s="31" t="s">
        <v>1351</v>
      </c>
      <c r="H328" s="31" t="s">
        <v>1176</v>
      </c>
      <c r="I328" s="31" t="s">
        <v>995</v>
      </c>
      <c r="J328" s="6"/>
      <c r="K328" s="31" t="s">
        <v>1612</v>
      </c>
      <c r="L328" s="31" t="s">
        <v>1613</v>
      </c>
      <c r="M328" s="31" t="s">
        <v>30</v>
      </c>
      <c r="N328" s="6"/>
      <c r="O328" s="6"/>
      <c r="P328" s="34" t="s">
        <v>1614</v>
      </c>
      <c r="Q328" s="35"/>
      <c r="R328" s="36">
        <v>0.0</v>
      </c>
      <c r="S328" s="6"/>
      <c r="T328" s="6"/>
      <c r="U328" s="6"/>
      <c r="V328" s="6"/>
      <c r="W328" s="6"/>
      <c r="X328" s="6"/>
      <c r="Y328" s="6"/>
      <c r="Z328" s="6"/>
      <c r="AA328" s="6"/>
      <c r="AB328" s="6"/>
      <c r="AC328" s="6"/>
      <c r="AD328" s="6"/>
      <c r="AE328" s="6"/>
    </row>
    <row r="329">
      <c r="A329" s="7">
        <f t="shared" si="2"/>
        <v>328</v>
      </c>
      <c r="B329" s="31" t="s">
        <v>1615</v>
      </c>
      <c r="C329" s="31" t="s">
        <v>1616</v>
      </c>
      <c r="D329" s="110" t="s">
        <v>27</v>
      </c>
      <c r="E329" s="32">
        <v>46111.69375</v>
      </c>
      <c r="F329" s="6"/>
      <c r="G329" s="31" t="s">
        <v>431</v>
      </c>
      <c r="H329" s="31" t="s">
        <v>1617</v>
      </c>
      <c r="I329" s="31" t="s">
        <v>1201</v>
      </c>
      <c r="J329" s="6"/>
      <c r="K329" s="31">
        <v>6.63622E8</v>
      </c>
      <c r="L329" s="31" t="s">
        <v>1618</v>
      </c>
      <c r="M329" s="31" t="s">
        <v>30</v>
      </c>
      <c r="N329" s="6"/>
      <c r="O329" s="6"/>
      <c r="P329" s="34" t="s">
        <v>1619</v>
      </c>
      <c r="Q329" s="35"/>
      <c r="R329" s="36">
        <v>0.0</v>
      </c>
      <c r="S329" s="6"/>
      <c r="T329" s="6"/>
      <c r="U329" s="6"/>
      <c r="V329" s="6"/>
      <c r="W329" s="6"/>
      <c r="X329" s="6"/>
      <c r="Y329" s="6"/>
      <c r="Z329" s="6"/>
      <c r="AA329" s="6"/>
      <c r="AB329" s="6"/>
      <c r="AC329" s="6"/>
      <c r="AD329" s="6"/>
      <c r="AE329" s="6"/>
    </row>
    <row r="330">
      <c r="A330" s="19">
        <f t="shared" si="2"/>
        <v>329</v>
      </c>
      <c r="B330" s="20" t="s">
        <v>1620</v>
      </c>
      <c r="C330" s="20" t="s">
        <v>1621</v>
      </c>
      <c r="D330" s="108" t="s">
        <v>38</v>
      </c>
      <c r="E330" s="22">
        <v>46111.794444444444</v>
      </c>
      <c r="F330" s="22">
        <v>46111.799305555556</v>
      </c>
      <c r="G330" s="20" t="s">
        <v>214</v>
      </c>
      <c r="H330" s="20" t="s">
        <v>1622</v>
      </c>
      <c r="I330" s="20" t="s">
        <v>995</v>
      </c>
      <c r="J330" s="20" t="s">
        <v>1623</v>
      </c>
      <c r="K330" s="20">
        <v>7.012984378E9</v>
      </c>
      <c r="L330" s="20" t="s">
        <v>1624</v>
      </c>
      <c r="M330" s="20" t="s">
        <v>1351</v>
      </c>
      <c r="N330" s="25"/>
      <c r="O330" s="25"/>
      <c r="P330" s="26" t="s">
        <v>1625</v>
      </c>
      <c r="Q330" s="27" t="s">
        <v>1626</v>
      </c>
      <c r="R330" s="30">
        <v>0.0</v>
      </c>
      <c r="S330" s="25"/>
      <c r="T330" s="25"/>
      <c r="U330" s="25"/>
      <c r="V330" s="25"/>
      <c r="W330" s="25"/>
      <c r="X330" s="25"/>
      <c r="Y330" s="25"/>
      <c r="Z330" s="6"/>
      <c r="AA330" s="6"/>
      <c r="AB330" s="6"/>
      <c r="AC330" s="6"/>
      <c r="AD330" s="6"/>
      <c r="AE330" s="6"/>
    </row>
    <row r="331">
      <c r="A331" s="19">
        <f t="shared" si="2"/>
        <v>330</v>
      </c>
      <c r="B331" s="20" t="s">
        <v>1627</v>
      </c>
      <c r="C331" s="20" t="s">
        <v>1628</v>
      </c>
      <c r="D331" s="108" t="s">
        <v>38</v>
      </c>
      <c r="E331" s="22">
        <v>46112.43541666667</v>
      </c>
      <c r="F331" s="22">
        <v>46113.49097222222</v>
      </c>
      <c r="G331" s="20" t="s">
        <v>297</v>
      </c>
      <c r="H331" s="20" t="s">
        <v>1559</v>
      </c>
      <c r="I331" s="20" t="s">
        <v>1201</v>
      </c>
      <c r="J331" s="25"/>
      <c r="K331" s="20" t="s">
        <v>1629</v>
      </c>
      <c r="L331" s="20" t="s">
        <v>1630</v>
      </c>
      <c r="M331" s="20" t="s">
        <v>30</v>
      </c>
      <c r="N331" s="25"/>
      <c r="O331" s="25"/>
      <c r="P331" s="26" t="s">
        <v>1631</v>
      </c>
      <c r="Q331" s="27" t="s">
        <v>1632</v>
      </c>
      <c r="R331" s="30">
        <v>0.0</v>
      </c>
      <c r="S331" s="25"/>
      <c r="T331" s="25"/>
      <c r="U331" s="25"/>
      <c r="V331" s="25"/>
      <c r="W331" s="25"/>
      <c r="X331" s="25"/>
      <c r="Y331" s="25"/>
      <c r="Z331" s="6"/>
      <c r="AA331" s="6"/>
      <c r="AB331" s="6"/>
      <c r="AC331" s="6"/>
      <c r="AD331" s="6"/>
      <c r="AE331" s="6"/>
    </row>
    <row r="332">
      <c r="A332" s="19">
        <f t="shared" si="2"/>
        <v>331</v>
      </c>
      <c r="B332" s="20" t="s">
        <v>1633</v>
      </c>
      <c r="C332" s="20" t="s">
        <v>1634</v>
      </c>
      <c r="D332" s="108" t="s">
        <v>38</v>
      </c>
      <c r="E332" s="22">
        <v>46112.50763888889</v>
      </c>
      <c r="F332" s="22">
        <v>46112.58263888889</v>
      </c>
      <c r="G332" s="20" t="s">
        <v>431</v>
      </c>
      <c r="H332" s="20" t="s">
        <v>1635</v>
      </c>
      <c r="I332" s="20" t="s">
        <v>995</v>
      </c>
      <c r="J332" s="20" t="s">
        <v>1636</v>
      </c>
      <c r="K332" s="20">
        <v>5.42677875E8</v>
      </c>
      <c r="L332" s="20" t="s">
        <v>1637</v>
      </c>
      <c r="M332" s="20" t="s">
        <v>1638</v>
      </c>
      <c r="N332" s="25"/>
      <c r="O332" s="25"/>
      <c r="P332" s="26" t="s">
        <v>1639</v>
      </c>
      <c r="Q332" s="27" t="s">
        <v>1640</v>
      </c>
      <c r="R332" s="30">
        <v>0.0</v>
      </c>
      <c r="S332" s="25"/>
      <c r="T332" s="25"/>
      <c r="U332" s="25"/>
      <c r="V332" s="25"/>
      <c r="W332" s="25"/>
      <c r="X332" s="25"/>
      <c r="Y332" s="25"/>
      <c r="Z332" s="6"/>
      <c r="AA332" s="6"/>
      <c r="AB332" s="6"/>
      <c r="AC332" s="6"/>
      <c r="AD332" s="6"/>
      <c r="AE332" s="6"/>
    </row>
    <row r="333">
      <c r="A333" s="19">
        <f t="shared" si="2"/>
        <v>332</v>
      </c>
      <c r="B333" s="20" t="s">
        <v>1641</v>
      </c>
      <c r="C333" s="20" t="s">
        <v>1642</v>
      </c>
      <c r="D333" s="108" t="s">
        <v>38</v>
      </c>
      <c r="E333" s="22">
        <v>46112.53402777778</v>
      </c>
      <c r="F333" s="22">
        <v>46112.665972222225</v>
      </c>
      <c r="G333" s="20" t="s">
        <v>431</v>
      </c>
      <c r="H333" s="20" t="s">
        <v>1643</v>
      </c>
      <c r="I333" s="20" t="s">
        <v>995</v>
      </c>
      <c r="J333" s="25"/>
      <c r="K333" s="20">
        <v>8.030603174E9</v>
      </c>
      <c r="L333" s="20" t="s">
        <v>1644</v>
      </c>
      <c r="M333" s="20" t="s">
        <v>30</v>
      </c>
      <c r="N333" s="25"/>
      <c r="O333" s="25"/>
      <c r="P333" s="26" t="s">
        <v>1645</v>
      </c>
      <c r="Q333" s="27" t="s">
        <v>1646</v>
      </c>
      <c r="R333" s="30">
        <v>0.0</v>
      </c>
      <c r="S333" s="25"/>
      <c r="T333" s="25"/>
      <c r="U333" s="25"/>
      <c r="V333" s="25"/>
      <c r="W333" s="25"/>
      <c r="X333" s="25"/>
      <c r="Y333" s="25"/>
      <c r="Z333" s="6"/>
      <c r="AA333" s="6"/>
      <c r="AB333" s="6"/>
      <c r="AC333" s="6"/>
      <c r="AD333" s="6"/>
      <c r="AE333" s="6"/>
    </row>
    <row r="334">
      <c r="A334" s="19">
        <f t="shared" si="2"/>
        <v>333</v>
      </c>
      <c r="B334" s="20" t="s">
        <v>1647</v>
      </c>
      <c r="C334" s="20" t="s">
        <v>1648</v>
      </c>
      <c r="D334" s="108" t="s">
        <v>38</v>
      </c>
      <c r="E334" s="22">
        <v>46112.666666666664</v>
      </c>
      <c r="F334" s="22">
        <v>46112.728472222225</v>
      </c>
      <c r="G334" s="20" t="s">
        <v>431</v>
      </c>
      <c r="H334" s="20" t="s">
        <v>1649</v>
      </c>
      <c r="I334" s="20" t="s">
        <v>995</v>
      </c>
      <c r="J334" s="25"/>
      <c r="K334" s="20" t="s">
        <v>1650</v>
      </c>
      <c r="L334" s="20" t="s">
        <v>1651</v>
      </c>
      <c r="M334" s="20" t="s">
        <v>30</v>
      </c>
      <c r="N334" s="25"/>
      <c r="O334" s="25"/>
      <c r="P334" s="26" t="s">
        <v>1652</v>
      </c>
      <c r="Q334" s="27" t="s">
        <v>1653</v>
      </c>
      <c r="R334" s="30">
        <v>0.0</v>
      </c>
      <c r="S334" s="25"/>
      <c r="T334" s="25"/>
      <c r="U334" s="25"/>
      <c r="V334" s="25"/>
      <c r="W334" s="25"/>
      <c r="X334" s="25"/>
      <c r="Y334" s="25"/>
      <c r="Z334" s="6"/>
      <c r="AA334" s="6"/>
      <c r="AB334" s="6"/>
      <c r="AC334" s="6"/>
      <c r="AD334" s="6"/>
      <c r="AE334" s="6"/>
    </row>
    <row r="335">
      <c r="A335" s="19">
        <f t="shared" si="2"/>
        <v>334</v>
      </c>
      <c r="B335" s="20" t="s">
        <v>1654</v>
      </c>
      <c r="C335" s="20" t="s">
        <v>1655</v>
      </c>
      <c r="D335" s="108" t="s">
        <v>38</v>
      </c>
      <c r="E335" s="22">
        <v>46112.72152777778</v>
      </c>
      <c r="F335" s="22">
        <v>46112.728472222225</v>
      </c>
      <c r="G335" s="20" t="s">
        <v>1656</v>
      </c>
      <c r="H335" s="20" t="s">
        <v>1555</v>
      </c>
      <c r="I335" s="20" t="s">
        <v>1201</v>
      </c>
      <c r="J335" s="25"/>
      <c r="K335" s="20" t="s">
        <v>1657</v>
      </c>
      <c r="L335" s="20" t="s">
        <v>1658</v>
      </c>
      <c r="M335" s="20" t="s">
        <v>30</v>
      </c>
      <c r="N335" s="25"/>
      <c r="O335" s="25"/>
      <c r="P335" s="26" t="s">
        <v>1659</v>
      </c>
      <c r="Q335" s="27" t="s">
        <v>1660</v>
      </c>
      <c r="R335" s="30">
        <v>0.0</v>
      </c>
      <c r="S335" s="25"/>
      <c r="T335" s="25"/>
      <c r="U335" s="25"/>
      <c r="V335" s="25"/>
      <c r="W335" s="25"/>
      <c r="X335" s="25"/>
      <c r="Y335" s="25"/>
      <c r="Z335" s="6"/>
      <c r="AA335" s="6"/>
      <c r="AB335" s="6"/>
      <c r="AC335" s="6"/>
      <c r="AD335" s="6"/>
      <c r="AE335" s="6"/>
    </row>
    <row r="336">
      <c r="A336" s="19">
        <f t="shared" si="2"/>
        <v>335</v>
      </c>
      <c r="B336" s="20" t="s">
        <v>1661</v>
      </c>
      <c r="C336" s="20" t="s">
        <v>1662</v>
      </c>
      <c r="D336" s="108" t="s">
        <v>38</v>
      </c>
      <c r="E336" s="22">
        <v>46112.72361111111</v>
      </c>
      <c r="F336" s="22">
        <v>46112.75625</v>
      </c>
      <c r="G336" s="20" t="s">
        <v>1663</v>
      </c>
      <c r="H336" s="20" t="s">
        <v>1176</v>
      </c>
      <c r="I336" s="20" t="s">
        <v>995</v>
      </c>
      <c r="J336" s="25"/>
      <c r="K336" s="20">
        <v>8.07038492E9</v>
      </c>
      <c r="L336" s="20" t="s">
        <v>1664</v>
      </c>
      <c r="M336" s="20" t="s">
        <v>30</v>
      </c>
      <c r="N336" s="25"/>
      <c r="O336" s="25"/>
      <c r="P336" s="26" t="s">
        <v>1665</v>
      </c>
      <c r="Q336" s="27" t="s">
        <v>1666</v>
      </c>
      <c r="R336" s="30">
        <v>0.0</v>
      </c>
      <c r="S336" s="25"/>
      <c r="T336" s="25"/>
      <c r="U336" s="25"/>
      <c r="V336" s="25"/>
      <c r="W336" s="25"/>
      <c r="X336" s="25"/>
      <c r="Y336" s="25"/>
      <c r="Z336" s="6"/>
      <c r="AA336" s="6"/>
      <c r="AB336" s="6"/>
      <c r="AC336" s="6"/>
      <c r="AD336" s="6"/>
      <c r="AE336" s="6"/>
    </row>
    <row r="337">
      <c r="A337" s="19">
        <f t="shared" si="2"/>
        <v>336</v>
      </c>
      <c r="B337" s="20" t="s">
        <v>1667</v>
      </c>
      <c r="C337" s="20" t="s">
        <v>1668</v>
      </c>
      <c r="D337" s="108" t="s">
        <v>38</v>
      </c>
      <c r="E337" s="22">
        <v>46113.4375</v>
      </c>
      <c r="F337" s="22">
        <v>46113.55347222222</v>
      </c>
      <c r="G337" s="20" t="s">
        <v>431</v>
      </c>
      <c r="H337" s="20" t="s">
        <v>1484</v>
      </c>
      <c r="I337" s="20" t="s">
        <v>1201</v>
      </c>
      <c r="J337" s="25"/>
      <c r="K337" s="20" t="s">
        <v>1669</v>
      </c>
      <c r="L337" s="20" t="s">
        <v>1670</v>
      </c>
      <c r="M337" s="20" t="s">
        <v>30</v>
      </c>
      <c r="N337" s="25"/>
      <c r="O337" s="25"/>
      <c r="P337" s="26" t="s">
        <v>1671</v>
      </c>
      <c r="Q337" s="27" t="s">
        <v>1672</v>
      </c>
      <c r="R337" s="30">
        <v>0.0</v>
      </c>
      <c r="S337" s="25"/>
      <c r="T337" s="25"/>
      <c r="U337" s="25"/>
      <c r="V337" s="25"/>
      <c r="W337" s="25"/>
      <c r="X337" s="25"/>
      <c r="Y337" s="25"/>
      <c r="Z337" s="6"/>
      <c r="AA337" s="6"/>
      <c r="AB337" s="6"/>
      <c r="AC337" s="6"/>
      <c r="AD337" s="6"/>
      <c r="AE337" s="6"/>
    </row>
    <row r="338">
      <c r="A338" s="7">
        <f t="shared" si="2"/>
        <v>337</v>
      </c>
      <c r="B338" s="31" t="s">
        <v>1673</v>
      </c>
      <c r="C338" s="31" t="s">
        <v>1674</v>
      </c>
      <c r="D338" s="110" t="s">
        <v>27</v>
      </c>
      <c r="E338" s="32">
        <v>46113.41527777778</v>
      </c>
      <c r="F338" s="6"/>
      <c r="G338" s="31" t="s">
        <v>431</v>
      </c>
      <c r="H338" s="31" t="s">
        <v>1675</v>
      </c>
      <c r="I338" s="31" t="s">
        <v>995</v>
      </c>
      <c r="J338" s="31" t="s">
        <v>1673</v>
      </c>
      <c r="K338" s="31">
        <v>9.055546806E9</v>
      </c>
      <c r="L338" s="31" t="s">
        <v>1676</v>
      </c>
      <c r="M338" s="31" t="s">
        <v>1156</v>
      </c>
      <c r="N338" s="6"/>
      <c r="O338" s="6"/>
      <c r="P338" s="34" t="s">
        <v>1677</v>
      </c>
      <c r="Q338" s="35"/>
      <c r="R338" s="36">
        <v>0.0</v>
      </c>
      <c r="S338" s="6"/>
      <c r="T338" s="6"/>
      <c r="U338" s="6"/>
      <c r="V338" s="6"/>
      <c r="W338" s="6"/>
      <c r="X338" s="6"/>
      <c r="Y338" s="6"/>
      <c r="Z338" s="6"/>
      <c r="AA338" s="6"/>
      <c r="AB338" s="6"/>
      <c r="AC338" s="6"/>
      <c r="AD338" s="6"/>
      <c r="AE338" s="6"/>
    </row>
    <row r="339">
      <c r="A339" s="19">
        <f t="shared" si="2"/>
        <v>338</v>
      </c>
      <c r="B339" s="20" t="s">
        <v>1678</v>
      </c>
      <c r="C339" s="20" t="s">
        <v>1679</v>
      </c>
      <c r="D339" s="108" t="s">
        <v>38</v>
      </c>
      <c r="E339" s="22">
        <v>46113.43472222222</v>
      </c>
      <c r="F339" s="22">
        <v>46114.46805555555</v>
      </c>
      <c r="G339" s="20" t="s">
        <v>1466</v>
      </c>
      <c r="H339" s="20" t="s">
        <v>1680</v>
      </c>
      <c r="I339" s="20" t="s">
        <v>1201</v>
      </c>
      <c r="J339" s="25"/>
      <c r="K339" s="20">
        <v>9.089189337E9</v>
      </c>
      <c r="L339" s="20" t="s">
        <v>1605</v>
      </c>
      <c r="M339" s="20" t="s">
        <v>30</v>
      </c>
      <c r="N339" s="25"/>
      <c r="O339" s="25"/>
      <c r="P339" s="26" t="s">
        <v>1681</v>
      </c>
      <c r="Q339" s="27" t="s">
        <v>1682</v>
      </c>
      <c r="R339" s="30">
        <v>0.0</v>
      </c>
      <c r="S339" s="25"/>
      <c r="T339" s="25"/>
      <c r="U339" s="25"/>
      <c r="V339" s="25"/>
      <c r="W339" s="25"/>
      <c r="X339" s="25"/>
      <c r="Y339" s="25"/>
      <c r="Z339" s="6"/>
      <c r="AA339" s="6"/>
      <c r="AB339" s="6"/>
      <c r="AC339" s="6"/>
      <c r="AD339" s="6"/>
      <c r="AE339" s="6"/>
    </row>
    <row r="340">
      <c r="A340" s="19">
        <f t="shared" si="2"/>
        <v>339</v>
      </c>
      <c r="B340" s="20" t="s">
        <v>1683</v>
      </c>
      <c r="C340" s="20" t="s">
        <v>1684</v>
      </c>
      <c r="D340" s="108" t="s">
        <v>38</v>
      </c>
      <c r="E340" s="22">
        <v>46113.43541666667</v>
      </c>
      <c r="F340" s="22">
        <v>46113.46319444444</v>
      </c>
      <c r="G340" s="20" t="s">
        <v>1466</v>
      </c>
      <c r="H340" s="20" t="s">
        <v>1680</v>
      </c>
      <c r="I340" s="20" t="s">
        <v>1201</v>
      </c>
      <c r="J340" s="25"/>
      <c r="K340" s="20">
        <v>7.056383585E9</v>
      </c>
      <c r="L340" s="20" t="s">
        <v>1605</v>
      </c>
      <c r="M340" s="20" t="s">
        <v>30</v>
      </c>
      <c r="N340" s="25"/>
      <c r="O340" s="25"/>
      <c r="P340" s="26" t="s">
        <v>1685</v>
      </c>
      <c r="Q340" s="27" t="s">
        <v>1686</v>
      </c>
      <c r="R340" s="30">
        <v>0.0</v>
      </c>
      <c r="S340" s="25"/>
      <c r="T340" s="25"/>
      <c r="U340" s="25"/>
      <c r="V340" s="25"/>
      <c r="W340" s="25"/>
      <c r="X340" s="25"/>
      <c r="Y340" s="25"/>
      <c r="Z340" s="6"/>
      <c r="AA340" s="6"/>
      <c r="AB340" s="6"/>
      <c r="AC340" s="6"/>
      <c r="AD340" s="6"/>
      <c r="AE340" s="6"/>
    </row>
    <row r="341">
      <c r="A341" s="19">
        <f t="shared" si="2"/>
        <v>340</v>
      </c>
      <c r="B341" s="20" t="s">
        <v>1687</v>
      </c>
      <c r="C341" s="20" t="s">
        <v>1688</v>
      </c>
      <c r="D341" s="108" t="s">
        <v>38</v>
      </c>
      <c r="E341" s="22">
        <v>46113.44930555556</v>
      </c>
      <c r="F341" s="22">
        <v>46113.493055555555</v>
      </c>
      <c r="G341" s="20" t="s">
        <v>109</v>
      </c>
      <c r="H341" s="20" t="s">
        <v>1595</v>
      </c>
      <c r="I341" s="20" t="s">
        <v>995</v>
      </c>
      <c r="J341" s="25"/>
      <c r="K341" s="20" t="s">
        <v>1689</v>
      </c>
      <c r="L341" s="20" t="s">
        <v>1690</v>
      </c>
      <c r="M341" s="20" t="s">
        <v>30</v>
      </c>
      <c r="N341" s="25"/>
      <c r="O341" s="25"/>
      <c r="P341" s="26" t="s">
        <v>1691</v>
      </c>
      <c r="Q341" s="27" t="s">
        <v>1692</v>
      </c>
      <c r="R341" s="30">
        <v>0.0</v>
      </c>
      <c r="S341" s="25"/>
      <c r="T341" s="25"/>
      <c r="U341" s="25"/>
      <c r="V341" s="25"/>
      <c r="W341" s="25"/>
      <c r="X341" s="25"/>
      <c r="Y341" s="25"/>
      <c r="Z341" s="6"/>
      <c r="AA341" s="6"/>
      <c r="AB341" s="6"/>
      <c r="AC341" s="6"/>
      <c r="AD341" s="6"/>
      <c r="AE341" s="6"/>
    </row>
    <row r="342">
      <c r="A342" s="19">
        <f t="shared" si="2"/>
        <v>341</v>
      </c>
      <c r="B342" s="20" t="s">
        <v>1693</v>
      </c>
      <c r="C342" s="20" t="s">
        <v>1694</v>
      </c>
      <c r="D342" s="108" t="s">
        <v>38</v>
      </c>
      <c r="E342" s="22">
        <v>46113.46527777778</v>
      </c>
      <c r="F342" s="22">
        <v>46113.60486111111</v>
      </c>
      <c r="G342" s="20" t="s">
        <v>1695</v>
      </c>
      <c r="H342" s="20" t="s">
        <v>1696</v>
      </c>
      <c r="I342" s="20" t="s">
        <v>995</v>
      </c>
      <c r="J342" s="25"/>
      <c r="K342" s="20">
        <v>8.25080222E8</v>
      </c>
      <c r="L342" s="20" t="s">
        <v>1697</v>
      </c>
      <c r="M342" s="20" t="s">
        <v>30</v>
      </c>
      <c r="N342" s="25"/>
      <c r="O342" s="25"/>
      <c r="P342" s="26" t="s">
        <v>1698</v>
      </c>
      <c r="Q342" s="27" t="s">
        <v>1699</v>
      </c>
      <c r="R342" s="30">
        <v>0.0</v>
      </c>
      <c r="S342" s="25"/>
      <c r="T342" s="25"/>
      <c r="U342" s="25"/>
      <c r="V342" s="25"/>
      <c r="W342" s="25"/>
      <c r="X342" s="25"/>
      <c r="Y342" s="25"/>
      <c r="Z342" s="6"/>
      <c r="AA342" s="6"/>
      <c r="AB342" s="6"/>
      <c r="AC342" s="6"/>
      <c r="AD342" s="6"/>
      <c r="AE342" s="6"/>
    </row>
    <row r="343">
      <c r="A343" s="19">
        <f t="shared" si="2"/>
        <v>342</v>
      </c>
      <c r="B343" s="20" t="s">
        <v>1700</v>
      </c>
      <c r="C343" s="20" t="s">
        <v>1701</v>
      </c>
      <c r="D343" s="108" t="s">
        <v>38</v>
      </c>
      <c r="E343" s="22">
        <v>46113.5375</v>
      </c>
      <c r="F343" s="22">
        <v>46113.552083333336</v>
      </c>
      <c r="G343" s="20" t="s">
        <v>431</v>
      </c>
      <c r="H343" s="20" t="s">
        <v>1702</v>
      </c>
      <c r="I343" s="20" t="s">
        <v>1201</v>
      </c>
      <c r="J343" s="25"/>
      <c r="K343" s="20">
        <v>9.051140914E9</v>
      </c>
      <c r="L343" s="20" t="s">
        <v>1703</v>
      </c>
      <c r="M343" s="20" t="s">
        <v>30</v>
      </c>
      <c r="N343" s="25"/>
      <c r="O343" s="25"/>
      <c r="P343" s="26" t="s">
        <v>1704</v>
      </c>
      <c r="Q343" s="27" t="s">
        <v>1705</v>
      </c>
      <c r="R343" s="30">
        <v>0.0</v>
      </c>
      <c r="S343" s="25"/>
      <c r="T343" s="25"/>
      <c r="U343" s="25"/>
      <c r="V343" s="25"/>
      <c r="W343" s="25"/>
      <c r="X343" s="25"/>
      <c r="Y343" s="25"/>
      <c r="Z343" s="6"/>
      <c r="AA343" s="6"/>
      <c r="AB343" s="6"/>
      <c r="AC343" s="6"/>
      <c r="AD343" s="6"/>
      <c r="AE343" s="6"/>
    </row>
    <row r="344">
      <c r="A344" s="19">
        <f t="shared" si="2"/>
        <v>343</v>
      </c>
      <c r="B344" s="20" t="s">
        <v>1706</v>
      </c>
      <c r="C344" s="20" t="s">
        <v>1707</v>
      </c>
      <c r="D344" s="108" t="s">
        <v>38</v>
      </c>
      <c r="E344" s="22">
        <v>46113.55138888889</v>
      </c>
      <c r="F344" s="22">
        <v>46113.626388888886</v>
      </c>
      <c r="G344" s="20" t="s">
        <v>297</v>
      </c>
      <c r="H344" s="20" t="s">
        <v>1708</v>
      </c>
      <c r="I344" s="20" t="s">
        <v>995</v>
      </c>
      <c r="J344" s="25"/>
      <c r="K344" s="20">
        <v>9.032915454E9</v>
      </c>
      <c r="L344" s="20" t="s">
        <v>1709</v>
      </c>
      <c r="M344" s="20" t="s">
        <v>30</v>
      </c>
      <c r="N344" s="25"/>
      <c r="O344" s="25"/>
      <c r="P344" s="26" t="s">
        <v>1710</v>
      </c>
      <c r="Q344" s="27" t="s">
        <v>1711</v>
      </c>
      <c r="R344" s="30">
        <v>0.0</v>
      </c>
      <c r="S344" s="25"/>
      <c r="T344" s="25"/>
      <c r="U344" s="25"/>
      <c r="V344" s="25"/>
      <c r="W344" s="25"/>
      <c r="X344" s="25"/>
      <c r="Y344" s="25"/>
      <c r="Z344" s="6"/>
      <c r="AA344" s="6"/>
      <c r="AB344" s="6"/>
      <c r="AC344" s="6"/>
      <c r="AD344" s="6"/>
      <c r="AE344" s="6"/>
    </row>
    <row r="345">
      <c r="A345" s="19">
        <f t="shared" si="2"/>
        <v>344</v>
      </c>
      <c r="B345" s="20" t="s">
        <v>1712</v>
      </c>
      <c r="C345" s="20" t="s">
        <v>1602</v>
      </c>
      <c r="D345" s="108" t="s">
        <v>38</v>
      </c>
      <c r="E345" s="22">
        <v>46113.552083333336</v>
      </c>
      <c r="F345" s="22">
        <v>46113.56805555556</v>
      </c>
      <c r="G345" s="20" t="s">
        <v>1713</v>
      </c>
      <c r="H345" s="20" t="s">
        <v>1603</v>
      </c>
      <c r="I345" s="20" t="s">
        <v>995</v>
      </c>
      <c r="J345" s="25"/>
      <c r="K345" s="20">
        <v>9.047785554E9</v>
      </c>
      <c r="L345" s="20" t="s">
        <v>1474</v>
      </c>
      <c r="M345" s="20" t="s">
        <v>30</v>
      </c>
      <c r="N345" s="25"/>
      <c r="O345" s="25"/>
      <c r="P345" s="26" t="s">
        <v>1714</v>
      </c>
      <c r="Q345" s="27" t="s">
        <v>1715</v>
      </c>
      <c r="R345" s="30">
        <v>0.0</v>
      </c>
      <c r="S345" s="25"/>
      <c r="T345" s="25"/>
      <c r="U345" s="25"/>
      <c r="V345" s="25"/>
      <c r="W345" s="25"/>
      <c r="X345" s="25"/>
      <c r="Y345" s="25"/>
      <c r="Z345" s="6"/>
      <c r="AA345" s="6"/>
      <c r="AB345" s="6"/>
      <c r="AC345" s="6"/>
      <c r="AD345" s="6"/>
      <c r="AE345" s="6"/>
    </row>
    <row r="346">
      <c r="A346" s="19">
        <f t="shared" si="2"/>
        <v>345</v>
      </c>
      <c r="B346" s="20" t="s">
        <v>1716</v>
      </c>
      <c r="C346" s="20" t="s">
        <v>1717</v>
      </c>
      <c r="D346" s="108" t="s">
        <v>38</v>
      </c>
      <c r="E346" s="22">
        <v>46113.688888888886</v>
      </c>
      <c r="F346" s="22">
        <v>46113.72152777778</v>
      </c>
      <c r="G346" s="20" t="s">
        <v>431</v>
      </c>
      <c r="H346" s="20" t="s">
        <v>1718</v>
      </c>
      <c r="I346" s="20" t="s">
        <v>995</v>
      </c>
      <c r="J346" s="25"/>
      <c r="K346" s="20" t="s">
        <v>1719</v>
      </c>
      <c r="L346" s="20" t="s">
        <v>1720</v>
      </c>
      <c r="M346" s="20" t="s">
        <v>30</v>
      </c>
      <c r="N346" s="25"/>
      <c r="O346" s="25"/>
      <c r="P346" s="26" t="s">
        <v>1721</v>
      </c>
      <c r="Q346" s="27" t="s">
        <v>1722</v>
      </c>
      <c r="R346" s="30">
        <v>0.0</v>
      </c>
      <c r="S346" s="25"/>
      <c r="T346" s="25"/>
      <c r="U346" s="25"/>
      <c r="V346" s="25"/>
      <c r="W346" s="25"/>
      <c r="X346" s="25"/>
      <c r="Y346" s="25"/>
      <c r="Z346" s="6"/>
      <c r="AA346" s="6"/>
      <c r="AB346" s="6"/>
      <c r="AC346" s="6"/>
      <c r="AD346" s="6"/>
      <c r="AE346" s="6"/>
    </row>
    <row r="347">
      <c r="A347" s="19">
        <f t="shared" si="2"/>
        <v>346</v>
      </c>
      <c r="B347" s="20" t="s">
        <v>1723</v>
      </c>
      <c r="C347" s="20" t="s">
        <v>1724</v>
      </c>
      <c r="D347" s="108" t="s">
        <v>38</v>
      </c>
      <c r="E347" s="22">
        <v>46113.70486111111</v>
      </c>
      <c r="F347" s="22">
        <v>46113.705555555556</v>
      </c>
      <c r="G347" s="20" t="s">
        <v>431</v>
      </c>
      <c r="H347" s="20" t="s">
        <v>1725</v>
      </c>
      <c r="I347" s="20" t="s">
        <v>1201</v>
      </c>
      <c r="J347" s="20" t="s">
        <v>1723</v>
      </c>
      <c r="K347" s="20">
        <v>9.056369693E9</v>
      </c>
      <c r="L347" s="20" t="s">
        <v>1726</v>
      </c>
      <c r="M347" s="20" t="s">
        <v>1727</v>
      </c>
      <c r="N347" s="25"/>
      <c r="O347" s="25"/>
      <c r="P347" s="26" t="s">
        <v>1728</v>
      </c>
      <c r="Q347" s="27" t="s">
        <v>1729</v>
      </c>
      <c r="R347" s="30">
        <v>0.0</v>
      </c>
      <c r="S347" s="25"/>
      <c r="T347" s="25"/>
      <c r="U347" s="25"/>
      <c r="V347" s="25"/>
      <c r="W347" s="25"/>
      <c r="X347" s="25"/>
      <c r="Y347" s="25"/>
      <c r="Z347" s="6"/>
      <c r="AA347" s="6"/>
      <c r="AB347" s="6"/>
      <c r="AC347" s="6"/>
      <c r="AD347" s="6"/>
      <c r="AE347" s="6"/>
    </row>
    <row r="348">
      <c r="A348" s="19">
        <f t="shared" si="2"/>
        <v>347</v>
      </c>
      <c r="B348" s="20" t="s">
        <v>1730</v>
      </c>
      <c r="C348" s="20" t="s">
        <v>1731</v>
      </c>
      <c r="D348" s="108" t="s">
        <v>38</v>
      </c>
      <c r="E348" s="22">
        <v>46113.708333333336</v>
      </c>
      <c r="F348" s="22">
        <v>46113.73611111111</v>
      </c>
      <c r="G348" s="20" t="s">
        <v>431</v>
      </c>
      <c r="H348" s="20" t="s">
        <v>1732</v>
      </c>
      <c r="I348" s="20" t="s">
        <v>995</v>
      </c>
      <c r="J348" s="20" t="s">
        <v>1733</v>
      </c>
      <c r="K348" s="20" t="s">
        <v>1734</v>
      </c>
      <c r="L348" s="20" t="s">
        <v>1735</v>
      </c>
      <c r="M348" s="20" t="s">
        <v>1351</v>
      </c>
      <c r="N348" s="25"/>
      <c r="O348" s="25"/>
      <c r="P348" s="26" t="s">
        <v>1736</v>
      </c>
      <c r="Q348" s="27" t="s">
        <v>1737</v>
      </c>
      <c r="R348" s="30">
        <v>0.0</v>
      </c>
      <c r="S348" s="25"/>
      <c r="T348" s="25"/>
      <c r="U348" s="25"/>
      <c r="V348" s="25"/>
      <c r="W348" s="25"/>
      <c r="X348" s="25"/>
      <c r="Y348" s="25"/>
      <c r="Z348" s="6"/>
      <c r="AA348" s="6"/>
      <c r="AB348" s="6"/>
      <c r="AC348" s="6"/>
      <c r="AD348" s="6"/>
      <c r="AE348" s="6"/>
    </row>
    <row r="349">
      <c r="A349" s="7">
        <f t="shared" si="2"/>
        <v>348</v>
      </c>
      <c r="B349" s="31" t="s">
        <v>1738</v>
      </c>
      <c r="C349" s="31" t="s">
        <v>1739</v>
      </c>
      <c r="D349" s="110" t="s">
        <v>165</v>
      </c>
      <c r="E349" s="6"/>
      <c r="F349" s="6"/>
      <c r="G349" s="31" t="s">
        <v>431</v>
      </c>
      <c r="H349" s="31" t="s">
        <v>1740</v>
      </c>
      <c r="I349" s="31" t="s">
        <v>1201</v>
      </c>
      <c r="J349" s="6"/>
      <c r="K349" s="31">
        <v>9.023765033E9</v>
      </c>
      <c r="L349" s="31" t="s">
        <v>1741</v>
      </c>
      <c r="M349" s="31" t="s">
        <v>30</v>
      </c>
      <c r="N349" s="6"/>
      <c r="O349" s="6"/>
      <c r="P349" s="35"/>
      <c r="Q349" s="35"/>
      <c r="R349" s="36">
        <v>0.0</v>
      </c>
      <c r="S349" s="6"/>
      <c r="T349" s="6"/>
      <c r="U349" s="6"/>
      <c r="V349" s="6"/>
      <c r="W349" s="6"/>
      <c r="X349" s="6"/>
      <c r="Y349" s="6"/>
      <c r="Z349" s="6"/>
      <c r="AA349" s="6"/>
      <c r="AB349" s="6"/>
      <c r="AC349" s="6"/>
      <c r="AD349" s="6"/>
      <c r="AE349" s="6"/>
    </row>
    <row r="350">
      <c r="A350" s="19">
        <f t="shared" si="2"/>
        <v>349</v>
      </c>
      <c r="B350" s="20" t="s">
        <v>1742</v>
      </c>
      <c r="C350" s="20" t="s">
        <v>1743</v>
      </c>
      <c r="D350" s="108" t="s">
        <v>38</v>
      </c>
      <c r="E350" s="22">
        <v>46113.816666666666</v>
      </c>
      <c r="F350" s="22">
        <v>46113.93541666667</v>
      </c>
      <c r="G350" s="20" t="s">
        <v>431</v>
      </c>
      <c r="H350" s="20" t="s">
        <v>1744</v>
      </c>
      <c r="I350" s="20" t="s">
        <v>995</v>
      </c>
      <c r="J350" s="25"/>
      <c r="K350" s="20">
        <v>3.65555349E8</v>
      </c>
      <c r="L350" s="20" t="s">
        <v>1745</v>
      </c>
      <c r="M350" s="20" t="s">
        <v>30</v>
      </c>
      <c r="N350" s="25"/>
      <c r="O350" s="25"/>
      <c r="P350" s="26" t="s">
        <v>1746</v>
      </c>
      <c r="Q350" s="27" t="s">
        <v>1747</v>
      </c>
      <c r="R350" s="30">
        <v>0.0</v>
      </c>
      <c r="S350" s="25"/>
      <c r="T350" s="25"/>
      <c r="U350" s="25"/>
      <c r="V350" s="25"/>
      <c r="W350" s="25"/>
      <c r="X350" s="25"/>
      <c r="Y350" s="25"/>
      <c r="Z350" s="6"/>
      <c r="AA350" s="6"/>
      <c r="AB350" s="6"/>
      <c r="AC350" s="6"/>
      <c r="AD350" s="6"/>
      <c r="AE350" s="6"/>
    </row>
    <row r="351">
      <c r="A351" s="19">
        <f t="shared" si="2"/>
        <v>350</v>
      </c>
      <c r="B351" s="20" t="s">
        <v>1748</v>
      </c>
      <c r="C351" s="20" t="s">
        <v>1749</v>
      </c>
      <c r="D351" s="108" t="s">
        <v>38</v>
      </c>
      <c r="E351" s="22">
        <v>46114.21388888889</v>
      </c>
      <c r="F351" s="22">
        <v>46114.21527777778</v>
      </c>
      <c r="G351" s="20" t="s">
        <v>297</v>
      </c>
      <c r="H351" s="20" t="s">
        <v>1750</v>
      </c>
      <c r="I351" s="20" t="s">
        <v>1201</v>
      </c>
      <c r="J351" s="25"/>
      <c r="K351" s="20">
        <v>8.053008838E9</v>
      </c>
      <c r="L351" s="20" t="s">
        <v>1751</v>
      </c>
      <c r="M351" s="20" t="s">
        <v>30</v>
      </c>
      <c r="N351" s="25"/>
      <c r="O351" s="25"/>
      <c r="P351" s="26" t="s">
        <v>1752</v>
      </c>
      <c r="Q351" s="27" t="s">
        <v>1753</v>
      </c>
      <c r="R351" s="30">
        <v>0.0</v>
      </c>
      <c r="S351" s="25"/>
      <c r="T351" s="25"/>
      <c r="U351" s="25"/>
      <c r="V351" s="25"/>
      <c r="W351" s="25"/>
      <c r="X351" s="25"/>
      <c r="Y351" s="25"/>
      <c r="Z351" s="6"/>
      <c r="AA351" s="6"/>
      <c r="AB351" s="6"/>
      <c r="AC351" s="6"/>
      <c r="AD351" s="6"/>
      <c r="AE351" s="6"/>
    </row>
    <row r="352">
      <c r="A352" s="7">
        <f t="shared" si="2"/>
        <v>351</v>
      </c>
      <c r="B352" s="31" t="s">
        <v>1754</v>
      </c>
      <c r="C352" s="31" t="s">
        <v>1755</v>
      </c>
      <c r="D352" s="110" t="s">
        <v>27</v>
      </c>
      <c r="E352" s="32">
        <v>46114.36666666667</v>
      </c>
      <c r="F352" s="6"/>
      <c r="G352" s="31" t="s">
        <v>28</v>
      </c>
      <c r="H352" s="31" t="s">
        <v>1756</v>
      </c>
      <c r="I352" s="31" t="s">
        <v>995</v>
      </c>
      <c r="J352" s="6"/>
      <c r="K352" s="31">
        <v>2.56934121E8</v>
      </c>
      <c r="L352" s="31" t="s">
        <v>1757</v>
      </c>
      <c r="M352" s="31" t="s">
        <v>30</v>
      </c>
      <c r="N352" s="6"/>
      <c r="O352" s="6"/>
      <c r="P352" s="34" t="s">
        <v>1758</v>
      </c>
      <c r="Q352" s="35"/>
      <c r="R352" s="36">
        <v>0.0</v>
      </c>
      <c r="S352" s="6"/>
      <c r="T352" s="6"/>
      <c r="U352" s="6"/>
      <c r="V352" s="6"/>
      <c r="W352" s="6"/>
      <c r="X352" s="6"/>
      <c r="Y352" s="6"/>
      <c r="Z352" s="6"/>
      <c r="AA352" s="6"/>
      <c r="AB352" s="6"/>
      <c r="AC352" s="6"/>
      <c r="AD352" s="6"/>
      <c r="AE352" s="6"/>
    </row>
    <row r="353">
      <c r="A353" s="7">
        <f t="shared" si="2"/>
        <v>352</v>
      </c>
      <c r="B353" s="31" t="s">
        <v>1759</v>
      </c>
      <c r="C353" s="31" t="s">
        <v>1760</v>
      </c>
      <c r="D353" s="110" t="s">
        <v>27</v>
      </c>
      <c r="E353" s="32">
        <v>46114.49375</v>
      </c>
      <c r="F353" s="6"/>
      <c r="G353" s="31" t="s">
        <v>431</v>
      </c>
      <c r="H353" s="31" t="s">
        <v>1761</v>
      </c>
      <c r="I353" s="31" t="s">
        <v>995</v>
      </c>
      <c r="J353" s="6"/>
      <c r="K353" s="31">
        <v>9.057829868E9</v>
      </c>
      <c r="L353" s="31" t="s">
        <v>1762</v>
      </c>
      <c r="M353" s="31" t="s">
        <v>30</v>
      </c>
      <c r="N353" s="6"/>
      <c r="O353" s="6"/>
      <c r="P353" s="34" t="s">
        <v>1763</v>
      </c>
      <c r="Q353" s="35"/>
      <c r="R353" s="36">
        <v>0.0</v>
      </c>
      <c r="S353" s="6"/>
      <c r="T353" s="6"/>
      <c r="U353" s="6"/>
      <c r="V353" s="6"/>
      <c r="W353" s="6"/>
      <c r="X353" s="6"/>
      <c r="Y353" s="6"/>
      <c r="Z353" s="6"/>
      <c r="AA353" s="6"/>
      <c r="AB353" s="6"/>
      <c r="AC353" s="6"/>
      <c r="AD353" s="6"/>
      <c r="AE353" s="6"/>
    </row>
    <row r="354">
      <c r="A354" s="7">
        <f t="shared" si="2"/>
        <v>353</v>
      </c>
      <c r="B354" s="31" t="s">
        <v>1764</v>
      </c>
      <c r="C354" s="31" t="s">
        <v>1765</v>
      </c>
      <c r="D354" s="110" t="s">
        <v>27</v>
      </c>
      <c r="E354" s="32">
        <v>46114.49513888889</v>
      </c>
      <c r="F354" s="6"/>
      <c r="G354" s="31" t="s">
        <v>1594</v>
      </c>
      <c r="H354" s="31" t="s">
        <v>1766</v>
      </c>
      <c r="I354" s="31" t="s">
        <v>1201</v>
      </c>
      <c r="J354" s="31" t="s">
        <v>1767</v>
      </c>
      <c r="K354" s="31" t="s">
        <v>1768</v>
      </c>
      <c r="L354" s="31" t="s">
        <v>1769</v>
      </c>
      <c r="M354" s="31" t="s">
        <v>1770</v>
      </c>
      <c r="N354" s="6"/>
      <c r="O354" s="6"/>
      <c r="P354" s="34" t="s">
        <v>1771</v>
      </c>
      <c r="Q354" s="35"/>
      <c r="R354" s="36">
        <v>0.0</v>
      </c>
      <c r="S354" s="6"/>
      <c r="T354" s="6"/>
      <c r="U354" s="6"/>
      <c r="V354" s="6"/>
      <c r="W354" s="6"/>
      <c r="X354" s="6"/>
      <c r="Y354" s="6"/>
      <c r="Z354" s="6"/>
      <c r="AA354" s="6"/>
      <c r="AB354" s="6"/>
      <c r="AC354" s="6"/>
      <c r="AD354" s="6"/>
      <c r="AE354" s="6"/>
    </row>
    <row r="355">
      <c r="A355" s="19">
        <f t="shared" si="2"/>
        <v>354</v>
      </c>
      <c r="B355" s="20" t="s">
        <v>1772</v>
      </c>
      <c r="C355" s="20" t="s">
        <v>1773</v>
      </c>
      <c r="D355" s="108" t="s">
        <v>38</v>
      </c>
      <c r="E355" s="22">
        <v>46114.65625</v>
      </c>
      <c r="F355" s="22">
        <v>46114.65902777778</v>
      </c>
      <c r="G355" s="20" t="s">
        <v>431</v>
      </c>
      <c r="H355" s="20" t="s">
        <v>1774</v>
      </c>
      <c r="I355" s="20" t="s">
        <v>995</v>
      </c>
      <c r="J355" s="25"/>
      <c r="K355" s="20">
        <v>8.041330934E9</v>
      </c>
      <c r="L355" s="20" t="s">
        <v>1775</v>
      </c>
      <c r="M355" s="20" t="s">
        <v>30</v>
      </c>
      <c r="N355" s="25"/>
      <c r="O355" s="25"/>
      <c r="P355" s="26" t="s">
        <v>1776</v>
      </c>
      <c r="Q355" s="27" t="s">
        <v>1777</v>
      </c>
      <c r="R355" s="30">
        <v>0.0</v>
      </c>
      <c r="S355" s="25"/>
      <c r="T355" s="25"/>
      <c r="U355" s="25"/>
      <c r="V355" s="25"/>
      <c r="W355" s="25"/>
      <c r="X355" s="25"/>
      <c r="Y355" s="25"/>
      <c r="Z355" s="6"/>
      <c r="AA355" s="6"/>
      <c r="AB355" s="6"/>
      <c r="AC355" s="6"/>
      <c r="AD355" s="6"/>
      <c r="AE355" s="6"/>
    </row>
    <row r="356">
      <c r="A356" s="19">
        <f t="shared" si="2"/>
        <v>355</v>
      </c>
      <c r="B356" s="20" t="s">
        <v>1778</v>
      </c>
      <c r="C356" s="20" t="s">
        <v>1779</v>
      </c>
      <c r="D356" s="108" t="s">
        <v>38</v>
      </c>
      <c r="E356" s="22">
        <v>46114.69513888889</v>
      </c>
      <c r="F356" s="22">
        <v>46114.69930555556</v>
      </c>
      <c r="G356" s="20" t="s">
        <v>431</v>
      </c>
      <c r="H356" s="20" t="s">
        <v>1780</v>
      </c>
      <c r="I356" s="20" t="s">
        <v>995</v>
      </c>
      <c r="J356" s="25"/>
      <c r="K356" s="20">
        <v>8.058048854E9</v>
      </c>
      <c r="L356" s="20" t="s">
        <v>1781</v>
      </c>
      <c r="M356" s="20" t="s">
        <v>30</v>
      </c>
      <c r="N356" s="25"/>
      <c r="O356" s="25"/>
      <c r="P356" s="26" t="s">
        <v>1782</v>
      </c>
      <c r="Q356" s="27" t="s">
        <v>1783</v>
      </c>
      <c r="R356" s="30">
        <v>0.0</v>
      </c>
      <c r="S356" s="25"/>
      <c r="T356" s="25"/>
      <c r="U356" s="25"/>
      <c r="V356" s="25"/>
      <c r="W356" s="25"/>
      <c r="X356" s="25"/>
      <c r="Y356" s="25"/>
      <c r="Z356" s="6"/>
      <c r="AA356" s="6"/>
      <c r="AB356" s="6"/>
      <c r="AC356" s="6"/>
      <c r="AD356" s="6"/>
      <c r="AE356" s="6"/>
    </row>
    <row r="357">
      <c r="A357" s="7" t="str">
        <f t="shared" si="2"/>
        <v/>
      </c>
      <c r="B357" s="6"/>
      <c r="C357" s="6"/>
      <c r="D357" s="113"/>
      <c r="E357" s="6"/>
      <c r="F357" s="6"/>
      <c r="G357" s="6"/>
      <c r="H357" s="6"/>
      <c r="I357" s="6"/>
      <c r="J357" s="6"/>
      <c r="K357" s="6"/>
      <c r="L357" s="6"/>
      <c r="M357" s="6"/>
      <c r="N357" s="6"/>
      <c r="O357" s="6"/>
      <c r="P357" s="35"/>
      <c r="Q357" s="35"/>
      <c r="R357" s="6"/>
      <c r="S357" s="6"/>
      <c r="T357" s="6"/>
      <c r="U357" s="6"/>
      <c r="V357" s="6"/>
      <c r="W357" s="6"/>
      <c r="X357" s="6"/>
      <c r="Y357" s="6"/>
      <c r="Z357" s="6"/>
      <c r="AA357" s="6"/>
      <c r="AB357" s="6"/>
      <c r="AC357" s="6"/>
      <c r="AD357" s="6"/>
      <c r="AE357" s="6"/>
    </row>
    <row r="358">
      <c r="A358" s="7" t="str">
        <f t="shared" si="2"/>
        <v/>
      </c>
      <c r="B358" s="6"/>
      <c r="C358" s="6"/>
      <c r="D358" s="113"/>
      <c r="E358" s="6"/>
      <c r="F358" s="6"/>
      <c r="G358" s="6"/>
      <c r="H358" s="6"/>
      <c r="I358" s="6"/>
      <c r="J358" s="6"/>
      <c r="K358" s="6"/>
      <c r="L358" s="6"/>
      <c r="M358" s="6"/>
      <c r="N358" s="6"/>
      <c r="O358" s="6"/>
      <c r="P358" s="35"/>
      <c r="Q358" s="35"/>
      <c r="R358" s="6"/>
      <c r="S358" s="6"/>
      <c r="T358" s="6"/>
      <c r="U358" s="6"/>
      <c r="V358" s="6"/>
      <c r="W358" s="6"/>
      <c r="X358" s="6"/>
      <c r="Y358" s="6"/>
      <c r="Z358" s="6"/>
      <c r="AA358" s="6"/>
      <c r="AB358" s="6"/>
      <c r="AC358" s="6"/>
      <c r="AD358" s="6"/>
      <c r="AE358" s="6"/>
    </row>
    <row r="359">
      <c r="A359" s="7" t="str">
        <f t="shared" si="2"/>
        <v/>
      </c>
      <c r="B359" s="6"/>
      <c r="C359" s="6"/>
      <c r="D359" s="113"/>
      <c r="E359" s="6"/>
      <c r="F359" s="6"/>
      <c r="G359" s="6"/>
      <c r="H359" s="6"/>
      <c r="I359" s="6"/>
      <c r="J359" s="6"/>
      <c r="K359" s="6"/>
      <c r="L359" s="6"/>
      <c r="M359" s="6"/>
      <c r="N359" s="6"/>
      <c r="O359" s="6"/>
      <c r="P359" s="35"/>
      <c r="Q359" s="35"/>
      <c r="R359" s="6"/>
      <c r="S359" s="6"/>
      <c r="T359" s="6"/>
      <c r="U359" s="6"/>
      <c r="V359" s="6"/>
      <c r="W359" s="6"/>
      <c r="X359" s="6"/>
      <c r="Y359" s="6"/>
      <c r="Z359" s="6"/>
      <c r="AA359" s="6"/>
      <c r="AB359" s="6"/>
      <c r="AC359" s="6"/>
      <c r="AD359" s="6"/>
      <c r="AE359" s="6"/>
    </row>
    <row r="360">
      <c r="A360" s="7" t="str">
        <f t="shared" si="2"/>
        <v/>
      </c>
      <c r="B360" s="6"/>
      <c r="C360" s="6"/>
      <c r="D360" s="113"/>
      <c r="E360" s="6"/>
      <c r="F360" s="6"/>
      <c r="G360" s="6"/>
      <c r="H360" s="6"/>
      <c r="I360" s="6"/>
      <c r="J360" s="6"/>
      <c r="K360" s="6"/>
      <c r="L360" s="6"/>
      <c r="M360" s="6"/>
      <c r="N360" s="6"/>
      <c r="O360" s="6"/>
      <c r="P360" s="35"/>
      <c r="Q360" s="35"/>
      <c r="R360" s="6"/>
      <c r="S360" s="6"/>
      <c r="T360" s="6"/>
      <c r="U360" s="6"/>
      <c r="V360" s="6"/>
      <c r="W360" s="6"/>
      <c r="X360" s="6"/>
      <c r="Y360" s="6"/>
      <c r="Z360" s="6"/>
      <c r="AA360" s="6"/>
      <c r="AB360" s="6"/>
      <c r="AC360" s="6"/>
      <c r="AD360" s="6"/>
      <c r="AE360" s="6"/>
    </row>
    <row r="361">
      <c r="A361" s="7" t="str">
        <f t="shared" si="2"/>
        <v/>
      </c>
      <c r="B361" s="6"/>
      <c r="C361" s="6"/>
      <c r="D361" s="113"/>
      <c r="E361" s="6"/>
      <c r="F361" s="6"/>
      <c r="G361" s="6"/>
      <c r="H361" s="6"/>
      <c r="I361" s="6"/>
      <c r="J361" s="6"/>
      <c r="K361" s="6"/>
      <c r="L361" s="6"/>
      <c r="M361" s="6"/>
      <c r="N361" s="6"/>
      <c r="O361" s="6"/>
      <c r="P361" s="35"/>
      <c r="Q361" s="35"/>
      <c r="R361" s="6"/>
      <c r="S361" s="6"/>
      <c r="T361" s="6"/>
      <c r="U361" s="6"/>
      <c r="V361" s="6"/>
      <c r="W361" s="6"/>
      <c r="X361" s="6"/>
      <c r="Y361" s="6"/>
      <c r="Z361" s="6"/>
      <c r="AA361" s="6"/>
      <c r="AB361" s="6"/>
      <c r="AC361" s="6"/>
      <c r="AD361" s="6"/>
      <c r="AE361" s="6"/>
    </row>
    <row r="362">
      <c r="A362" s="7" t="str">
        <f t="shared" si="2"/>
        <v/>
      </c>
      <c r="B362" s="6"/>
      <c r="C362" s="6"/>
      <c r="D362" s="113"/>
      <c r="E362" s="6"/>
      <c r="F362" s="6"/>
      <c r="G362" s="6"/>
      <c r="H362" s="6"/>
      <c r="I362" s="6"/>
      <c r="J362" s="6"/>
      <c r="K362" s="6"/>
      <c r="L362" s="6"/>
      <c r="M362" s="6"/>
      <c r="N362" s="6"/>
      <c r="O362" s="6"/>
      <c r="P362" s="35"/>
      <c r="Q362" s="35"/>
      <c r="R362" s="6"/>
      <c r="S362" s="6"/>
      <c r="T362" s="6"/>
      <c r="U362" s="6"/>
      <c r="V362" s="6"/>
      <c r="W362" s="6"/>
      <c r="X362" s="6"/>
      <c r="Y362" s="6"/>
      <c r="Z362" s="6"/>
      <c r="AA362" s="6"/>
      <c r="AB362" s="6"/>
      <c r="AC362" s="6"/>
      <c r="AD362" s="6"/>
      <c r="AE362" s="6"/>
    </row>
    <row r="363">
      <c r="A363" s="7" t="str">
        <f t="shared" si="2"/>
        <v/>
      </c>
      <c r="B363" s="6"/>
      <c r="C363" s="6"/>
      <c r="D363" s="113"/>
      <c r="E363" s="6"/>
      <c r="F363" s="6"/>
      <c r="G363" s="6"/>
      <c r="H363" s="6"/>
      <c r="I363" s="6"/>
      <c r="J363" s="6"/>
      <c r="K363" s="6"/>
      <c r="L363" s="6"/>
      <c r="M363" s="6"/>
      <c r="N363" s="6"/>
      <c r="O363" s="6"/>
      <c r="P363" s="35"/>
      <c r="Q363" s="35"/>
      <c r="R363" s="6"/>
      <c r="S363" s="6"/>
      <c r="T363" s="6"/>
      <c r="U363" s="6"/>
      <c r="V363" s="6"/>
      <c r="W363" s="6"/>
      <c r="X363" s="6"/>
      <c r="Y363" s="6"/>
      <c r="Z363" s="6"/>
      <c r="AA363" s="6"/>
      <c r="AB363" s="6"/>
      <c r="AC363" s="6"/>
      <c r="AD363" s="6"/>
      <c r="AE363" s="6"/>
    </row>
    <row r="364">
      <c r="A364" s="7" t="str">
        <f t="shared" si="2"/>
        <v/>
      </c>
      <c r="B364" s="6"/>
      <c r="C364" s="6"/>
      <c r="D364" s="113"/>
      <c r="E364" s="6"/>
      <c r="F364" s="6"/>
      <c r="G364" s="6"/>
      <c r="H364" s="6"/>
      <c r="I364" s="6"/>
      <c r="J364" s="6"/>
      <c r="K364" s="6"/>
      <c r="L364" s="6"/>
      <c r="M364" s="6"/>
      <c r="N364" s="6"/>
      <c r="O364" s="6"/>
      <c r="P364" s="35"/>
      <c r="Q364" s="35"/>
      <c r="R364" s="6"/>
      <c r="S364" s="6"/>
      <c r="T364" s="6"/>
      <c r="U364" s="6"/>
      <c r="V364" s="6"/>
      <c r="W364" s="6"/>
      <c r="X364" s="6"/>
      <c r="Y364" s="6"/>
      <c r="Z364" s="6"/>
      <c r="AA364" s="6"/>
      <c r="AB364" s="6"/>
      <c r="AC364" s="6"/>
      <c r="AD364" s="6"/>
      <c r="AE364" s="6"/>
    </row>
    <row r="365">
      <c r="A365" s="7" t="str">
        <f t="shared" si="2"/>
        <v/>
      </c>
      <c r="B365" s="6"/>
      <c r="C365" s="6"/>
      <c r="D365" s="113"/>
      <c r="E365" s="6"/>
      <c r="F365" s="6"/>
      <c r="G365" s="6"/>
      <c r="H365" s="6"/>
      <c r="I365" s="6"/>
      <c r="J365" s="6"/>
      <c r="K365" s="6"/>
      <c r="L365" s="6"/>
      <c r="M365" s="6"/>
      <c r="N365" s="6"/>
      <c r="O365" s="6"/>
      <c r="P365" s="35"/>
      <c r="Q365" s="35"/>
      <c r="R365" s="6"/>
      <c r="S365" s="6"/>
      <c r="T365" s="6"/>
      <c r="U365" s="6"/>
      <c r="V365" s="6"/>
      <c r="W365" s="6"/>
      <c r="X365" s="6"/>
      <c r="Y365" s="6"/>
      <c r="Z365" s="6"/>
      <c r="AA365" s="6"/>
      <c r="AB365" s="6"/>
      <c r="AC365" s="6"/>
      <c r="AD365" s="6"/>
      <c r="AE365" s="6"/>
    </row>
    <row r="366">
      <c r="A366" s="7" t="str">
        <f t="shared" si="2"/>
        <v/>
      </c>
      <c r="B366" s="6"/>
      <c r="C366" s="6"/>
      <c r="D366" s="113"/>
      <c r="E366" s="6"/>
      <c r="F366" s="6"/>
      <c r="G366" s="6"/>
      <c r="H366" s="6"/>
      <c r="I366" s="6"/>
      <c r="J366" s="6"/>
      <c r="K366" s="6"/>
      <c r="L366" s="6"/>
      <c r="M366" s="6"/>
      <c r="N366" s="6"/>
      <c r="O366" s="6"/>
      <c r="P366" s="35"/>
      <c r="Q366" s="35"/>
      <c r="R366" s="6"/>
      <c r="S366" s="6"/>
      <c r="T366" s="6"/>
      <c r="U366" s="6"/>
      <c r="V366" s="6"/>
      <c r="W366" s="6"/>
      <c r="X366" s="6"/>
      <c r="Y366" s="6"/>
      <c r="Z366" s="6"/>
      <c r="AA366" s="6"/>
      <c r="AB366" s="6"/>
      <c r="AC366" s="6"/>
      <c r="AD366" s="6"/>
      <c r="AE366" s="6"/>
    </row>
    <row r="367">
      <c r="A367" s="7" t="str">
        <f t="shared" si="2"/>
        <v/>
      </c>
      <c r="B367" s="6"/>
      <c r="C367" s="6"/>
      <c r="D367" s="113"/>
      <c r="E367" s="6"/>
      <c r="F367" s="6"/>
      <c r="G367" s="6"/>
      <c r="H367" s="6"/>
      <c r="I367" s="6"/>
      <c r="J367" s="6"/>
      <c r="K367" s="6"/>
      <c r="L367" s="6"/>
      <c r="M367" s="6"/>
      <c r="N367" s="6"/>
      <c r="O367" s="6"/>
      <c r="P367" s="35"/>
      <c r="Q367" s="35"/>
      <c r="R367" s="6"/>
      <c r="S367" s="6"/>
      <c r="T367" s="6"/>
      <c r="U367" s="6"/>
      <c r="V367" s="6"/>
      <c r="W367" s="6"/>
      <c r="X367" s="6"/>
      <c r="Y367" s="6"/>
      <c r="Z367" s="6"/>
      <c r="AA367" s="6"/>
      <c r="AB367" s="6"/>
      <c r="AC367" s="6"/>
      <c r="AD367" s="6"/>
      <c r="AE367" s="6"/>
    </row>
    <row r="368">
      <c r="A368" s="7" t="str">
        <f t="shared" si="2"/>
        <v/>
      </c>
      <c r="B368" s="6"/>
      <c r="C368" s="6"/>
      <c r="D368" s="113"/>
      <c r="E368" s="6"/>
      <c r="F368" s="6"/>
      <c r="G368" s="6"/>
      <c r="H368" s="6"/>
      <c r="I368" s="6"/>
      <c r="J368" s="6"/>
      <c r="K368" s="6"/>
      <c r="L368" s="6"/>
      <c r="M368" s="6"/>
      <c r="N368" s="6"/>
      <c r="O368" s="6"/>
      <c r="P368" s="35"/>
      <c r="Q368" s="35"/>
      <c r="R368" s="6"/>
      <c r="S368" s="6"/>
      <c r="T368" s="6"/>
      <c r="U368" s="6"/>
      <c r="V368" s="6"/>
      <c r="W368" s="6"/>
      <c r="X368" s="6"/>
      <c r="Y368" s="6"/>
      <c r="Z368" s="6"/>
      <c r="AA368" s="6"/>
      <c r="AB368" s="6"/>
      <c r="AC368" s="6"/>
      <c r="AD368" s="6"/>
      <c r="AE368" s="6"/>
    </row>
    <row r="369">
      <c r="A369" s="7" t="str">
        <f t="shared" si="2"/>
        <v/>
      </c>
      <c r="B369" s="6"/>
      <c r="C369" s="6"/>
      <c r="D369" s="113"/>
      <c r="E369" s="6"/>
      <c r="F369" s="6"/>
      <c r="G369" s="6"/>
      <c r="H369" s="6"/>
      <c r="I369" s="6"/>
      <c r="J369" s="6"/>
      <c r="K369" s="6"/>
      <c r="L369" s="6"/>
      <c r="M369" s="6"/>
      <c r="N369" s="6"/>
      <c r="O369" s="6"/>
      <c r="P369" s="35"/>
      <c r="Q369" s="35"/>
      <c r="R369" s="6"/>
      <c r="S369" s="6"/>
      <c r="T369" s="6"/>
      <c r="U369" s="6"/>
      <c r="V369" s="6"/>
      <c r="W369" s="6"/>
      <c r="X369" s="6"/>
      <c r="Y369" s="6"/>
      <c r="Z369" s="6"/>
      <c r="AA369" s="6"/>
      <c r="AB369" s="6"/>
      <c r="AC369" s="6"/>
      <c r="AD369" s="6"/>
      <c r="AE369" s="6"/>
    </row>
    <row r="370">
      <c r="A370" s="7" t="str">
        <f t="shared" si="2"/>
        <v/>
      </c>
      <c r="B370" s="6"/>
      <c r="C370" s="6"/>
      <c r="D370" s="113"/>
      <c r="E370" s="6"/>
      <c r="F370" s="6"/>
      <c r="G370" s="6"/>
      <c r="H370" s="6"/>
      <c r="I370" s="6"/>
      <c r="J370" s="6"/>
      <c r="K370" s="6"/>
      <c r="L370" s="6"/>
      <c r="M370" s="6"/>
      <c r="N370" s="6"/>
      <c r="O370" s="6"/>
      <c r="P370" s="35"/>
      <c r="Q370" s="35"/>
      <c r="R370" s="6"/>
      <c r="S370" s="6"/>
      <c r="T370" s="6"/>
      <c r="U370" s="6"/>
      <c r="V370" s="6"/>
      <c r="W370" s="6"/>
      <c r="X370" s="6"/>
      <c r="Y370" s="6"/>
      <c r="Z370" s="6"/>
      <c r="AA370" s="6"/>
      <c r="AB370" s="6"/>
      <c r="AC370" s="6"/>
      <c r="AD370" s="6"/>
      <c r="AE370" s="6"/>
    </row>
    <row r="371">
      <c r="A371" s="7" t="str">
        <f t="shared" si="2"/>
        <v/>
      </c>
      <c r="B371" s="6"/>
      <c r="C371" s="6"/>
      <c r="D371" s="113"/>
      <c r="E371" s="6"/>
      <c r="F371" s="6"/>
      <c r="G371" s="6"/>
      <c r="H371" s="6"/>
      <c r="I371" s="6"/>
      <c r="J371" s="6"/>
      <c r="K371" s="6"/>
      <c r="L371" s="6"/>
      <c r="M371" s="6"/>
      <c r="N371" s="6"/>
      <c r="O371" s="6"/>
      <c r="P371" s="35"/>
      <c r="Q371" s="35"/>
      <c r="R371" s="6"/>
      <c r="S371" s="6"/>
      <c r="T371" s="6"/>
      <c r="U371" s="6"/>
      <c r="V371" s="6"/>
      <c r="W371" s="6"/>
      <c r="X371" s="6"/>
      <c r="Y371" s="6"/>
      <c r="Z371" s="6"/>
      <c r="AA371" s="6"/>
      <c r="AB371" s="6"/>
      <c r="AC371" s="6"/>
      <c r="AD371" s="6"/>
      <c r="AE371" s="6"/>
    </row>
    <row r="372">
      <c r="A372" s="7" t="str">
        <f t="shared" si="2"/>
        <v/>
      </c>
      <c r="B372" s="6"/>
      <c r="C372" s="6"/>
      <c r="D372" s="113"/>
      <c r="E372" s="6"/>
      <c r="F372" s="6"/>
      <c r="G372" s="6"/>
      <c r="H372" s="6"/>
      <c r="I372" s="6"/>
      <c r="J372" s="6"/>
      <c r="K372" s="6"/>
      <c r="L372" s="6"/>
      <c r="M372" s="6"/>
      <c r="N372" s="6"/>
      <c r="O372" s="6"/>
      <c r="P372" s="35"/>
      <c r="Q372" s="35"/>
      <c r="R372" s="6"/>
      <c r="S372" s="6"/>
      <c r="T372" s="6"/>
      <c r="U372" s="6"/>
      <c r="V372" s="6"/>
      <c r="W372" s="6"/>
      <c r="X372" s="6"/>
      <c r="Y372" s="6"/>
      <c r="Z372" s="6"/>
      <c r="AA372" s="6"/>
      <c r="AB372" s="6"/>
      <c r="AC372" s="6"/>
      <c r="AD372" s="6"/>
      <c r="AE372" s="6"/>
    </row>
    <row r="373">
      <c r="A373" s="7" t="str">
        <f t="shared" si="2"/>
        <v/>
      </c>
      <c r="B373" s="6"/>
      <c r="C373" s="6"/>
      <c r="D373" s="113"/>
      <c r="E373" s="6"/>
      <c r="F373" s="6"/>
      <c r="G373" s="6"/>
      <c r="H373" s="6"/>
      <c r="I373" s="6"/>
      <c r="J373" s="6"/>
      <c r="K373" s="6"/>
      <c r="L373" s="6"/>
      <c r="M373" s="6"/>
      <c r="N373" s="6"/>
      <c r="O373" s="6"/>
      <c r="P373" s="35"/>
      <c r="Q373" s="35"/>
      <c r="R373" s="6"/>
      <c r="S373" s="6"/>
      <c r="T373" s="6"/>
      <c r="U373" s="6"/>
      <c r="V373" s="6"/>
      <c r="W373" s="6"/>
      <c r="X373" s="6"/>
      <c r="Y373" s="6"/>
      <c r="Z373" s="6"/>
      <c r="AA373" s="6"/>
      <c r="AB373" s="6"/>
      <c r="AC373" s="6"/>
      <c r="AD373" s="6"/>
      <c r="AE373" s="6"/>
    </row>
    <row r="374">
      <c r="A374" s="7" t="str">
        <f t="shared" si="2"/>
        <v/>
      </c>
      <c r="B374" s="6"/>
      <c r="C374" s="6"/>
      <c r="D374" s="113"/>
      <c r="E374" s="6"/>
      <c r="F374" s="6"/>
      <c r="G374" s="6"/>
      <c r="H374" s="6"/>
      <c r="I374" s="6"/>
      <c r="J374" s="6"/>
      <c r="K374" s="6"/>
      <c r="L374" s="6"/>
      <c r="M374" s="6"/>
      <c r="N374" s="6"/>
      <c r="O374" s="6"/>
      <c r="P374" s="35"/>
      <c r="Q374" s="35"/>
      <c r="R374" s="6"/>
      <c r="S374" s="6"/>
      <c r="T374" s="6"/>
      <c r="U374" s="6"/>
      <c r="V374" s="6"/>
      <c r="W374" s="6"/>
      <c r="X374" s="6"/>
      <c r="Y374" s="6"/>
      <c r="Z374" s="6"/>
      <c r="AA374" s="6"/>
      <c r="AB374" s="6"/>
      <c r="AC374" s="6"/>
      <c r="AD374" s="6"/>
      <c r="AE374" s="6"/>
    </row>
    <row r="375">
      <c r="A375" s="7" t="str">
        <f t="shared" si="2"/>
        <v/>
      </c>
      <c r="B375" s="6"/>
      <c r="C375" s="6"/>
      <c r="D375" s="113"/>
      <c r="E375" s="6"/>
      <c r="F375" s="6"/>
      <c r="G375" s="6"/>
      <c r="H375" s="6"/>
      <c r="I375" s="6"/>
      <c r="J375" s="6"/>
      <c r="K375" s="6"/>
      <c r="L375" s="6"/>
      <c r="M375" s="6"/>
      <c r="N375" s="6"/>
      <c r="O375" s="6"/>
      <c r="P375" s="35"/>
      <c r="Q375" s="35"/>
      <c r="R375" s="6"/>
      <c r="S375" s="6"/>
      <c r="T375" s="6"/>
      <c r="U375" s="6"/>
      <c r="V375" s="6"/>
      <c r="W375" s="6"/>
      <c r="X375" s="6"/>
      <c r="Y375" s="6"/>
      <c r="Z375" s="6"/>
      <c r="AA375" s="6"/>
      <c r="AB375" s="6"/>
      <c r="AC375" s="6"/>
      <c r="AD375" s="6"/>
      <c r="AE375" s="6"/>
    </row>
    <row r="376">
      <c r="A376" s="7" t="str">
        <f t="shared" si="2"/>
        <v/>
      </c>
      <c r="B376" s="6"/>
      <c r="C376" s="6"/>
      <c r="D376" s="113"/>
      <c r="E376" s="6"/>
      <c r="F376" s="6"/>
      <c r="G376" s="6"/>
      <c r="H376" s="6"/>
      <c r="I376" s="6"/>
      <c r="J376" s="6"/>
      <c r="K376" s="6"/>
      <c r="L376" s="6"/>
      <c r="M376" s="6"/>
      <c r="N376" s="6"/>
      <c r="O376" s="6"/>
      <c r="P376" s="35"/>
      <c r="Q376" s="35"/>
      <c r="R376" s="6"/>
      <c r="S376" s="6"/>
      <c r="T376" s="6"/>
      <c r="U376" s="6"/>
      <c r="V376" s="6"/>
      <c r="W376" s="6"/>
      <c r="X376" s="6"/>
      <c r="Y376" s="6"/>
      <c r="Z376" s="6"/>
      <c r="AA376" s="6"/>
      <c r="AB376" s="6"/>
      <c r="AC376" s="6"/>
      <c r="AD376" s="6"/>
      <c r="AE376" s="6"/>
    </row>
    <row r="377">
      <c r="A377" s="7" t="str">
        <f t="shared" si="2"/>
        <v/>
      </c>
      <c r="B377" s="6"/>
      <c r="C377" s="6"/>
      <c r="D377" s="113"/>
      <c r="E377" s="6"/>
      <c r="F377" s="6"/>
      <c r="G377" s="6"/>
      <c r="H377" s="6"/>
      <c r="I377" s="6"/>
      <c r="J377" s="6"/>
      <c r="K377" s="6"/>
      <c r="L377" s="6"/>
      <c r="M377" s="6"/>
      <c r="N377" s="6"/>
      <c r="O377" s="6"/>
      <c r="P377" s="35"/>
      <c r="Q377" s="35"/>
      <c r="R377" s="6"/>
      <c r="S377" s="6"/>
      <c r="T377" s="6"/>
      <c r="U377" s="6"/>
      <c r="V377" s="6"/>
      <c r="W377" s="6"/>
      <c r="X377" s="6"/>
      <c r="Y377" s="6"/>
      <c r="Z377" s="6"/>
      <c r="AA377" s="6"/>
      <c r="AB377" s="6"/>
      <c r="AC377" s="6"/>
      <c r="AD377" s="6"/>
      <c r="AE377" s="6"/>
    </row>
    <row r="378">
      <c r="A378" s="7" t="str">
        <f t="shared" si="2"/>
        <v/>
      </c>
      <c r="B378" s="6"/>
      <c r="C378" s="6"/>
      <c r="D378" s="113"/>
      <c r="E378" s="6"/>
      <c r="F378" s="6"/>
      <c r="G378" s="6"/>
      <c r="H378" s="6"/>
      <c r="I378" s="6"/>
      <c r="J378" s="6"/>
      <c r="K378" s="6"/>
      <c r="L378" s="6"/>
      <c r="M378" s="6"/>
      <c r="N378" s="6"/>
      <c r="O378" s="6"/>
      <c r="P378" s="35"/>
      <c r="Q378" s="35"/>
      <c r="R378" s="6"/>
      <c r="S378" s="6"/>
      <c r="T378" s="6"/>
      <c r="U378" s="6"/>
      <c r="V378" s="6"/>
      <c r="W378" s="6"/>
      <c r="X378" s="6"/>
      <c r="Y378" s="6"/>
      <c r="Z378" s="6"/>
      <c r="AA378" s="6"/>
      <c r="AB378" s="6"/>
      <c r="AC378" s="6"/>
      <c r="AD378" s="6"/>
      <c r="AE378" s="6"/>
    </row>
    <row r="379">
      <c r="A379" s="7" t="str">
        <f t="shared" si="2"/>
        <v/>
      </c>
      <c r="B379" s="6"/>
      <c r="C379" s="6"/>
      <c r="D379" s="113"/>
      <c r="E379" s="6"/>
      <c r="F379" s="6"/>
      <c r="G379" s="6"/>
      <c r="H379" s="6"/>
      <c r="I379" s="6"/>
      <c r="J379" s="6"/>
      <c r="K379" s="6"/>
      <c r="L379" s="6"/>
      <c r="M379" s="6"/>
      <c r="N379" s="6"/>
      <c r="O379" s="6"/>
      <c r="P379" s="35"/>
      <c r="Q379" s="35"/>
      <c r="R379" s="6"/>
      <c r="S379" s="6"/>
      <c r="T379" s="6"/>
      <c r="U379" s="6"/>
      <c r="V379" s="6"/>
      <c r="W379" s="6"/>
      <c r="X379" s="6"/>
      <c r="Y379" s="6"/>
      <c r="Z379" s="6"/>
      <c r="AA379" s="6"/>
      <c r="AB379" s="6"/>
      <c r="AC379" s="6"/>
      <c r="AD379" s="6"/>
      <c r="AE379" s="6"/>
    </row>
    <row r="380">
      <c r="A380" s="7" t="str">
        <f t="shared" si="2"/>
        <v/>
      </c>
      <c r="B380" s="6"/>
      <c r="C380" s="6"/>
      <c r="D380" s="113"/>
      <c r="E380" s="6"/>
      <c r="F380" s="6"/>
      <c r="G380" s="6"/>
      <c r="H380" s="6"/>
      <c r="I380" s="6"/>
      <c r="J380" s="6"/>
      <c r="K380" s="6"/>
      <c r="L380" s="6"/>
      <c r="M380" s="6"/>
      <c r="N380" s="6"/>
      <c r="O380" s="6"/>
      <c r="P380" s="35"/>
      <c r="Q380" s="35"/>
      <c r="R380" s="6"/>
      <c r="S380" s="6"/>
      <c r="T380" s="6"/>
      <c r="U380" s="6"/>
      <c r="V380" s="6"/>
      <c r="W380" s="6"/>
      <c r="X380" s="6"/>
      <c r="Y380" s="6"/>
      <c r="Z380" s="6"/>
      <c r="AA380" s="6"/>
      <c r="AB380" s="6"/>
      <c r="AC380" s="6"/>
      <c r="AD380" s="6"/>
      <c r="AE380" s="6"/>
    </row>
    <row r="381">
      <c r="A381" s="7" t="str">
        <f t="shared" si="2"/>
        <v/>
      </c>
      <c r="B381" s="6"/>
      <c r="C381" s="6"/>
      <c r="D381" s="113"/>
      <c r="E381" s="6"/>
      <c r="F381" s="6"/>
      <c r="G381" s="6"/>
      <c r="H381" s="6"/>
      <c r="I381" s="6"/>
      <c r="J381" s="6"/>
      <c r="K381" s="6"/>
      <c r="L381" s="6"/>
      <c r="M381" s="6"/>
      <c r="N381" s="6"/>
      <c r="O381" s="6"/>
      <c r="P381" s="35"/>
      <c r="Q381" s="35"/>
      <c r="R381" s="6"/>
      <c r="S381" s="6"/>
      <c r="T381" s="6"/>
      <c r="U381" s="6"/>
      <c r="V381" s="6"/>
      <c r="W381" s="6"/>
      <c r="X381" s="6"/>
      <c r="Y381" s="6"/>
      <c r="Z381" s="6"/>
      <c r="AA381" s="6"/>
      <c r="AB381" s="6"/>
      <c r="AC381" s="6"/>
      <c r="AD381" s="6"/>
      <c r="AE381" s="6"/>
    </row>
    <row r="382">
      <c r="A382" s="7" t="str">
        <f t="shared" si="2"/>
        <v/>
      </c>
      <c r="B382" s="6"/>
      <c r="C382" s="6"/>
      <c r="D382" s="113"/>
      <c r="E382" s="6"/>
      <c r="F382" s="6"/>
      <c r="G382" s="6"/>
      <c r="H382" s="6"/>
      <c r="I382" s="6"/>
      <c r="J382" s="6"/>
      <c r="K382" s="6"/>
      <c r="L382" s="6"/>
      <c r="M382" s="6"/>
      <c r="N382" s="6"/>
      <c r="O382" s="6"/>
      <c r="P382" s="35"/>
      <c r="Q382" s="35"/>
      <c r="R382" s="6"/>
      <c r="S382" s="6"/>
      <c r="T382" s="6"/>
      <c r="U382" s="6"/>
      <c r="V382" s="6"/>
      <c r="W382" s="6"/>
      <c r="X382" s="6"/>
      <c r="Y382" s="6"/>
      <c r="Z382" s="6"/>
      <c r="AA382" s="6"/>
      <c r="AB382" s="6"/>
      <c r="AC382" s="6"/>
      <c r="AD382" s="6"/>
      <c r="AE382" s="6"/>
    </row>
    <row r="383">
      <c r="A383" s="7" t="str">
        <f t="shared" si="2"/>
        <v/>
      </c>
      <c r="B383" s="6"/>
      <c r="C383" s="6"/>
      <c r="D383" s="113"/>
      <c r="E383" s="6"/>
      <c r="F383" s="6"/>
      <c r="G383" s="6"/>
      <c r="H383" s="6"/>
      <c r="I383" s="6"/>
      <c r="J383" s="6"/>
      <c r="K383" s="6"/>
      <c r="L383" s="6"/>
      <c r="M383" s="6"/>
      <c r="N383" s="6"/>
      <c r="O383" s="6"/>
      <c r="P383" s="35"/>
      <c r="Q383" s="35"/>
      <c r="R383" s="6"/>
      <c r="S383" s="6"/>
      <c r="T383" s="6"/>
      <c r="U383" s="6"/>
      <c r="V383" s="6"/>
      <c r="W383" s="6"/>
      <c r="X383" s="6"/>
      <c r="Y383" s="6"/>
      <c r="Z383" s="6"/>
      <c r="AA383" s="6"/>
      <c r="AB383" s="6"/>
      <c r="AC383" s="6"/>
      <c r="AD383" s="6"/>
      <c r="AE383" s="6"/>
    </row>
    <row r="384">
      <c r="A384" s="7" t="str">
        <f t="shared" si="2"/>
        <v/>
      </c>
      <c r="B384" s="6"/>
      <c r="C384" s="6"/>
      <c r="D384" s="113"/>
      <c r="E384" s="6"/>
      <c r="F384" s="6"/>
      <c r="G384" s="6"/>
      <c r="H384" s="6"/>
      <c r="I384" s="6"/>
      <c r="J384" s="6"/>
      <c r="K384" s="6"/>
      <c r="L384" s="6"/>
      <c r="M384" s="6"/>
      <c r="N384" s="6"/>
      <c r="O384" s="6"/>
      <c r="P384" s="35"/>
      <c r="Q384" s="35"/>
      <c r="R384" s="6"/>
      <c r="S384" s="6"/>
      <c r="T384" s="6"/>
      <c r="U384" s="6"/>
      <c r="V384" s="6"/>
      <c r="W384" s="6"/>
      <c r="X384" s="6"/>
      <c r="Y384" s="6"/>
      <c r="Z384" s="6"/>
      <c r="AA384" s="6"/>
      <c r="AB384" s="6"/>
      <c r="AC384" s="6"/>
      <c r="AD384" s="6"/>
      <c r="AE384" s="6"/>
    </row>
    <row r="385">
      <c r="A385" s="7" t="str">
        <f t="shared" si="2"/>
        <v/>
      </c>
      <c r="B385" s="6"/>
      <c r="C385" s="6"/>
      <c r="D385" s="113"/>
      <c r="E385" s="6"/>
      <c r="F385" s="6"/>
      <c r="G385" s="6"/>
      <c r="H385" s="6"/>
      <c r="I385" s="6"/>
      <c r="J385" s="6"/>
      <c r="K385" s="6"/>
      <c r="L385" s="6"/>
      <c r="M385" s="6"/>
      <c r="N385" s="6"/>
      <c r="O385" s="6"/>
      <c r="P385" s="35"/>
      <c r="Q385" s="35"/>
      <c r="R385" s="6"/>
      <c r="S385" s="6"/>
      <c r="T385" s="6"/>
      <c r="U385" s="6"/>
      <c r="V385" s="6"/>
      <c r="W385" s="6"/>
      <c r="X385" s="6"/>
      <c r="Y385" s="6"/>
      <c r="Z385" s="6"/>
      <c r="AA385" s="6"/>
      <c r="AB385" s="6"/>
      <c r="AC385" s="6"/>
      <c r="AD385" s="6"/>
      <c r="AE385" s="6"/>
    </row>
    <row r="386">
      <c r="A386" s="7" t="str">
        <f t="shared" si="2"/>
        <v/>
      </c>
      <c r="B386" s="6"/>
      <c r="C386" s="6"/>
      <c r="D386" s="113"/>
      <c r="E386" s="6"/>
      <c r="F386" s="6"/>
      <c r="G386" s="6"/>
      <c r="H386" s="6"/>
      <c r="I386" s="6"/>
      <c r="J386" s="6"/>
      <c r="K386" s="6"/>
      <c r="L386" s="6"/>
      <c r="M386" s="6"/>
      <c r="N386" s="6"/>
      <c r="O386" s="6"/>
      <c r="P386" s="35"/>
      <c r="Q386" s="35"/>
      <c r="R386" s="6"/>
      <c r="S386" s="6"/>
      <c r="T386" s="6"/>
      <c r="U386" s="6"/>
      <c r="V386" s="6"/>
      <c r="W386" s="6"/>
      <c r="X386" s="6"/>
      <c r="Y386" s="6"/>
      <c r="Z386" s="6"/>
      <c r="AA386" s="6"/>
      <c r="AB386" s="6"/>
      <c r="AC386" s="6"/>
      <c r="AD386" s="6"/>
      <c r="AE386" s="6"/>
    </row>
    <row r="387">
      <c r="A387" s="7" t="str">
        <f t="shared" si="2"/>
        <v/>
      </c>
      <c r="B387" s="6"/>
      <c r="C387" s="6"/>
      <c r="D387" s="113"/>
      <c r="E387" s="6"/>
      <c r="F387" s="6"/>
      <c r="G387" s="6"/>
      <c r="H387" s="6"/>
      <c r="I387" s="6"/>
      <c r="J387" s="6"/>
      <c r="K387" s="6"/>
      <c r="L387" s="6"/>
      <c r="M387" s="6"/>
      <c r="N387" s="6"/>
      <c r="O387" s="6"/>
      <c r="P387" s="35"/>
      <c r="Q387" s="35"/>
      <c r="R387" s="6"/>
      <c r="S387" s="6"/>
      <c r="T387" s="6"/>
      <c r="U387" s="6"/>
      <c r="V387" s="6"/>
      <c r="W387" s="6"/>
      <c r="X387" s="6"/>
      <c r="Y387" s="6"/>
      <c r="Z387" s="6"/>
      <c r="AA387" s="6"/>
      <c r="AB387" s="6"/>
      <c r="AC387" s="6"/>
      <c r="AD387" s="6"/>
      <c r="AE387" s="6"/>
    </row>
    <row r="388">
      <c r="A388" s="7" t="str">
        <f t="shared" si="2"/>
        <v/>
      </c>
      <c r="B388" s="6"/>
      <c r="C388" s="6"/>
      <c r="D388" s="113"/>
      <c r="E388" s="6"/>
      <c r="F388" s="6"/>
      <c r="G388" s="6"/>
      <c r="H388" s="6"/>
      <c r="I388" s="6"/>
      <c r="J388" s="6"/>
      <c r="K388" s="6"/>
      <c r="L388" s="6"/>
      <c r="M388" s="6"/>
      <c r="N388" s="6"/>
      <c r="O388" s="6"/>
      <c r="P388" s="35"/>
      <c r="Q388" s="35"/>
      <c r="R388" s="6"/>
      <c r="S388" s="6"/>
      <c r="T388" s="6"/>
      <c r="U388" s="6"/>
      <c r="V388" s="6"/>
      <c r="W388" s="6"/>
      <c r="X388" s="6"/>
      <c r="Y388" s="6"/>
      <c r="Z388" s="6"/>
      <c r="AA388" s="6"/>
      <c r="AB388" s="6"/>
      <c r="AC388" s="6"/>
      <c r="AD388" s="6"/>
      <c r="AE388" s="6"/>
    </row>
    <row r="389">
      <c r="A389" s="7" t="str">
        <f t="shared" si="2"/>
        <v/>
      </c>
      <c r="B389" s="6"/>
      <c r="C389" s="6"/>
      <c r="D389" s="113"/>
      <c r="E389" s="6"/>
      <c r="F389" s="6"/>
      <c r="G389" s="6"/>
      <c r="H389" s="6"/>
      <c r="I389" s="6"/>
      <c r="J389" s="6"/>
      <c r="K389" s="6"/>
      <c r="L389" s="6"/>
      <c r="M389" s="6"/>
      <c r="N389" s="6"/>
      <c r="O389" s="6"/>
      <c r="P389" s="35"/>
      <c r="Q389" s="35"/>
      <c r="R389" s="6"/>
      <c r="S389" s="6"/>
      <c r="T389" s="6"/>
      <c r="U389" s="6"/>
      <c r="V389" s="6"/>
      <c r="W389" s="6"/>
      <c r="X389" s="6"/>
      <c r="Y389" s="6"/>
      <c r="Z389" s="6"/>
      <c r="AA389" s="6"/>
      <c r="AB389" s="6"/>
      <c r="AC389" s="6"/>
      <c r="AD389" s="6"/>
      <c r="AE389" s="6"/>
    </row>
    <row r="390">
      <c r="A390" s="7" t="str">
        <f t="shared" si="2"/>
        <v/>
      </c>
      <c r="B390" s="6"/>
      <c r="C390" s="6"/>
      <c r="D390" s="113"/>
      <c r="E390" s="6"/>
      <c r="F390" s="6"/>
      <c r="G390" s="6"/>
      <c r="H390" s="6"/>
      <c r="I390" s="6"/>
      <c r="J390" s="6"/>
      <c r="K390" s="6"/>
      <c r="L390" s="6"/>
      <c r="M390" s="6"/>
      <c r="N390" s="6"/>
      <c r="O390" s="6"/>
      <c r="P390" s="35"/>
      <c r="Q390" s="35"/>
      <c r="R390" s="6"/>
      <c r="S390" s="6"/>
      <c r="T390" s="6"/>
      <c r="U390" s="6"/>
      <c r="V390" s="6"/>
      <c r="W390" s="6"/>
      <c r="X390" s="6"/>
      <c r="Y390" s="6"/>
      <c r="Z390" s="6"/>
      <c r="AA390" s="6"/>
      <c r="AB390" s="6"/>
      <c r="AC390" s="6"/>
      <c r="AD390" s="6"/>
      <c r="AE390" s="6"/>
    </row>
    <row r="391">
      <c r="A391" s="7" t="str">
        <f t="shared" si="2"/>
        <v/>
      </c>
      <c r="B391" s="6"/>
      <c r="C391" s="6"/>
      <c r="D391" s="113"/>
      <c r="E391" s="6"/>
      <c r="F391" s="6"/>
      <c r="G391" s="6"/>
      <c r="H391" s="6"/>
      <c r="I391" s="6"/>
      <c r="J391" s="6"/>
      <c r="K391" s="6"/>
      <c r="L391" s="6"/>
      <c r="M391" s="6"/>
      <c r="N391" s="6"/>
      <c r="O391" s="6"/>
      <c r="P391" s="35"/>
      <c r="Q391" s="35"/>
      <c r="R391" s="6"/>
      <c r="S391" s="6"/>
      <c r="T391" s="6"/>
      <c r="U391" s="6"/>
      <c r="V391" s="6"/>
      <c r="W391" s="6"/>
      <c r="X391" s="6"/>
      <c r="Y391" s="6"/>
      <c r="Z391" s="6"/>
      <c r="AA391" s="6"/>
      <c r="AB391" s="6"/>
      <c r="AC391" s="6"/>
      <c r="AD391" s="6"/>
      <c r="AE391" s="6"/>
    </row>
    <row r="392">
      <c r="A392" s="7" t="str">
        <f t="shared" si="2"/>
        <v/>
      </c>
      <c r="B392" s="6"/>
      <c r="C392" s="6"/>
      <c r="D392" s="113"/>
      <c r="E392" s="6"/>
      <c r="F392" s="6"/>
      <c r="G392" s="6"/>
      <c r="H392" s="6"/>
      <c r="I392" s="6"/>
      <c r="J392" s="6"/>
      <c r="K392" s="6"/>
      <c r="L392" s="6"/>
      <c r="M392" s="6"/>
      <c r="N392" s="6"/>
      <c r="O392" s="6"/>
      <c r="P392" s="35"/>
      <c r="Q392" s="35"/>
      <c r="R392" s="6"/>
      <c r="S392" s="6"/>
      <c r="T392" s="6"/>
      <c r="U392" s="6"/>
      <c r="V392" s="6"/>
      <c r="W392" s="6"/>
      <c r="X392" s="6"/>
      <c r="Y392" s="6"/>
      <c r="Z392" s="6"/>
      <c r="AA392" s="6"/>
      <c r="AB392" s="6"/>
      <c r="AC392" s="6"/>
      <c r="AD392" s="6"/>
      <c r="AE392" s="6"/>
    </row>
    <row r="393">
      <c r="A393" s="7" t="str">
        <f t="shared" si="2"/>
        <v/>
      </c>
      <c r="B393" s="6"/>
      <c r="C393" s="6"/>
      <c r="D393" s="113"/>
      <c r="E393" s="6"/>
      <c r="F393" s="6"/>
      <c r="G393" s="6"/>
      <c r="H393" s="6"/>
      <c r="I393" s="6"/>
      <c r="J393" s="6"/>
      <c r="K393" s="6"/>
      <c r="L393" s="6"/>
      <c r="M393" s="6"/>
      <c r="N393" s="6"/>
      <c r="O393" s="6"/>
      <c r="P393" s="35"/>
      <c r="Q393" s="35"/>
      <c r="R393" s="6"/>
      <c r="S393" s="6"/>
      <c r="T393" s="6"/>
      <c r="U393" s="6"/>
      <c r="V393" s="6"/>
      <c r="W393" s="6"/>
      <c r="X393" s="6"/>
      <c r="Y393" s="6"/>
      <c r="Z393" s="6"/>
      <c r="AA393" s="6"/>
      <c r="AB393" s="6"/>
      <c r="AC393" s="6"/>
      <c r="AD393" s="6"/>
      <c r="AE393" s="6"/>
    </row>
    <row r="394">
      <c r="A394" s="7" t="str">
        <f t="shared" si="2"/>
        <v/>
      </c>
      <c r="B394" s="6"/>
      <c r="C394" s="6"/>
      <c r="D394" s="113"/>
      <c r="E394" s="6"/>
      <c r="F394" s="6"/>
      <c r="G394" s="6"/>
      <c r="H394" s="6"/>
      <c r="I394" s="6"/>
      <c r="J394" s="6"/>
      <c r="K394" s="6"/>
      <c r="L394" s="6"/>
      <c r="M394" s="6"/>
      <c r="N394" s="6"/>
      <c r="O394" s="6"/>
      <c r="P394" s="35"/>
      <c r="Q394" s="35"/>
      <c r="R394" s="6"/>
      <c r="S394" s="6"/>
      <c r="T394" s="6"/>
      <c r="U394" s="6"/>
      <c r="V394" s="6"/>
      <c r="W394" s="6"/>
      <c r="X394" s="6"/>
      <c r="Y394" s="6"/>
      <c r="Z394" s="6"/>
      <c r="AA394" s="6"/>
      <c r="AB394" s="6"/>
      <c r="AC394" s="6"/>
      <c r="AD394" s="6"/>
      <c r="AE394" s="6"/>
    </row>
    <row r="395">
      <c r="A395" s="7" t="str">
        <f t="shared" si="2"/>
        <v/>
      </c>
      <c r="B395" s="6"/>
      <c r="C395" s="6"/>
      <c r="D395" s="113"/>
      <c r="E395" s="6"/>
      <c r="F395" s="6"/>
      <c r="G395" s="6"/>
      <c r="H395" s="6"/>
      <c r="I395" s="6"/>
      <c r="J395" s="6"/>
      <c r="K395" s="6"/>
      <c r="L395" s="6"/>
      <c r="M395" s="6"/>
      <c r="N395" s="6"/>
      <c r="O395" s="6"/>
      <c r="P395" s="35"/>
      <c r="Q395" s="35"/>
      <c r="R395" s="6"/>
      <c r="S395" s="6"/>
      <c r="T395" s="6"/>
      <c r="U395" s="6"/>
      <c r="V395" s="6"/>
      <c r="W395" s="6"/>
      <c r="X395" s="6"/>
      <c r="Y395" s="6"/>
      <c r="Z395" s="6"/>
      <c r="AA395" s="6"/>
      <c r="AB395" s="6"/>
      <c r="AC395" s="6"/>
      <c r="AD395" s="6"/>
      <c r="AE395" s="6"/>
    </row>
    <row r="396">
      <c r="A396" s="7" t="str">
        <f t="shared" si="2"/>
        <v/>
      </c>
      <c r="B396" s="6"/>
      <c r="C396" s="6"/>
      <c r="D396" s="113"/>
      <c r="E396" s="6"/>
      <c r="F396" s="6"/>
      <c r="G396" s="6"/>
      <c r="H396" s="6"/>
      <c r="I396" s="6"/>
      <c r="J396" s="6"/>
      <c r="K396" s="6"/>
      <c r="L396" s="6"/>
      <c r="M396" s="6"/>
      <c r="N396" s="6"/>
      <c r="O396" s="6"/>
      <c r="P396" s="35"/>
      <c r="Q396" s="35"/>
      <c r="R396" s="6"/>
      <c r="S396" s="6"/>
      <c r="T396" s="6"/>
      <c r="U396" s="6"/>
      <c r="V396" s="6"/>
      <c r="W396" s="6"/>
      <c r="X396" s="6"/>
      <c r="Y396" s="6"/>
      <c r="Z396" s="6"/>
      <c r="AA396" s="6"/>
      <c r="AB396" s="6"/>
      <c r="AC396" s="6"/>
      <c r="AD396" s="6"/>
      <c r="AE396" s="6"/>
    </row>
    <row r="397">
      <c r="A397" s="7" t="str">
        <f t="shared" si="2"/>
        <v/>
      </c>
      <c r="B397" s="6"/>
      <c r="C397" s="6"/>
      <c r="D397" s="113"/>
      <c r="E397" s="6"/>
      <c r="F397" s="6"/>
      <c r="G397" s="6"/>
      <c r="H397" s="6"/>
      <c r="I397" s="6"/>
      <c r="J397" s="6"/>
      <c r="K397" s="6"/>
      <c r="L397" s="6"/>
      <c r="M397" s="6"/>
      <c r="N397" s="6"/>
      <c r="O397" s="6"/>
      <c r="P397" s="35"/>
      <c r="Q397" s="35"/>
      <c r="R397" s="6"/>
      <c r="S397" s="6"/>
      <c r="T397" s="6"/>
      <c r="U397" s="6"/>
      <c r="V397" s="6"/>
      <c r="W397" s="6"/>
      <c r="X397" s="6"/>
      <c r="Y397" s="6"/>
      <c r="Z397" s="6"/>
      <c r="AA397" s="6"/>
      <c r="AB397" s="6"/>
      <c r="AC397" s="6"/>
      <c r="AD397" s="6"/>
      <c r="AE397" s="6"/>
    </row>
    <row r="398">
      <c r="A398" s="7" t="str">
        <f t="shared" si="2"/>
        <v/>
      </c>
      <c r="B398" s="6"/>
      <c r="C398" s="6"/>
      <c r="D398" s="113"/>
      <c r="E398" s="6"/>
      <c r="F398" s="6"/>
      <c r="G398" s="6"/>
      <c r="H398" s="6"/>
      <c r="I398" s="6"/>
      <c r="J398" s="6"/>
      <c r="K398" s="6"/>
      <c r="L398" s="6"/>
      <c r="M398" s="6"/>
      <c r="N398" s="6"/>
      <c r="O398" s="6"/>
      <c r="P398" s="35"/>
      <c r="Q398" s="35"/>
      <c r="R398" s="6"/>
      <c r="S398" s="6"/>
      <c r="T398" s="6"/>
      <c r="U398" s="6"/>
      <c r="V398" s="6"/>
      <c r="W398" s="6"/>
      <c r="X398" s="6"/>
      <c r="Y398" s="6"/>
      <c r="Z398" s="6"/>
      <c r="AA398" s="6"/>
      <c r="AB398" s="6"/>
      <c r="AC398" s="6"/>
      <c r="AD398" s="6"/>
      <c r="AE398" s="6"/>
    </row>
    <row r="399">
      <c r="A399" s="7" t="str">
        <f t="shared" si="2"/>
        <v/>
      </c>
      <c r="B399" s="6"/>
      <c r="C399" s="6"/>
      <c r="D399" s="113"/>
      <c r="E399" s="6"/>
      <c r="F399" s="6"/>
      <c r="G399" s="6"/>
      <c r="H399" s="6"/>
      <c r="I399" s="6"/>
      <c r="J399" s="6"/>
      <c r="K399" s="6"/>
      <c r="L399" s="6"/>
      <c r="M399" s="6"/>
      <c r="N399" s="6"/>
      <c r="O399" s="6"/>
      <c r="P399" s="35"/>
      <c r="Q399" s="35"/>
      <c r="R399" s="6"/>
      <c r="S399" s="6"/>
      <c r="T399" s="6"/>
      <c r="U399" s="6"/>
      <c r="V399" s="6"/>
      <c r="W399" s="6"/>
      <c r="X399" s="6"/>
      <c r="Y399" s="6"/>
      <c r="Z399" s="6"/>
      <c r="AA399" s="6"/>
      <c r="AB399" s="6"/>
      <c r="AC399" s="6"/>
      <c r="AD399" s="6"/>
      <c r="AE399" s="6"/>
    </row>
    <row r="400">
      <c r="A400" s="7" t="str">
        <f t="shared" si="2"/>
        <v/>
      </c>
      <c r="B400" s="6"/>
      <c r="C400" s="6"/>
      <c r="D400" s="113"/>
      <c r="E400" s="6"/>
      <c r="F400" s="6"/>
      <c r="G400" s="6"/>
      <c r="H400" s="6"/>
      <c r="I400" s="6"/>
      <c r="J400" s="6"/>
      <c r="K400" s="6"/>
      <c r="L400" s="6"/>
      <c r="M400" s="6"/>
      <c r="N400" s="6"/>
      <c r="O400" s="6"/>
      <c r="P400" s="35"/>
      <c r="Q400" s="35"/>
      <c r="R400" s="6"/>
      <c r="S400" s="6"/>
      <c r="T400" s="6"/>
      <c r="U400" s="6"/>
      <c r="V400" s="6"/>
      <c r="W400" s="6"/>
      <c r="X400" s="6"/>
      <c r="Y400" s="6"/>
      <c r="Z400" s="6"/>
      <c r="AA400" s="6"/>
      <c r="AB400" s="6"/>
      <c r="AC400" s="6"/>
      <c r="AD400" s="6"/>
      <c r="AE400" s="6"/>
    </row>
    <row r="401">
      <c r="A401" s="7" t="str">
        <f t="shared" si="2"/>
        <v/>
      </c>
      <c r="B401" s="6"/>
      <c r="C401" s="6"/>
      <c r="D401" s="113"/>
      <c r="E401" s="6"/>
      <c r="F401" s="6"/>
      <c r="G401" s="6"/>
      <c r="H401" s="6"/>
      <c r="I401" s="6"/>
      <c r="J401" s="6"/>
      <c r="K401" s="6"/>
      <c r="L401" s="6"/>
      <c r="M401" s="6"/>
      <c r="N401" s="6"/>
      <c r="O401" s="6"/>
      <c r="P401" s="35"/>
      <c r="Q401" s="35"/>
      <c r="R401" s="6"/>
      <c r="S401" s="6"/>
      <c r="T401" s="6"/>
      <c r="U401" s="6"/>
      <c r="V401" s="6"/>
      <c r="W401" s="6"/>
      <c r="X401" s="6"/>
      <c r="Y401" s="6"/>
      <c r="Z401" s="6"/>
      <c r="AA401" s="6"/>
      <c r="AB401" s="6"/>
      <c r="AC401" s="6"/>
      <c r="AD401" s="6"/>
      <c r="AE401" s="6"/>
    </row>
    <row r="402">
      <c r="A402" s="7" t="str">
        <f t="shared" si="2"/>
        <v/>
      </c>
      <c r="B402" s="6"/>
      <c r="C402" s="6"/>
      <c r="D402" s="113"/>
      <c r="E402" s="6"/>
      <c r="F402" s="6"/>
      <c r="G402" s="6"/>
      <c r="H402" s="6"/>
      <c r="I402" s="6"/>
      <c r="J402" s="6"/>
      <c r="K402" s="6"/>
      <c r="L402" s="6"/>
      <c r="M402" s="6"/>
      <c r="N402" s="6"/>
      <c r="O402" s="6"/>
      <c r="P402" s="35"/>
      <c r="Q402" s="35"/>
      <c r="R402" s="6"/>
      <c r="S402" s="6"/>
      <c r="T402" s="6"/>
      <c r="U402" s="6"/>
      <c r="V402" s="6"/>
      <c r="W402" s="6"/>
      <c r="X402" s="6"/>
      <c r="Y402" s="6"/>
      <c r="Z402" s="6"/>
      <c r="AA402" s="6"/>
      <c r="AB402" s="6"/>
      <c r="AC402" s="6"/>
      <c r="AD402" s="6"/>
      <c r="AE402" s="6"/>
    </row>
    <row r="403">
      <c r="A403" s="7" t="str">
        <f t="shared" si="2"/>
        <v/>
      </c>
      <c r="B403" s="6"/>
      <c r="C403" s="6"/>
      <c r="D403" s="113"/>
      <c r="E403" s="6"/>
      <c r="F403" s="6"/>
      <c r="G403" s="6"/>
      <c r="H403" s="6"/>
      <c r="I403" s="6"/>
      <c r="J403" s="6"/>
      <c r="K403" s="6"/>
      <c r="L403" s="6"/>
      <c r="M403" s="6"/>
      <c r="N403" s="6"/>
      <c r="O403" s="6"/>
      <c r="P403" s="35"/>
      <c r="Q403" s="35"/>
      <c r="R403" s="6"/>
      <c r="S403" s="6"/>
      <c r="T403" s="6"/>
      <c r="U403" s="6"/>
      <c r="V403" s="6"/>
      <c r="W403" s="6"/>
      <c r="X403" s="6"/>
      <c r="Y403" s="6"/>
      <c r="Z403" s="6"/>
      <c r="AA403" s="6"/>
      <c r="AB403" s="6"/>
      <c r="AC403" s="6"/>
      <c r="AD403" s="6"/>
      <c r="AE403" s="6"/>
    </row>
    <row r="404">
      <c r="A404" s="7" t="str">
        <f t="shared" si="2"/>
        <v/>
      </c>
      <c r="B404" s="6"/>
      <c r="C404" s="6"/>
      <c r="D404" s="113"/>
      <c r="E404" s="6"/>
      <c r="F404" s="6"/>
      <c r="G404" s="6"/>
      <c r="H404" s="6"/>
      <c r="I404" s="6"/>
      <c r="J404" s="6"/>
      <c r="K404" s="6"/>
      <c r="L404" s="6"/>
      <c r="M404" s="6"/>
      <c r="N404" s="6"/>
      <c r="O404" s="6"/>
      <c r="P404" s="35"/>
      <c r="Q404" s="35"/>
      <c r="R404" s="6"/>
      <c r="S404" s="6"/>
      <c r="T404" s="6"/>
      <c r="U404" s="6"/>
      <c r="V404" s="6"/>
      <c r="W404" s="6"/>
      <c r="X404" s="6"/>
      <c r="Y404" s="6"/>
      <c r="Z404" s="6"/>
      <c r="AA404" s="6"/>
      <c r="AB404" s="6"/>
      <c r="AC404" s="6"/>
      <c r="AD404" s="6"/>
      <c r="AE404" s="6"/>
    </row>
    <row r="405">
      <c r="A405" s="7" t="str">
        <f t="shared" si="2"/>
        <v/>
      </c>
      <c r="B405" s="6"/>
      <c r="C405" s="6"/>
      <c r="D405" s="113"/>
      <c r="E405" s="6"/>
      <c r="F405" s="6"/>
      <c r="G405" s="6"/>
      <c r="H405" s="6"/>
      <c r="I405" s="6"/>
      <c r="J405" s="6"/>
      <c r="K405" s="6"/>
      <c r="L405" s="6"/>
      <c r="M405" s="6"/>
      <c r="N405" s="6"/>
      <c r="O405" s="6"/>
      <c r="P405" s="35"/>
      <c r="Q405" s="35"/>
      <c r="R405" s="6"/>
      <c r="S405" s="6"/>
      <c r="T405" s="6"/>
      <c r="U405" s="6"/>
      <c r="V405" s="6"/>
      <c r="W405" s="6"/>
      <c r="X405" s="6"/>
      <c r="Y405" s="6"/>
      <c r="Z405" s="6"/>
      <c r="AA405" s="6"/>
      <c r="AB405" s="6"/>
      <c r="AC405" s="6"/>
      <c r="AD405" s="6"/>
      <c r="AE405" s="6"/>
    </row>
    <row r="406">
      <c r="A406" s="7" t="str">
        <f t="shared" si="2"/>
        <v/>
      </c>
      <c r="B406" s="6"/>
      <c r="C406" s="6"/>
      <c r="D406" s="113"/>
      <c r="E406" s="6"/>
      <c r="F406" s="6"/>
      <c r="G406" s="6"/>
      <c r="H406" s="6"/>
      <c r="I406" s="6"/>
      <c r="J406" s="6"/>
      <c r="K406" s="6"/>
      <c r="L406" s="6"/>
      <c r="M406" s="6"/>
      <c r="N406" s="6"/>
      <c r="O406" s="6"/>
      <c r="P406" s="35"/>
      <c r="Q406" s="35"/>
      <c r="R406" s="6"/>
      <c r="S406" s="6"/>
      <c r="T406" s="6"/>
      <c r="U406" s="6"/>
      <c r="V406" s="6"/>
      <c r="W406" s="6"/>
      <c r="X406" s="6"/>
      <c r="Y406" s="6"/>
      <c r="Z406" s="6"/>
      <c r="AA406" s="6"/>
      <c r="AB406" s="6"/>
      <c r="AC406" s="6"/>
      <c r="AD406" s="6"/>
      <c r="AE406" s="6"/>
    </row>
    <row r="407">
      <c r="A407" s="7" t="str">
        <f t="shared" si="2"/>
        <v/>
      </c>
      <c r="B407" s="6"/>
      <c r="C407" s="6"/>
      <c r="D407" s="113"/>
      <c r="E407" s="6"/>
      <c r="F407" s="6"/>
      <c r="G407" s="6"/>
      <c r="H407" s="6"/>
      <c r="I407" s="6"/>
      <c r="J407" s="6"/>
      <c r="K407" s="6"/>
      <c r="L407" s="6"/>
      <c r="M407" s="6"/>
      <c r="N407" s="6"/>
      <c r="O407" s="6"/>
      <c r="P407" s="35"/>
      <c r="Q407" s="35"/>
      <c r="R407" s="6"/>
      <c r="S407" s="6"/>
      <c r="T407" s="6"/>
      <c r="U407" s="6"/>
      <c r="V407" s="6"/>
      <c r="W407" s="6"/>
      <c r="X407" s="6"/>
      <c r="Y407" s="6"/>
      <c r="Z407" s="6"/>
      <c r="AA407" s="6"/>
      <c r="AB407" s="6"/>
      <c r="AC407" s="6"/>
      <c r="AD407" s="6"/>
      <c r="AE407" s="6"/>
    </row>
    <row r="408">
      <c r="A408" s="7" t="str">
        <f t="shared" si="2"/>
        <v/>
      </c>
      <c r="B408" s="6"/>
      <c r="C408" s="6"/>
      <c r="D408" s="113"/>
      <c r="E408" s="6"/>
      <c r="F408" s="6"/>
      <c r="G408" s="6"/>
      <c r="H408" s="6"/>
      <c r="I408" s="6"/>
      <c r="J408" s="6"/>
      <c r="K408" s="6"/>
      <c r="L408" s="6"/>
      <c r="M408" s="6"/>
      <c r="N408" s="6"/>
      <c r="O408" s="6"/>
      <c r="P408" s="35"/>
      <c r="Q408" s="35"/>
      <c r="R408" s="6"/>
      <c r="S408" s="6"/>
      <c r="T408" s="6"/>
      <c r="U408" s="6"/>
      <c r="V408" s="6"/>
      <c r="W408" s="6"/>
      <c r="X408" s="6"/>
      <c r="Y408" s="6"/>
      <c r="Z408" s="6"/>
      <c r="AA408" s="6"/>
      <c r="AB408" s="6"/>
      <c r="AC408" s="6"/>
      <c r="AD408" s="6"/>
      <c r="AE408" s="6"/>
    </row>
    <row r="409">
      <c r="A409" s="7" t="str">
        <f t="shared" si="2"/>
        <v/>
      </c>
      <c r="B409" s="6"/>
      <c r="C409" s="6"/>
      <c r="D409" s="113"/>
      <c r="E409" s="6"/>
      <c r="F409" s="6"/>
      <c r="G409" s="6"/>
      <c r="H409" s="6"/>
      <c r="I409" s="6"/>
      <c r="J409" s="6"/>
      <c r="K409" s="6"/>
      <c r="L409" s="6"/>
      <c r="M409" s="6"/>
      <c r="N409" s="6"/>
      <c r="O409" s="6"/>
      <c r="P409" s="35"/>
      <c r="Q409" s="35"/>
      <c r="R409" s="6"/>
      <c r="S409" s="6"/>
      <c r="T409" s="6"/>
      <c r="U409" s="6"/>
      <c r="V409" s="6"/>
      <c r="W409" s="6"/>
      <c r="X409" s="6"/>
      <c r="Y409" s="6"/>
      <c r="Z409" s="6"/>
      <c r="AA409" s="6"/>
      <c r="AB409" s="6"/>
      <c r="AC409" s="6"/>
      <c r="AD409" s="6"/>
      <c r="AE409" s="6"/>
    </row>
    <row r="410">
      <c r="A410" s="7" t="str">
        <f t="shared" si="2"/>
        <v/>
      </c>
      <c r="B410" s="6"/>
      <c r="C410" s="6"/>
      <c r="D410" s="113"/>
      <c r="E410" s="6"/>
      <c r="F410" s="6"/>
      <c r="G410" s="6"/>
      <c r="H410" s="6"/>
      <c r="I410" s="6"/>
      <c r="J410" s="6"/>
      <c r="K410" s="6"/>
      <c r="L410" s="6"/>
      <c r="M410" s="6"/>
      <c r="N410" s="6"/>
      <c r="O410" s="6"/>
      <c r="P410" s="35"/>
      <c r="Q410" s="35"/>
      <c r="R410" s="6"/>
      <c r="S410" s="6"/>
      <c r="T410" s="6"/>
      <c r="U410" s="6"/>
      <c r="V410" s="6"/>
      <c r="W410" s="6"/>
      <c r="X410" s="6"/>
      <c r="Y410" s="6"/>
      <c r="Z410" s="6"/>
      <c r="AA410" s="6"/>
      <c r="AB410" s="6"/>
      <c r="AC410" s="6"/>
      <c r="AD410" s="6"/>
      <c r="AE410" s="6"/>
    </row>
    <row r="411">
      <c r="A411" s="7" t="str">
        <f t="shared" si="2"/>
        <v/>
      </c>
      <c r="B411" s="6"/>
      <c r="C411" s="6"/>
      <c r="D411" s="113"/>
      <c r="E411" s="6"/>
      <c r="F411" s="6"/>
      <c r="G411" s="6"/>
      <c r="H411" s="6"/>
      <c r="I411" s="6"/>
      <c r="J411" s="6"/>
      <c r="K411" s="6"/>
      <c r="L411" s="6"/>
      <c r="M411" s="6"/>
      <c r="N411" s="6"/>
      <c r="O411" s="6"/>
      <c r="P411" s="35"/>
      <c r="Q411" s="35"/>
      <c r="R411" s="6"/>
      <c r="S411" s="6"/>
      <c r="T411" s="6"/>
      <c r="U411" s="6"/>
      <c r="V411" s="6"/>
      <c r="W411" s="6"/>
      <c r="X411" s="6"/>
      <c r="Y411" s="6"/>
      <c r="Z411" s="6"/>
      <c r="AA411" s="6"/>
      <c r="AB411" s="6"/>
      <c r="AC411" s="6"/>
      <c r="AD411" s="6"/>
      <c r="AE411" s="6"/>
    </row>
    <row r="412">
      <c r="A412" s="7" t="str">
        <f t="shared" si="2"/>
        <v/>
      </c>
      <c r="B412" s="6"/>
      <c r="C412" s="6"/>
      <c r="D412" s="113"/>
      <c r="E412" s="6"/>
      <c r="F412" s="6"/>
      <c r="G412" s="6"/>
      <c r="H412" s="6"/>
      <c r="I412" s="6"/>
      <c r="J412" s="6"/>
      <c r="K412" s="6"/>
      <c r="L412" s="6"/>
      <c r="M412" s="6"/>
      <c r="N412" s="6"/>
      <c r="O412" s="6"/>
      <c r="P412" s="35"/>
      <c r="Q412" s="35"/>
      <c r="R412" s="6"/>
      <c r="S412" s="6"/>
      <c r="T412" s="6"/>
      <c r="U412" s="6"/>
      <c r="V412" s="6"/>
      <c r="W412" s="6"/>
      <c r="X412" s="6"/>
      <c r="Y412" s="6"/>
      <c r="Z412" s="6"/>
      <c r="AA412" s="6"/>
      <c r="AB412" s="6"/>
      <c r="AC412" s="6"/>
      <c r="AD412" s="6"/>
      <c r="AE412" s="6"/>
    </row>
    <row r="413">
      <c r="A413" s="7" t="str">
        <f t="shared" si="2"/>
        <v/>
      </c>
      <c r="B413" s="6"/>
      <c r="C413" s="6"/>
      <c r="D413" s="113"/>
      <c r="E413" s="6"/>
      <c r="F413" s="6"/>
      <c r="G413" s="6"/>
      <c r="H413" s="6"/>
      <c r="I413" s="6"/>
      <c r="J413" s="6"/>
      <c r="K413" s="6"/>
      <c r="L413" s="6"/>
      <c r="M413" s="6"/>
      <c r="N413" s="6"/>
      <c r="O413" s="6"/>
      <c r="P413" s="35"/>
      <c r="Q413" s="35"/>
      <c r="R413" s="6"/>
      <c r="S413" s="6"/>
      <c r="T413" s="6"/>
      <c r="U413" s="6"/>
      <c r="V413" s="6"/>
      <c r="W413" s="6"/>
      <c r="X413" s="6"/>
      <c r="Y413" s="6"/>
      <c r="Z413" s="6"/>
      <c r="AA413" s="6"/>
      <c r="AB413" s="6"/>
      <c r="AC413" s="6"/>
      <c r="AD413" s="6"/>
      <c r="AE413" s="6"/>
    </row>
    <row r="414">
      <c r="A414" s="7" t="str">
        <f t="shared" si="2"/>
        <v/>
      </c>
      <c r="B414" s="6"/>
      <c r="C414" s="6"/>
      <c r="D414" s="113"/>
      <c r="E414" s="6"/>
      <c r="F414" s="6"/>
      <c r="G414" s="6"/>
      <c r="H414" s="6"/>
      <c r="I414" s="6"/>
      <c r="J414" s="6"/>
      <c r="K414" s="6"/>
      <c r="L414" s="6"/>
      <c r="M414" s="6"/>
      <c r="N414" s="6"/>
      <c r="O414" s="6"/>
      <c r="P414" s="35"/>
      <c r="Q414" s="35"/>
      <c r="R414" s="6"/>
      <c r="S414" s="6"/>
      <c r="T414" s="6"/>
      <c r="U414" s="6"/>
      <c r="V414" s="6"/>
      <c r="W414" s="6"/>
      <c r="X414" s="6"/>
      <c r="Y414" s="6"/>
      <c r="Z414" s="6"/>
      <c r="AA414" s="6"/>
      <c r="AB414" s="6"/>
      <c r="AC414" s="6"/>
      <c r="AD414" s="6"/>
      <c r="AE414" s="6"/>
    </row>
    <row r="415">
      <c r="A415" s="7" t="str">
        <f t="shared" si="2"/>
        <v/>
      </c>
      <c r="B415" s="6"/>
      <c r="C415" s="6"/>
      <c r="D415" s="113"/>
      <c r="E415" s="6"/>
      <c r="F415" s="6"/>
      <c r="G415" s="6"/>
      <c r="H415" s="6"/>
      <c r="I415" s="6"/>
      <c r="J415" s="6"/>
      <c r="K415" s="6"/>
      <c r="L415" s="6"/>
      <c r="M415" s="6"/>
      <c r="N415" s="6"/>
      <c r="O415" s="6"/>
      <c r="P415" s="35"/>
      <c r="Q415" s="35"/>
      <c r="R415" s="6"/>
      <c r="S415" s="6"/>
      <c r="T415" s="6"/>
      <c r="U415" s="6"/>
      <c r="V415" s="6"/>
      <c r="W415" s="6"/>
      <c r="X415" s="6"/>
      <c r="Y415" s="6"/>
      <c r="Z415" s="6"/>
      <c r="AA415" s="6"/>
      <c r="AB415" s="6"/>
      <c r="AC415" s="6"/>
      <c r="AD415" s="6"/>
      <c r="AE415" s="6"/>
    </row>
    <row r="416">
      <c r="A416" s="7" t="str">
        <f t="shared" si="2"/>
        <v/>
      </c>
      <c r="B416" s="6"/>
      <c r="C416" s="6"/>
      <c r="D416" s="113"/>
      <c r="E416" s="6"/>
      <c r="F416" s="6"/>
      <c r="G416" s="6"/>
      <c r="H416" s="6"/>
      <c r="I416" s="6"/>
      <c r="J416" s="6"/>
      <c r="K416" s="6"/>
      <c r="L416" s="6"/>
      <c r="M416" s="6"/>
      <c r="N416" s="6"/>
      <c r="O416" s="6"/>
      <c r="P416" s="35"/>
      <c r="Q416" s="35"/>
      <c r="R416" s="6"/>
      <c r="S416" s="6"/>
      <c r="T416" s="6"/>
      <c r="U416" s="6"/>
      <c r="V416" s="6"/>
      <c r="W416" s="6"/>
      <c r="X416" s="6"/>
      <c r="Y416" s="6"/>
      <c r="Z416" s="6"/>
      <c r="AA416" s="6"/>
      <c r="AB416" s="6"/>
      <c r="AC416" s="6"/>
      <c r="AD416" s="6"/>
      <c r="AE416" s="6"/>
    </row>
    <row r="417">
      <c r="A417" s="7" t="str">
        <f t="shared" si="2"/>
        <v/>
      </c>
      <c r="B417" s="6"/>
      <c r="C417" s="6"/>
      <c r="D417" s="113"/>
      <c r="E417" s="6"/>
      <c r="F417" s="6"/>
      <c r="G417" s="6"/>
      <c r="H417" s="6"/>
      <c r="I417" s="6"/>
      <c r="J417" s="6"/>
      <c r="K417" s="6"/>
      <c r="L417" s="6"/>
      <c r="M417" s="6"/>
      <c r="N417" s="6"/>
      <c r="O417" s="6"/>
      <c r="P417" s="35"/>
      <c r="Q417" s="35"/>
      <c r="R417" s="6"/>
      <c r="S417" s="6"/>
      <c r="T417" s="6"/>
      <c r="U417" s="6"/>
      <c r="V417" s="6"/>
      <c r="W417" s="6"/>
      <c r="X417" s="6"/>
      <c r="Y417" s="6"/>
      <c r="Z417" s="6"/>
      <c r="AA417" s="6"/>
      <c r="AB417" s="6"/>
      <c r="AC417" s="6"/>
      <c r="AD417" s="6"/>
      <c r="AE417" s="6"/>
    </row>
    <row r="418">
      <c r="A418" s="7" t="str">
        <f t="shared" si="2"/>
        <v/>
      </c>
      <c r="B418" s="6"/>
      <c r="C418" s="6"/>
      <c r="D418" s="113"/>
      <c r="E418" s="6"/>
      <c r="F418" s="6"/>
      <c r="G418" s="6"/>
      <c r="H418" s="6"/>
      <c r="I418" s="6"/>
      <c r="J418" s="6"/>
      <c r="K418" s="6"/>
      <c r="L418" s="6"/>
      <c r="M418" s="6"/>
      <c r="N418" s="6"/>
      <c r="O418" s="6"/>
      <c r="P418" s="35"/>
      <c r="Q418" s="35"/>
      <c r="R418" s="6"/>
      <c r="S418" s="6"/>
      <c r="T418" s="6"/>
      <c r="U418" s="6"/>
      <c r="V418" s="6"/>
      <c r="W418" s="6"/>
      <c r="X418" s="6"/>
      <c r="Y418" s="6"/>
      <c r="Z418" s="6"/>
      <c r="AA418" s="6"/>
      <c r="AB418" s="6"/>
      <c r="AC418" s="6"/>
      <c r="AD418" s="6"/>
      <c r="AE418" s="6"/>
    </row>
    <row r="419">
      <c r="A419" s="7" t="str">
        <f t="shared" si="2"/>
        <v/>
      </c>
      <c r="B419" s="6"/>
      <c r="C419" s="6"/>
      <c r="D419" s="113"/>
      <c r="E419" s="6"/>
      <c r="F419" s="6"/>
      <c r="G419" s="6"/>
      <c r="H419" s="6"/>
      <c r="I419" s="6"/>
      <c r="J419" s="6"/>
      <c r="K419" s="6"/>
      <c r="L419" s="6"/>
      <c r="M419" s="6"/>
      <c r="N419" s="6"/>
      <c r="O419" s="6"/>
      <c r="P419" s="35"/>
      <c r="Q419" s="35"/>
      <c r="R419" s="6"/>
      <c r="S419" s="6"/>
      <c r="T419" s="6"/>
      <c r="U419" s="6"/>
      <c r="V419" s="6"/>
      <c r="W419" s="6"/>
      <c r="X419" s="6"/>
      <c r="Y419" s="6"/>
      <c r="Z419" s="6"/>
      <c r="AA419" s="6"/>
      <c r="AB419" s="6"/>
      <c r="AC419" s="6"/>
      <c r="AD419" s="6"/>
      <c r="AE419" s="6"/>
    </row>
    <row r="420">
      <c r="A420" s="7" t="str">
        <f t="shared" si="2"/>
        <v/>
      </c>
      <c r="B420" s="6"/>
      <c r="C420" s="6"/>
      <c r="D420" s="113"/>
      <c r="E420" s="6"/>
      <c r="F420" s="6"/>
      <c r="G420" s="6"/>
      <c r="H420" s="6"/>
      <c r="I420" s="6"/>
      <c r="J420" s="6"/>
      <c r="K420" s="6"/>
      <c r="L420" s="6"/>
      <c r="M420" s="6"/>
      <c r="N420" s="6"/>
      <c r="O420" s="6"/>
      <c r="P420" s="35"/>
      <c r="Q420" s="35"/>
      <c r="R420" s="6"/>
      <c r="S420" s="6"/>
      <c r="T420" s="6"/>
      <c r="U420" s="6"/>
      <c r="V420" s="6"/>
      <c r="W420" s="6"/>
      <c r="X420" s="6"/>
      <c r="Y420" s="6"/>
      <c r="Z420" s="6"/>
      <c r="AA420" s="6"/>
      <c r="AB420" s="6"/>
      <c r="AC420" s="6"/>
      <c r="AD420" s="6"/>
      <c r="AE420" s="6"/>
    </row>
    <row r="421">
      <c r="A421" s="7" t="str">
        <f t="shared" si="2"/>
        <v/>
      </c>
      <c r="B421" s="6"/>
      <c r="C421" s="6"/>
      <c r="D421" s="113"/>
      <c r="E421" s="6"/>
      <c r="F421" s="6"/>
      <c r="G421" s="6"/>
      <c r="H421" s="6"/>
      <c r="I421" s="6"/>
      <c r="J421" s="6"/>
      <c r="K421" s="6"/>
      <c r="L421" s="6"/>
      <c r="M421" s="6"/>
      <c r="N421" s="6"/>
      <c r="O421" s="6"/>
      <c r="P421" s="35"/>
      <c r="Q421" s="35"/>
      <c r="R421" s="6"/>
      <c r="S421" s="6"/>
      <c r="T421" s="6"/>
      <c r="U421" s="6"/>
      <c r="V421" s="6"/>
      <c r="W421" s="6"/>
      <c r="X421" s="6"/>
      <c r="Y421" s="6"/>
      <c r="Z421" s="6"/>
      <c r="AA421" s="6"/>
      <c r="AB421" s="6"/>
      <c r="AC421" s="6"/>
      <c r="AD421" s="6"/>
      <c r="AE421" s="6"/>
    </row>
    <row r="422">
      <c r="A422" s="7" t="str">
        <f t="shared" si="2"/>
        <v/>
      </c>
      <c r="B422" s="6"/>
      <c r="C422" s="6"/>
      <c r="D422" s="113"/>
      <c r="E422" s="6"/>
      <c r="F422" s="6"/>
      <c r="G422" s="6"/>
      <c r="H422" s="6"/>
      <c r="I422" s="6"/>
      <c r="J422" s="6"/>
      <c r="K422" s="6"/>
      <c r="L422" s="6"/>
      <c r="M422" s="6"/>
      <c r="N422" s="6"/>
      <c r="O422" s="6"/>
      <c r="P422" s="35"/>
      <c r="Q422" s="35"/>
      <c r="R422" s="6"/>
      <c r="S422" s="6"/>
      <c r="T422" s="6"/>
      <c r="U422" s="6"/>
      <c r="V422" s="6"/>
      <c r="W422" s="6"/>
      <c r="X422" s="6"/>
      <c r="Y422" s="6"/>
      <c r="Z422" s="6"/>
      <c r="AA422" s="6"/>
      <c r="AB422" s="6"/>
      <c r="AC422" s="6"/>
      <c r="AD422" s="6"/>
      <c r="AE422" s="6"/>
    </row>
    <row r="423">
      <c r="A423" s="7" t="str">
        <f t="shared" si="2"/>
        <v/>
      </c>
      <c r="B423" s="6"/>
      <c r="C423" s="6"/>
      <c r="D423" s="113"/>
      <c r="E423" s="6"/>
      <c r="F423" s="6"/>
      <c r="G423" s="6"/>
      <c r="H423" s="6"/>
      <c r="I423" s="6"/>
      <c r="J423" s="6"/>
      <c r="K423" s="6"/>
      <c r="L423" s="6"/>
      <c r="M423" s="6"/>
      <c r="N423" s="6"/>
      <c r="O423" s="6"/>
      <c r="P423" s="35"/>
      <c r="Q423" s="35"/>
      <c r="R423" s="6"/>
      <c r="S423" s="6"/>
      <c r="T423" s="6"/>
      <c r="U423" s="6"/>
      <c r="V423" s="6"/>
      <c r="W423" s="6"/>
      <c r="X423" s="6"/>
      <c r="Y423" s="6"/>
      <c r="Z423" s="6"/>
      <c r="AA423" s="6"/>
      <c r="AB423" s="6"/>
      <c r="AC423" s="6"/>
      <c r="AD423" s="6"/>
      <c r="AE423" s="6"/>
    </row>
    <row r="424">
      <c r="A424" s="7" t="str">
        <f t="shared" si="2"/>
        <v/>
      </c>
      <c r="B424" s="6"/>
      <c r="C424" s="6"/>
      <c r="D424" s="113"/>
      <c r="E424" s="6"/>
      <c r="F424" s="6"/>
      <c r="G424" s="6"/>
      <c r="H424" s="6"/>
      <c r="I424" s="6"/>
      <c r="J424" s="6"/>
      <c r="K424" s="6"/>
      <c r="L424" s="6"/>
      <c r="M424" s="6"/>
      <c r="N424" s="6"/>
      <c r="O424" s="6"/>
      <c r="P424" s="35"/>
      <c r="Q424" s="35"/>
      <c r="R424" s="6"/>
      <c r="S424" s="6"/>
      <c r="T424" s="6"/>
      <c r="U424" s="6"/>
      <c r="V424" s="6"/>
      <c r="W424" s="6"/>
      <c r="X424" s="6"/>
      <c r="Y424" s="6"/>
      <c r="Z424" s="6"/>
      <c r="AA424" s="6"/>
      <c r="AB424" s="6"/>
      <c r="AC424" s="6"/>
      <c r="AD424" s="6"/>
      <c r="AE424" s="6"/>
    </row>
    <row r="425">
      <c r="A425" s="7" t="str">
        <f t="shared" si="2"/>
        <v/>
      </c>
      <c r="B425" s="6"/>
      <c r="C425" s="6"/>
      <c r="D425" s="113"/>
      <c r="E425" s="6"/>
      <c r="F425" s="6"/>
      <c r="G425" s="6"/>
      <c r="H425" s="6"/>
      <c r="I425" s="6"/>
      <c r="J425" s="6"/>
      <c r="K425" s="6"/>
      <c r="L425" s="6"/>
      <c r="M425" s="6"/>
      <c r="N425" s="6"/>
      <c r="O425" s="6"/>
      <c r="P425" s="35"/>
      <c r="Q425" s="35"/>
      <c r="R425" s="6"/>
      <c r="S425" s="6"/>
      <c r="T425" s="6"/>
      <c r="U425" s="6"/>
      <c r="V425" s="6"/>
      <c r="W425" s="6"/>
      <c r="X425" s="6"/>
      <c r="Y425" s="6"/>
      <c r="Z425" s="6"/>
      <c r="AA425" s="6"/>
      <c r="AB425" s="6"/>
      <c r="AC425" s="6"/>
      <c r="AD425" s="6"/>
      <c r="AE425" s="6"/>
    </row>
    <row r="426">
      <c r="A426" s="7" t="str">
        <f t="shared" si="2"/>
        <v/>
      </c>
      <c r="B426" s="6"/>
      <c r="C426" s="6"/>
      <c r="D426" s="113"/>
      <c r="E426" s="6"/>
      <c r="F426" s="6"/>
      <c r="G426" s="6"/>
      <c r="H426" s="6"/>
      <c r="I426" s="6"/>
      <c r="J426" s="6"/>
      <c r="K426" s="6"/>
      <c r="L426" s="6"/>
      <c r="M426" s="6"/>
      <c r="N426" s="6"/>
      <c r="O426" s="6"/>
      <c r="P426" s="35"/>
      <c r="Q426" s="35"/>
      <c r="R426" s="6"/>
      <c r="S426" s="6"/>
      <c r="T426" s="6"/>
      <c r="U426" s="6"/>
      <c r="V426" s="6"/>
      <c r="W426" s="6"/>
      <c r="X426" s="6"/>
      <c r="Y426" s="6"/>
      <c r="Z426" s="6"/>
      <c r="AA426" s="6"/>
      <c r="AB426" s="6"/>
      <c r="AC426" s="6"/>
      <c r="AD426" s="6"/>
      <c r="AE426" s="6"/>
    </row>
    <row r="427">
      <c r="A427" s="7" t="str">
        <f t="shared" si="2"/>
        <v/>
      </c>
      <c r="B427" s="6"/>
      <c r="C427" s="6"/>
      <c r="D427" s="113"/>
      <c r="E427" s="6"/>
      <c r="F427" s="6"/>
      <c r="G427" s="6"/>
      <c r="H427" s="6"/>
      <c r="I427" s="6"/>
      <c r="J427" s="6"/>
      <c r="K427" s="6"/>
      <c r="L427" s="6"/>
      <c r="M427" s="6"/>
      <c r="N427" s="6"/>
      <c r="O427" s="6"/>
      <c r="P427" s="35"/>
      <c r="Q427" s="35"/>
      <c r="R427" s="6"/>
      <c r="S427" s="6"/>
      <c r="T427" s="6"/>
      <c r="U427" s="6"/>
      <c r="V427" s="6"/>
      <c r="W427" s="6"/>
      <c r="X427" s="6"/>
      <c r="Y427" s="6"/>
      <c r="Z427" s="6"/>
      <c r="AA427" s="6"/>
      <c r="AB427" s="6"/>
      <c r="AC427" s="6"/>
      <c r="AD427" s="6"/>
      <c r="AE427" s="6"/>
    </row>
    <row r="428">
      <c r="A428" s="7" t="str">
        <f t="shared" si="2"/>
        <v/>
      </c>
      <c r="B428" s="6"/>
      <c r="C428" s="6"/>
      <c r="D428" s="113"/>
      <c r="E428" s="6"/>
      <c r="F428" s="6"/>
      <c r="G428" s="6"/>
      <c r="H428" s="6"/>
      <c r="I428" s="6"/>
      <c r="J428" s="6"/>
      <c r="K428" s="6"/>
      <c r="L428" s="6"/>
      <c r="M428" s="6"/>
      <c r="N428" s="6"/>
      <c r="O428" s="6"/>
      <c r="P428" s="35"/>
      <c r="Q428" s="35"/>
      <c r="R428" s="6"/>
      <c r="S428" s="6"/>
      <c r="T428" s="6"/>
      <c r="U428" s="6"/>
      <c r="V428" s="6"/>
      <c r="W428" s="6"/>
      <c r="X428" s="6"/>
      <c r="Y428" s="6"/>
      <c r="Z428" s="6"/>
      <c r="AA428" s="6"/>
      <c r="AB428" s="6"/>
      <c r="AC428" s="6"/>
      <c r="AD428" s="6"/>
      <c r="AE428" s="6"/>
    </row>
    <row r="429">
      <c r="A429" s="7" t="str">
        <f t="shared" si="2"/>
        <v/>
      </c>
      <c r="B429" s="6"/>
      <c r="C429" s="6"/>
      <c r="D429" s="113"/>
      <c r="E429" s="6"/>
      <c r="F429" s="6"/>
      <c r="G429" s="6"/>
      <c r="H429" s="6"/>
      <c r="I429" s="6"/>
      <c r="J429" s="6"/>
      <c r="K429" s="6"/>
      <c r="L429" s="6"/>
      <c r="M429" s="6"/>
      <c r="N429" s="6"/>
      <c r="O429" s="6"/>
      <c r="P429" s="35"/>
      <c r="Q429" s="35"/>
      <c r="R429" s="6"/>
      <c r="S429" s="6"/>
      <c r="T429" s="6"/>
      <c r="U429" s="6"/>
      <c r="V429" s="6"/>
      <c r="W429" s="6"/>
      <c r="X429" s="6"/>
      <c r="Y429" s="6"/>
      <c r="Z429" s="6"/>
      <c r="AA429" s="6"/>
      <c r="AB429" s="6"/>
      <c r="AC429" s="6"/>
      <c r="AD429" s="6"/>
      <c r="AE429" s="6"/>
    </row>
    <row r="430">
      <c r="A430" s="7" t="str">
        <f t="shared" si="2"/>
        <v/>
      </c>
      <c r="B430" s="6"/>
      <c r="C430" s="6"/>
      <c r="D430" s="113"/>
      <c r="E430" s="6"/>
      <c r="F430" s="6"/>
      <c r="G430" s="6"/>
      <c r="H430" s="6"/>
      <c r="I430" s="6"/>
      <c r="J430" s="6"/>
      <c r="K430" s="6"/>
      <c r="L430" s="6"/>
      <c r="M430" s="6"/>
      <c r="N430" s="6"/>
      <c r="O430" s="6"/>
      <c r="P430" s="35"/>
      <c r="Q430" s="35"/>
      <c r="R430" s="6"/>
      <c r="S430" s="6"/>
      <c r="T430" s="6"/>
      <c r="U430" s="6"/>
      <c r="V430" s="6"/>
      <c r="W430" s="6"/>
      <c r="X430" s="6"/>
      <c r="Y430" s="6"/>
      <c r="Z430" s="6"/>
      <c r="AA430" s="6"/>
      <c r="AB430" s="6"/>
      <c r="AC430" s="6"/>
      <c r="AD430" s="6"/>
      <c r="AE430" s="6"/>
    </row>
    <row r="431">
      <c r="A431" s="7" t="str">
        <f t="shared" si="2"/>
        <v/>
      </c>
      <c r="B431" s="6"/>
      <c r="C431" s="6"/>
      <c r="D431" s="113"/>
      <c r="E431" s="6"/>
      <c r="F431" s="6"/>
      <c r="G431" s="6"/>
      <c r="H431" s="6"/>
      <c r="I431" s="6"/>
      <c r="J431" s="6"/>
      <c r="K431" s="6"/>
      <c r="L431" s="6"/>
      <c r="M431" s="6"/>
      <c r="N431" s="6"/>
      <c r="O431" s="6"/>
      <c r="P431" s="35"/>
      <c r="Q431" s="35"/>
      <c r="R431" s="6"/>
      <c r="S431" s="6"/>
      <c r="T431" s="6"/>
      <c r="U431" s="6"/>
      <c r="V431" s="6"/>
      <c r="W431" s="6"/>
      <c r="X431" s="6"/>
      <c r="Y431" s="6"/>
      <c r="Z431" s="6"/>
      <c r="AA431" s="6"/>
      <c r="AB431" s="6"/>
      <c r="AC431" s="6"/>
      <c r="AD431" s="6"/>
      <c r="AE431" s="6"/>
    </row>
    <row r="432">
      <c r="A432" s="7" t="str">
        <f t="shared" si="2"/>
        <v/>
      </c>
      <c r="B432" s="6"/>
      <c r="C432" s="6"/>
      <c r="D432" s="113"/>
      <c r="E432" s="6"/>
      <c r="F432" s="6"/>
      <c r="G432" s="6"/>
      <c r="H432" s="6"/>
      <c r="I432" s="6"/>
      <c r="J432" s="6"/>
      <c r="K432" s="6"/>
      <c r="L432" s="6"/>
      <c r="M432" s="6"/>
      <c r="N432" s="6"/>
      <c r="O432" s="6"/>
      <c r="P432" s="35"/>
      <c r="Q432" s="35"/>
      <c r="R432" s="6"/>
      <c r="S432" s="6"/>
      <c r="T432" s="6"/>
      <c r="U432" s="6"/>
      <c r="V432" s="6"/>
      <c r="W432" s="6"/>
      <c r="X432" s="6"/>
      <c r="Y432" s="6"/>
      <c r="Z432" s="6"/>
      <c r="AA432" s="6"/>
      <c r="AB432" s="6"/>
      <c r="AC432" s="6"/>
      <c r="AD432" s="6"/>
      <c r="AE432" s="6"/>
    </row>
    <row r="433">
      <c r="A433" s="7" t="str">
        <f t="shared" si="2"/>
        <v/>
      </c>
      <c r="B433" s="6"/>
      <c r="C433" s="6"/>
      <c r="D433" s="113"/>
      <c r="E433" s="6"/>
      <c r="F433" s="6"/>
      <c r="G433" s="6"/>
      <c r="H433" s="6"/>
      <c r="I433" s="6"/>
      <c r="J433" s="6"/>
      <c r="K433" s="6"/>
      <c r="L433" s="6"/>
      <c r="M433" s="6"/>
      <c r="N433" s="6"/>
      <c r="O433" s="6"/>
      <c r="P433" s="35"/>
      <c r="Q433" s="35"/>
      <c r="R433" s="6"/>
      <c r="S433" s="6"/>
      <c r="T433" s="6"/>
      <c r="U433" s="6"/>
      <c r="V433" s="6"/>
      <c r="W433" s="6"/>
      <c r="X433" s="6"/>
      <c r="Y433" s="6"/>
      <c r="Z433" s="6"/>
      <c r="AA433" s="6"/>
      <c r="AB433" s="6"/>
      <c r="AC433" s="6"/>
      <c r="AD433" s="6"/>
      <c r="AE433" s="6"/>
    </row>
    <row r="434">
      <c r="A434" s="7" t="str">
        <f t="shared" si="2"/>
        <v/>
      </c>
      <c r="B434" s="6"/>
      <c r="C434" s="6"/>
      <c r="D434" s="113"/>
      <c r="E434" s="6"/>
      <c r="F434" s="6"/>
      <c r="G434" s="6"/>
      <c r="H434" s="6"/>
      <c r="I434" s="6"/>
      <c r="J434" s="6"/>
      <c r="K434" s="6"/>
      <c r="L434" s="6"/>
      <c r="M434" s="6"/>
      <c r="N434" s="6"/>
      <c r="O434" s="6"/>
      <c r="P434" s="35"/>
      <c r="Q434" s="35"/>
      <c r="R434" s="6"/>
      <c r="S434" s="6"/>
      <c r="T434" s="6"/>
      <c r="U434" s="6"/>
      <c r="V434" s="6"/>
      <c r="W434" s="6"/>
      <c r="X434" s="6"/>
      <c r="Y434" s="6"/>
      <c r="Z434" s="6"/>
      <c r="AA434" s="6"/>
      <c r="AB434" s="6"/>
      <c r="AC434" s="6"/>
      <c r="AD434" s="6"/>
      <c r="AE434" s="6"/>
    </row>
    <row r="435">
      <c r="A435" s="7" t="str">
        <f t="shared" si="2"/>
        <v/>
      </c>
      <c r="B435" s="6"/>
      <c r="C435" s="6"/>
      <c r="D435" s="113"/>
      <c r="E435" s="6"/>
      <c r="F435" s="6"/>
      <c r="G435" s="6"/>
      <c r="H435" s="6"/>
      <c r="I435" s="6"/>
      <c r="J435" s="6"/>
      <c r="K435" s="6"/>
      <c r="L435" s="6"/>
      <c r="M435" s="6"/>
      <c r="N435" s="6"/>
      <c r="O435" s="6"/>
      <c r="P435" s="35"/>
      <c r="Q435" s="35"/>
      <c r="R435" s="6"/>
      <c r="S435" s="6"/>
      <c r="T435" s="6"/>
      <c r="U435" s="6"/>
      <c r="V435" s="6"/>
      <c r="W435" s="6"/>
      <c r="X435" s="6"/>
      <c r="Y435" s="6"/>
      <c r="Z435" s="6"/>
      <c r="AA435" s="6"/>
      <c r="AB435" s="6"/>
      <c r="AC435" s="6"/>
      <c r="AD435" s="6"/>
      <c r="AE435" s="6"/>
    </row>
    <row r="436">
      <c r="A436" s="7" t="str">
        <f t="shared" si="2"/>
        <v/>
      </c>
      <c r="B436" s="6"/>
      <c r="C436" s="6"/>
      <c r="D436" s="113"/>
      <c r="E436" s="6"/>
      <c r="F436" s="6"/>
      <c r="G436" s="6"/>
      <c r="H436" s="6"/>
      <c r="I436" s="6"/>
      <c r="J436" s="6"/>
      <c r="K436" s="6"/>
      <c r="L436" s="6"/>
      <c r="M436" s="6"/>
      <c r="N436" s="6"/>
      <c r="O436" s="6"/>
      <c r="P436" s="35"/>
      <c r="Q436" s="35"/>
      <c r="R436" s="6"/>
      <c r="S436" s="6"/>
      <c r="T436" s="6"/>
      <c r="U436" s="6"/>
      <c r="V436" s="6"/>
      <c r="W436" s="6"/>
      <c r="X436" s="6"/>
      <c r="Y436" s="6"/>
      <c r="Z436" s="6"/>
      <c r="AA436" s="6"/>
      <c r="AB436" s="6"/>
      <c r="AC436" s="6"/>
      <c r="AD436" s="6"/>
      <c r="AE436" s="6"/>
    </row>
    <row r="437">
      <c r="A437" s="7" t="str">
        <f t="shared" si="2"/>
        <v/>
      </c>
      <c r="B437" s="6"/>
      <c r="C437" s="6"/>
      <c r="D437" s="113"/>
      <c r="E437" s="6"/>
      <c r="F437" s="6"/>
      <c r="G437" s="6"/>
      <c r="H437" s="6"/>
      <c r="I437" s="6"/>
      <c r="J437" s="6"/>
      <c r="K437" s="6"/>
      <c r="L437" s="6"/>
      <c r="M437" s="6"/>
      <c r="N437" s="6"/>
      <c r="O437" s="6"/>
      <c r="P437" s="35"/>
      <c r="Q437" s="35"/>
      <c r="R437" s="6"/>
      <c r="S437" s="6"/>
      <c r="T437" s="6"/>
      <c r="U437" s="6"/>
      <c r="V437" s="6"/>
      <c r="W437" s="6"/>
      <c r="X437" s="6"/>
      <c r="Y437" s="6"/>
      <c r="Z437" s="6"/>
      <c r="AA437" s="6"/>
      <c r="AB437" s="6"/>
      <c r="AC437" s="6"/>
      <c r="AD437" s="6"/>
      <c r="AE437" s="6"/>
    </row>
    <row r="438">
      <c r="A438" s="7" t="str">
        <f t="shared" si="2"/>
        <v/>
      </c>
      <c r="B438" s="6"/>
      <c r="C438" s="6"/>
      <c r="D438" s="113"/>
      <c r="E438" s="6"/>
      <c r="F438" s="6"/>
      <c r="G438" s="6"/>
      <c r="H438" s="6"/>
      <c r="I438" s="6"/>
      <c r="J438" s="6"/>
      <c r="K438" s="6"/>
      <c r="L438" s="6"/>
      <c r="M438" s="6"/>
      <c r="N438" s="6"/>
      <c r="O438" s="6"/>
      <c r="P438" s="35"/>
      <c r="Q438" s="35"/>
      <c r="R438" s="6"/>
      <c r="S438" s="6"/>
      <c r="T438" s="6"/>
      <c r="U438" s="6"/>
      <c r="V438" s="6"/>
      <c r="W438" s="6"/>
      <c r="X438" s="6"/>
      <c r="Y438" s="6"/>
      <c r="Z438" s="6"/>
      <c r="AA438" s="6"/>
      <c r="AB438" s="6"/>
      <c r="AC438" s="6"/>
      <c r="AD438" s="6"/>
      <c r="AE438" s="6"/>
    </row>
    <row r="439">
      <c r="A439" s="7" t="str">
        <f t="shared" si="2"/>
        <v/>
      </c>
      <c r="B439" s="6"/>
      <c r="C439" s="6"/>
      <c r="D439" s="113"/>
      <c r="E439" s="6"/>
      <c r="F439" s="6"/>
      <c r="G439" s="6"/>
      <c r="H439" s="6"/>
      <c r="I439" s="6"/>
      <c r="J439" s="6"/>
      <c r="K439" s="6"/>
      <c r="L439" s="6"/>
      <c r="M439" s="6"/>
      <c r="N439" s="6"/>
      <c r="O439" s="6"/>
      <c r="P439" s="35"/>
      <c r="Q439" s="35"/>
      <c r="R439" s="6"/>
      <c r="S439" s="6"/>
      <c r="T439" s="6"/>
      <c r="U439" s="6"/>
      <c r="V439" s="6"/>
      <c r="W439" s="6"/>
      <c r="X439" s="6"/>
      <c r="Y439" s="6"/>
      <c r="Z439" s="6"/>
      <c r="AA439" s="6"/>
      <c r="AB439" s="6"/>
      <c r="AC439" s="6"/>
      <c r="AD439" s="6"/>
      <c r="AE439" s="6"/>
    </row>
    <row r="440">
      <c r="A440" s="7" t="str">
        <f t="shared" si="2"/>
        <v/>
      </c>
      <c r="B440" s="6"/>
      <c r="C440" s="6"/>
      <c r="D440" s="113"/>
      <c r="E440" s="6"/>
      <c r="F440" s="6"/>
      <c r="G440" s="6"/>
      <c r="H440" s="6"/>
      <c r="I440" s="6"/>
      <c r="J440" s="6"/>
      <c r="K440" s="6"/>
      <c r="L440" s="6"/>
      <c r="M440" s="6"/>
      <c r="N440" s="6"/>
      <c r="O440" s="6"/>
      <c r="P440" s="35"/>
      <c r="Q440" s="35"/>
      <c r="R440" s="6"/>
      <c r="S440" s="6"/>
      <c r="T440" s="6"/>
      <c r="U440" s="6"/>
      <c r="V440" s="6"/>
      <c r="W440" s="6"/>
      <c r="X440" s="6"/>
      <c r="Y440" s="6"/>
      <c r="Z440" s="6"/>
      <c r="AA440" s="6"/>
      <c r="AB440" s="6"/>
      <c r="AC440" s="6"/>
      <c r="AD440" s="6"/>
      <c r="AE440" s="6"/>
    </row>
    <row r="441">
      <c r="A441" s="7" t="str">
        <f t="shared" si="2"/>
        <v/>
      </c>
      <c r="B441" s="6"/>
      <c r="C441" s="6"/>
      <c r="D441" s="113"/>
      <c r="E441" s="6"/>
      <c r="F441" s="6"/>
      <c r="G441" s="6"/>
      <c r="H441" s="6"/>
      <c r="I441" s="6"/>
      <c r="J441" s="6"/>
      <c r="K441" s="6"/>
      <c r="L441" s="6"/>
      <c r="M441" s="6"/>
      <c r="N441" s="6"/>
      <c r="O441" s="6"/>
      <c r="P441" s="35"/>
      <c r="Q441" s="35"/>
      <c r="R441" s="6"/>
      <c r="S441" s="6"/>
      <c r="T441" s="6"/>
      <c r="U441" s="6"/>
      <c r="V441" s="6"/>
      <c r="W441" s="6"/>
      <c r="X441" s="6"/>
      <c r="Y441" s="6"/>
      <c r="Z441" s="6"/>
      <c r="AA441" s="6"/>
      <c r="AB441" s="6"/>
      <c r="AC441" s="6"/>
      <c r="AD441" s="6"/>
      <c r="AE441" s="6"/>
    </row>
    <row r="442">
      <c r="A442" s="7" t="str">
        <f t="shared" si="2"/>
        <v/>
      </c>
      <c r="B442" s="6"/>
      <c r="C442" s="6"/>
      <c r="D442" s="113"/>
      <c r="E442" s="6"/>
      <c r="F442" s="6"/>
      <c r="G442" s="6"/>
      <c r="H442" s="6"/>
      <c r="I442" s="6"/>
      <c r="J442" s="6"/>
      <c r="K442" s="6"/>
      <c r="L442" s="6"/>
      <c r="M442" s="6"/>
      <c r="N442" s="6"/>
      <c r="O442" s="6"/>
      <c r="P442" s="35"/>
      <c r="Q442" s="35"/>
      <c r="R442" s="6"/>
      <c r="S442" s="6"/>
      <c r="T442" s="6"/>
      <c r="U442" s="6"/>
      <c r="V442" s="6"/>
      <c r="W442" s="6"/>
      <c r="X442" s="6"/>
      <c r="Y442" s="6"/>
      <c r="Z442" s="6"/>
      <c r="AA442" s="6"/>
      <c r="AB442" s="6"/>
      <c r="AC442" s="6"/>
      <c r="AD442" s="6"/>
      <c r="AE442" s="6"/>
    </row>
    <row r="443">
      <c r="A443" s="7" t="str">
        <f t="shared" si="2"/>
        <v/>
      </c>
      <c r="B443" s="6"/>
      <c r="C443" s="6"/>
      <c r="D443" s="113"/>
      <c r="E443" s="6"/>
      <c r="F443" s="6"/>
      <c r="G443" s="6"/>
      <c r="H443" s="6"/>
      <c r="I443" s="6"/>
      <c r="J443" s="6"/>
      <c r="K443" s="6"/>
      <c r="L443" s="6"/>
      <c r="M443" s="6"/>
      <c r="N443" s="6"/>
      <c r="O443" s="6"/>
      <c r="P443" s="35"/>
      <c r="Q443" s="35"/>
      <c r="R443" s="6"/>
      <c r="S443" s="6"/>
      <c r="T443" s="6"/>
      <c r="U443" s="6"/>
      <c r="V443" s="6"/>
      <c r="W443" s="6"/>
      <c r="X443" s="6"/>
      <c r="Y443" s="6"/>
      <c r="Z443" s="6"/>
      <c r="AA443" s="6"/>
      <c r="AB443" s="6"/>
      <c r="AC443" s="6"/>
      <c r="AD443" s="6"/>
      <c r="AE443" s="6"/>
    </row>
    <row r="444">
      <c r="A444" s="7" t="str">
        <f t="shared" si="2"/>
        <v/>
      </c>
      <c r="B444" s="6"/>
      <c r="C444" s="6"/>
      <c r="D444" s="113"/>
      <c r="E444" s="6"/>
      <c r="F444" s="6"/>
      <c r="G444" s="6"/>
      <c r="H444" s="6"/>
      <c r="I444" s="6"/>
      <c r="J444" s="6"/>
      <c r="K444" s="6"/>
      <c r="L444" s="6"/>
      <c r="M444" s="6"/>
      <c r="N444" s="6"/>
      <c r="O444" s="6"/>
      <c r="P444" s="35"/>
      <c r="Q444" s="35"/>
      <c r="R444" s="6"/>
      <c r="S444" s="6"/>
      <c r="T444" s="6"/>
      <c r="U444" s="6"/>
      <c r="V444" s="6"/>
      <c r="W444" s="6"/>
      <c r="X444" s="6"/>
      <c r="Y444" s="6"/>
      <c r="Z444" s="6"/>
      <c r="AA444" s="6"/>
      <c r="AB444" s="6"/>
      <c r="AC444" s="6"/>
      <c r="AD444" s="6"/>
      <c r="AE444" s="6"/>
    </row>
    <row r="445">
      <c r="A445" s="7" t="str">
        <f t="shared" si="2"/>
        <v/>
      </c>
      <c r="B445" s="6"/>
      <c r="C445" s="6"/>
      <c r="D445" s="113"/>
      <c r="E445" s="6"/>
      <c r="F445" s="6"/>
      <c r="G445" s="6"/>
      <c r="H445" s="6"/>
      <c r="I445" s="6"/>
      <c r="J445" s="6"/>
      <c r="K445" s="6"/>
      <c r="L445" s="6"/>
      <c r="M445" s="6"/>
      <c r="N445" s="6"/>
      <c r="O445" s="6"/>
      <c r="P445" s="35"/>
      <c r="Q445" s="35"/>
      <c r="R445" s="6"/>
      <c r="S445" s="6"/>
      <c r="T445" s="6"/>
      <c r="U445" s="6"/>
      <c r="V445" s="6"/>
      <c r="W445" s="6"/>
      <c r="X445" s="6"/>
      <c r="Y445" s="6"/>
      <c r="Z445" s="6"/>
      <c r="AA445" s="6"/>
      <c r="AB445" s="6"/>
      <c r="AC445" s="6"/>
      <c r="AD445" s="6"/>
      <c r="AE445" s="6"/>
    </row>
    <row r="446">
      <c r="A446" s="7" t="str">
        <f t="shared" si="2"/>
        <v/>
      </c>
      <c r="B446" s="6"/>
      <c r="C446" s="6"/>
      <c r="D446" s="113"/>
      <c r="E446" s="6"/>
      <c r="F446" s="6"/>
      <c r="G446" s="6"/>
      <c r="H446" s="6"/>
      <c r="I446" s="6"/>
      <c r="J446" s="6"/>
      <c r="K446" s="6"/>
      <c r="L446" s="6"/>
      <c r="M446" s="6"/>
      <c r="N446" s="6"/>
      <c r="O446" s="6"/>
      <c r="P446" s="35"/>
      <c r="Q446" s="35"/>
      <c r="R446" s="6"/>
      <c r="S446" s="6"/>
      <c r="T446" s="6"/>
      <c r="U446" s="6"/>
      <c r="V446" s="6"/>
      <c r="W446" s="6"/>
      <c r="X446" s="6"/>
      <c r="Y446" s="6"/>
      <c r="Z446" s="6"/>
      <c r="AA446" s="6"/>
      <c r="AB446" s="6"/>
      <c r="AC446" s="6"/>
      <c r="AD446" s="6"/>
      <c r="AE446" s="6"/>
    </row>
    <row r="447">
      <c r="A447" s="7" t="str">
        <f t="shared" si="2"/>
        <v/>
      </c>
      <c r="B447" s="6"/>
      <c r="C447" s="6"/>
      <c r="D447" s="113"/>
      <c r="E447" s="6"/>
      <c r="F447" s="6"/>
      <c r="G447" s="6"/>
      <c r="H447" s="6"/>
      <c r="I447" s="6"/>
      <c r="J447" s="6"/>
      <c r="K447" s="6"/>
      <c r="L447" s="6"/>
      <c r="M447" s="6"/>
      <c r="N447" s="6"/>
      <c r="O447" s="6"/>
      <c r="P447" s="35"/>
      <c r="Q447" s="35"/>
      <c r="R447" s="6"/>
      <c r="S447" s="6"/>
      <c r="T447" s="6"/>
      <c r="U447" s="6"/>
      <c r="V447" s="6"/>
      <c r="W447" s="6"/>
      <c r="X447" s="6"/>
      <c r="Y447" s="6"/>
      <c r="Z447" s="6"/>
      <c r="AA447" s="6"/>
      <c r="AB447" s="6"/>
      <c r="AC447" s="6"/>
      <c r="AD447" s="6"/>
      <c r="AE447" s="6"/>
    </row>
    <row r="448">
      <c r="A448" s="7" t="str">
        <f t="shared" si="2"/>
        <v/>
      </c>
      <c r="B448" s="6"/>
      <c r="C448" s="6"/>
      <c r="D448" s="113"/>
      <c r="E448" s="6"/>
      <c r="F448" s="6"/>
      <c r="G448" s="6"/>
      <c r="H448" s="6"/>
      <c r="I448" s="6"/>
      <c r="J448" s="6"/>
      <c r="K448" s="6"/>
      <c r="L448" s="6"/>
      <c r="M448" s="6"/>
      <c r="N448" s="6"/>
      <c r="O448" s="6"/>
      <c r="P448" s="35"/>
      <c r="Q448" s="35"/>
      <c r="R448" s="6"/>
      <c r="S448" s="6"/>
      <c r="T448" s="6"/>
      <c r="U448" s="6"/>
      <c r="V448" s="6"/>
      <c r="W448" s="6"/>
      <c r="X448" s="6"/>
      <c r="Y448" s="6"/>
      <c r="Z448" s="6"/>
      <c r="AA448" s="6"/>
      <c r="AB448" s="6"/>
      <c r="AC448" s="6"/>
      <c r="AD448" s="6"/>
      <c r="AE448" s="6"/>
    </row>
    <row r="449">
      <c r="A449" s="7" t="str">
        <f t="shared" si="2"/>
        <v/>
      </c>
      <c r="B449" s="6"/>
      <c r="C449" s="6"/>
      <c r="D449" s="113"/>
      <c r="E449" s="6"/>
      <c r="F449" s="6"/>
      <c r="G449" s="6"/>
      <c r="H449" s="6"/>
      <c r="I449" s="6"/>
      <c r="J449" s="6"/>
      <c r="K449" s="6"/>
      <c r="L449" s="6"/>
      <c r="M449" s="6"/>
      <c r="N449" s="6"/>
      <c r="O449" s="6"/>
      <c r="P449" s="35"/>
      <c r="Q449" s="35"/>
      <c r="R449" s="6"/>
      <c r="S449" s="6"/>
      <c r="T449" s="6"/>
      <c r="U449" s="6"/>
      <c r="V449" s="6"/>
      <c r="W449" s="6"/>
      <c r="X449" s="6"/>
      <c r="Y449" s="6"/>
      <c r="Z449" s="6"/>
      <c r="AA449" s="6"/>
      <c r="AB449" s="6"/>
      <c r="AC449" s="6"/>
      <c r="AD449" s="6"/>
      <c r="AE449" s="6"/>
    </row>
    <row r="450">
      <c r="A450" s="7" t="str">
        <f t="shared" si="2"/>
        <v/>
      </c>
      <c r="B450" s="6"/>
      <c r="C450" s="6"/>
      <c r="D450" s="113"/>
      <c r="E450" s="6"/>
      <c r="F450" s="6"/>
      <c r="G450" s="6"/>
      <c r="H450" s="6"/>
      <c r="I450" s="6"/>
      <c r="J450" s="6"/>
      <c r="K450" s="6"/>
      <c r="L450" s="6"/>
      <c r="M450" s="6"/>
      <c r="N450" s="6"/>
      <c r="O450" s="6"/>
      <c r="P450" s="35"/>
      <c r="Q450" s="35"/>
      <c r="R450" s="6"/>
      <c r="S450" s="6"/>
      <c r="T450" s="6"/>
      <c r="U450" s="6"/>
      <c r="V450" s="6"/>
      <c r="W450" s="6"/>
      <c r="X450" s="6"/>
      <c r="Y450" s="6"/>
      <c r="Z450" s="6"/>
      <c r="AA450" s="6"/>
      <c r="AB450" s="6"/>
      <c r="AC450" s="6"/>
      <c r="AD450" s="6"/>
      <c r="AE450" s="6"/>
    </row>
    <row r="451">
      <c r="A451" s="7" t="str">
        <f t="shared" si="2"/>
        <v/>
      </c>
      <c r="B451" s="6"/>
      <c r="C451" s="6"/>
      <c r="D451" s="113"/>
      <c r="E451" s="6"/>
      <c r="F451" s="6"/>
      <c r="G451" s="6"/>
      <c r="H451" s="6"/>
      <c r="I451" s="6"/>
      <c r="J451" s="6"/>
      <c r="K451" s="6"/>
      <c r="L451" s="6"/>
      <c r="M451" s="6"/>
      <c r="N451" s="6"/>
      <c r="O451" s="6"/>
      <c r="P451" s="35"/>
      <c r="Q451" s="35"/>
      <c r="R451" s="6"/>
      <c r="S451" s="6"/>
      <c r="T451" s="6"/>
      <c r="U451" s="6"/>
      <c r="V451" s="6"/>
      <c r="W451" s="6"/>
      <c r="X451" s="6"/>
      <c r="Y451" s="6"/>
      <c r="Z451" s="6"/>
      <c r="AA451" s="6"/>
      <c r="AB451" s="6"/>
      <c r="AC451" s="6"/>
      <c r="AD451" s="6"/>
      <c r="AE451" s="6"/>
    </row>
    <row r="452">
      <c r="A452" s="7" t="str">
        <f t="shared" si="2"/>
        <v/>
      </c>
      <c r="B452" s="6"/>
      <c r="C452" s="6"/>
      <c r="D452" s="113"/>
      <c r="E452" s="6"/>
      <c r="F452" s="6"/>
      <c r="G452" s="6"/>
      <c r="H452" s="6"/>
      <c r="I452" s="6"/>
      <c r="J452" s="6"/>
      <c r="K452" s="6"/>
      <c r="L452" s="6"/>
      <c r="M452" s="6"/>
      <c r="N452" s="6"/>
      <c r="O452" s="6"/>
      <c r="P452" s="35"/>
      <c r="Q452" s="35"/>
      <c r="R452" s="6"/>
      <c r="S452" s="6"/>
      <c r="T452" s="6"/>
      <c r="U452" s="6"/>
      <c r="V452" s="6"/>
      <c r="W452" s="6"/>
      <c r="X452" s="6"/>
      <c r="Y452" s="6"/>
      <c r="Z452" s="6"/>
      <c r="AA452" s="6"/>
      <c r="AB452" s="6"/>
      <c r="AC452" s="6"/>
      <c r="AD452" s="6"/>
      <c r="AE452" s="6"/>
    </row>
    <row r="453">
      <c r="A453" s="7" t="str">
        <f t="shared" si="2"/>
        <v/>
      </c>
      <c r="B453" s="6"/>
      <c r="C453" s="6"/>
      <c r="D453" s="113"/>
      <c r="E453" s="6"/>
      <c r="F453" s="6"/>
      <c r="G453" s="6"/>
      <c r="H453" s="6"/>
      <c r="I453" s="6"/>
      <c r="J453" s="6"/>
      <c r="K453" s="6"/>
      <c r="L453" s="6"/>
      <c r="M453" s="6"/>
      <c r="N453" s="6"/>
      <c r="O453" s="6"/>
      <c r="P453" s="35"/>
      <c r="Q453" s="35"/>
      <c r="R453" s="6"/>
      <c r="S453" s="6"/>
      <c r="T453" s="6"/>
      <c r="U453" s="6"/>
      <c r="V453" s="6"/>
      <c r="W453" s="6"/>
      <c r="X453" s="6"/>
      <c r="Y453" s="6"/>
      <c r="Z453" s="6"/>
      <c r="AA453" s="6"/>
      <c r="AB453" s="6"/>
      <c r="AC453" s="6"/>
      <c r="AD453" s="6"/>
      <c r="AE453" s="6"/>
    </row>
    <row r="454">
      <c r="A454" s="7" t="str">
        <f t="shared" si="2"/>
        <v/>
      </c>
      <c r="B454" s="6"/>
      <c r="C454" s="6"/>
      <c r="D454" s="113"/>
      <c r="E454" s="6"/>
      <c r="F454" s="6"/>
      <c r="G454" s="6"/>
      <c r="H454" s="6"/>
      <c r="I454" s="6"/>
      <c r="J454" s="6"/>
      <c r="K454" s="6"/>
      <c r="L454" s="6"/>
      <c r="M454" s="6"/>
      <c r="N454" s="6"/>
      <c r="O454" s="6"/>
      <c r="P454" s="35"/>
      <c r="Q454" s="35"/>
      <c r="R454" s="6"/>
      <c r="S454" s="6"/>
      <c r="T454" s="6"/>
      <c r="U454" s="6"/>
      <c r="V454" s="6"/>
      <c r="W454" s="6"/>
      <c r="X454" s="6"/>
      <c r="Y454" s="6"/>
      <c r="Z454" s="6"/>
      <c r="AA454" s="6"/>
      <c r="AB454" s="6"/>
      <c r="AC454" s="6"/>
      <c r="AD454" s="6"/>
      <c r="AE454" s="6"/>
    </row>
    <row r="455">
      <c r="A455" s="7" t="str">
        <f t="shared" si="2"/>
        <v/>
      </c>
      <c r="B455" s="6"/>
      <c r="C455" s="6"/>
      <c r="D455" s="113"/>
      <c r="E455" s="6"/>
      <c r="F455" s="6"/>
      <c r="G455" s="6"/>
      <c r="H455" s="6"/>
      <c r="I455" s="6"/>
      <c r="J455" s="6"/>
      <c r="K455" s="6"/>
      <c r="L455" s="6"/>
      <c r="M455" s="6"/>
      <c r="N455" s="6"/>
      <c r="O455" s="6"/>
      <c r="P455" s="35"/>
      <c r="Q455" s="35"/>
      <c r="R455" s="6"/>
      <c r="S455" s="6"/>
      <c r="T455" s="6"/>
      <c r="U455" s="6"/>
      <c r="V455" s="6"/>
      <c r="W455" s="6"/>
      <c r="X455" s="6"/>
      <c r="Y455" s="6"/>
      <c r="Z455" s="6"/>
      <c r="AA455" s="6"/>
      <c r="AB455" s="6"/>
      <c r="AC455" s="6"/>
      <c r="AD455" s="6"/>
      <c r="AE455" s="6"/>
    </row>
    <row r="456">
      <c r="A456" s="7" t="str">
        <f t="shared" si="2"/>
        <v/>
      </c>
      <c r="B456" s="6"/>
      <c r="C456" s="6"/>
      <c r="D456" s="113"/>
      <c r="E456" s="6"/>
      <c r="F456" s="6"/>
      <c r="G456" s="6"/>
      <c r="H456" s="6"/>
      <c r="I456" s="6"/>
      <c r="J456" s="6"/>
      <c r="K456" s="6"/>
      <c r="L456" s="6"/>
      <c r="M456" s="6"/>
      <c r="N456" s="6"/>
      <c r="O456" s="6"/>
      <c r="P456" s="35"/>
      <c r="Q456" s="35"/>
      <c r="R456" s="6"/>
      <c r="S456" s="6"/>
      <c r="T456" s="6"/>
      <c r="U456" s="6"/>
      <c r="V456" s="6"/>
      <c r="W456" s="6"/>
      <c r="X456" s="6"/>
      <c r="Y456" s="6"/>
      <c r="Z456" s="6"/>
      <c r="AA456" s="6"/>
      <c r="AB456" s="6"/>
      <c r="AC456" s="6"/>
      <c r="AD456" s="6"/>
      <c r="AE456" s="6"/>
    </row>
    <row r="457">
      <c r="A457" s="7" t="str">
        <f t="shared" si="2"/>
        <v/>
      </c>
      <c r="B457" s="6"/>
      <c r="C457" s="6"/>
      <c r="D457" s="113"/>
      <c r="E457" s="6"/>
      <c r="F457" s="6"/>
      <c r="G457" s="6"/>
      <c r="H457" s="6"/>
      <c r="I457" s="6"/>
      <c r="J457" s="6"/>
      <c r="K457" s="6"/>
      <c r="L457" s="6"/>
      <c r="M457" s="6"/>
      <c r="N457" s="6"/>
      <c r="O457" s="6"/>
      <c r="P457" s="35"/>
      <c r="Q457" s="35"/>
      <c r="R457" s="6"/>
      <c r="S457" s="6"/>
      <c r="T457" s="6"/>
      <c r="U457" s="6"/>
      <c r="V457" s="6"/>
      <c r="W457" s="6"/>
      <c r="X457" s="6"/>
      <c r="Y457" s="6"/>
      <c r="Z457" s="6"/>
      <c r="AA457" s="6"/>
      <c r="AB457" s="6"/>
      <c r="AC457" s="6"/>
      <c r="AD457" s="6"/>
      <c r="AE457" s="6"/>
    </row>
    <row r="458">
      <c r="A458" s="7" t="str">
        <f t="shared" si="2"/>
        <v/>
      </c>
      <c r="B458" s="6"/>
      <c r="C458" s="6"/>
      <c r="D458" s="113"/>
      <c r="E458" s="6"/>
      <c r="F458" s="6"/>
      <c r="G458" s="6"/>
      <c r="H458" s="6"/>
      <c r="I458" s="6"/>
      <c r="J458" s="6"/>
      <c r="K458" s="6"/>
      <c r="L458" s="6"/>
      <c r="M458" s="6"/>
      <c r="N458" s="6"/>
      <c r="O458" s="6"/>
      <c r="P458" s="35"/>
      <c r="Q458" s="35"/>
      <c r="R458" s="6"/>
      <c r="S458" s="6"/>
      <c r="T458" s="6"/>
      <c r="U458" s="6"/>
      <c r="V458" s="6"/>
      <c r="W458" s="6"/>
      <c r="X458" s="6"/>
      <c r="Y458" s="6"/>
      <c r="Z458" s="6"/>
      <c r="AA458" s="6"/>
      <c r="AB458" s="6"/>
      <c r="AC458" s="6"/>
      <c r="AD458" s="6"/>
      <c r="AE458" s="6"/>
    </row>
    <row r="459">
      <c r="A459" s="7" t="str">
        <f t="shared" si="2"/>
        <v/>
      </c>
      <c r="B459" s="6"/>
      <c r="C459" s="6"/>
      <c r="D459" s="113"/>
      <c r="E459" s="6"/>
      <c r="F459" s="6"/>
      <c r="G459" s="6"/>
      <c r="H459" s="6"/>
      <c r="I459" s="6"/>
      <c r="J459" s="6"/>
      <c r="K459" s="6"/>
      <c r="L459" s="6"/>
      <c r="M459" s="6"/>
      <c r="N459" s="6"/>
      <c r="O459" s="6"/>
      <c r="P459" s="35"/>
      <c r="Q459" s="35"/>
      <c r="R459" s="6"/>
      <c r="S459" s="6"/>
      <c r="T459" s="6"/>
      <c r="U459" s="6"/>
      <c r="V459" s="6"/>
      <c r="W459" s="6"/>
      <c r="X459" s="6"/>
      <c r="Y459" s="6"/>
      <c r="Z459" s="6"/>
      <c r="AA459" s="6"/>
      <c r="AB459" s="6"/>
      <c r="AC459" s="6"/>
      <c r="AD459" s="6"/>
      <c r="AE459" s="6"/>
    </row>
    <row r="460">
      <c r="A460" s="7" t="str">
        <f t="shared" si="2"/>
        <v/>
      </c>
      <c r="B460" s="6"/>
      <c r="C460" s="6"/>
      <c r="D460" s="113"/>
      <c r="E460" s="6"/>
      <c r="F460" s="6"/>
      <c r="G460" s="6"/>
      <c r="H460" s="6"/>
      <c r="I460" s="6"/>
      <c r="J460" s="6"/>
      <c r="K460" s="6"/>
      <c r="L460" s="6"/>
      <c r="M460" s="6"/>
      <c r="N460" s="6"/>
      <c r="O460" s="6"/>
      <c r="P460" s="35"/>
      <c r="Q460" s="35"/>
      <c r="R460" s="6"/>
      <c r="S460" s="6"/>
      <c r="T460" s="6"/>
      <c r="U460" s="6"/>
      <c r="V460" s="6"/>
      <c r="W460" s="6"/>
      <c r="X460" s="6"/>
      <c r="Y460" s="6"/>
      <c r="Z460" s="6"/>
      <c r="AA460" s="6"/>
      <c r="AB460" s="6"/>
      <c r="AC460" s="6"/>
      <c r="AD460" s="6"/>
      <c r="AE460" s="6"/>
    </row>
    <row r="461">
      <c r="A461" s="7" t="str">
        <f t="shared" si="2"/>
        <v/>
      </c>
      <c r="B461" s="6"/>
      <c r="C461" s="6"/>
      <c r="D461" s="113"/>
      <c r="E461" s="6"/>
      <c r="F461" s="6"/>
      <c r="G461" s="6"/>
      <c r="H461" s="6"/>
      <c r="I461" s="6"/>
      <c r="J461" s="6"/>
      <c r="K461" s="6"/>
      <c r="L461" s="6"/>
      <c r="M461" s="6"/>
      <c r="N461" s="6"/>
      <c r="O461" s="6"/>
      <c r="P461" s="35"/>
      <c r="Q461" s="35"/>
      <c r="R461" s="6"/>
      <c r="S461" s="6"/>
      <c r="T461" s="6"/>
      <c r="U461" s="6"/>
      <c r="V461" s="6"/>
      <c r="W461" s="6"/>
      <c r="X461" s="6"/>
      <c r="Y461" s="6"/>
      <c r="Z461" s="6"/>
      <c r="AA461" s="6"/>
      <c r="AB461" s="6"/>
      <c r="AC461" s="6"/>
      <c r="AD461" s="6"/>
      <c r="AE461" s="6"/>
    </row>
    <row r="462">
      <c r="A462" s="7" t="str">
        <f t="shared" si="2"/>
        <v/>
      </c>
      <c r="B462" s="6"/>
      <c r="C462" s="6"/>
      <c r="D462" s="113"/>
      <c r="E462" s="6"/>
      <c r="F462" s="6"/>
      <c r="G462" s="6"/>
      <c r="H462" s="6"/>
      <c r="I462" s="6"/>
      <c r="J462" s="6"/>
      <c r="K462" s="6"/>
      <c r="L462" s="6"/>
      <c r="M462" s="6"/>
      <c r="N462" s="6"/>
      <c r="O462" s="6"/>
      <c r="P462" s="35"/>
      <c r="Q462" s="35"/>
      <c r="R462" s="6"/>
      <c r="S462" s="6"/>
      <c r="T462" s="6"/>
      <c r="U462" s="6"/>
      <c r="V462" s="6"/>
      <c r="W462" s="6"/>
      <c r="X462" s="6"/>
      <c r="Y462" s="6"/>
      <c r="Z462" s="6"/>
      <c r="AA462" s="6"/>
      <c r="AB462" s="6"/>
      <c r="AC462" s="6"/>
      <c r="AD462" s="6"/>
      <c r="AE462" s="6"/>
    </row>
    <row r="463">
      <c r="A463" s="7" t="str">
        <f t="shared" si="2"/>
        <v/>
      </c>
      <c r="B463" s="6"/>
      <c r="C463" s="6"/>
      <c r="D463" s="113"/>
      <c r="E463" s="6"/>
      <c r="F463" s="6"/>
      <c r="G463" s="6"/>
      <c r="H463" s="6"/>
      <c r="I463" s="6"/>
      <c r="J463" s="6"/>
      <c r="K463" s="6"/>
      <c r="L463" s="6"/>
      <c r="M463" s="6"/>
      <c r="N463" s="6"/>
      <c r="O463" s="6"/>
      <c r="P463" s="35"/>
      <c r="Q463" s="35"/>
      <c r="R463" s="6"/>
      <c r="S463" s="6"/>
      <c r="T463" s="6"/>
      <c r="U463" s="6"/>
      <c r="V463" s="6"/>
      <c r="W463" s="6"/>
      <c r="X463" s="6"/>
      <c r="Y463" s="6"/>
      <c r="Z463" s="6"/>
      <c r="AA463" s="6"/>
      <c r="AB463" s="6"/>
      <c r="AC463" s="6"/>
      <c r="AD463" s="6"/>
      <c r="AE463" s="6"/>
    </row>
    <row r="464">
      <c r="A464" s="7" t="str">
        <f t="shared" si="2"/>
        <v/>
      </c>
      <c r="B464" s="6"/>
      <c r="C464" s="6"/>
      <c r="D464" s="113"/>
      <c r="E464" s="6"/>
      <c r="F464" s="6"/>
      <c r="G464" s="6"/>
      <c r="H464" s="6"/>
      <c r="I464" s="6"/>
      <c r="J464" s="6"/>
      <c r="K464" s="6"/>
      <c r="L464" s="6"/>
      <c r="M464" s="6"/>
      <c r="N464" s="6"/>
      <c r="O464" s="6"/>
      <c r="P464" s="35"/>
      <c r="Q464" s="35"/>
      <c r="R464" s="6"/>
      <c r="S464" s="6"/>
      <c r="T464" s="6"/>
      <c r="U464" s="6"/>
      <c r="V464" s="6"/>
      <c r="W464" s="6"/>
      <c r="X464" s="6"/>
      <c r="Y464" s="6"/>
      <c r="Z464" s="6"/>
      <c r="AA464" s="6"/>
      <c r="AB464" s="6"/>
      <c r="AC464" s="6"/>
      <c r="AD464" s="6"/>
      <c r="AE464" s="6"/>
    </row>
    <row r="465">
      <c r="A465" s="7" t="str">
        <f t="shared" si="2"/>
        <v/>
      </c>
      <c r="B465" s="6"/>
      <c r="C465" s="6"/>
      <c r="D465" s="113"/>
      <c r="E465" s="6"/>
      <c r="F465" s="6"/>
      <c r="G465" s="6"/>
      <c r="H465" s="6"/>
      <c r="I465" s="6"/>
      <c r="J465" s="6"/>
      <c r="K465" s="6"/>
      <c r="L465" s="6"/>
      <c r="M465" s="6"/>
      <c r="N465" s="6"/>
      <c r="O465" s="6"/>
      <c r="P465" s="35"/>
      <c r="Q465" s="35"/>
      <c r="R465" s="6"/>
      <c r="S465" s="6"/>
      <c r="T465" s="6"/>
      <c r="U465" s="6"/>
      <c r="V465" s="6"/>
      <c r="W465" s="6"/>
      <c r="X465" s="6"/>
      <c r="Y465" s="6"/>
      <c r="Z465" s="6"/>
      <c r="AA465" s="6"/>
      <c r="AB465" s="6"/>
      <c r="AC465" s="6"/>
      <c r="AD465" s="6"/>
      <c r="AE465" s="6"/>
    </row>
    <row r="466">
      <c r="A466" s="7" t="str">
        <f t="shared" si="2"/>
        <v/>
      </c>
      <c r="B466" s="6"/>
      <c r="C466" s="6"/>
      <c r="D466" s="113"/>
      <c r="E466" s="6"/>
      <c r="F466" s="6"/>
      <c r="G466" s="6"/>
      <c r="H466" s="6"/>
      <c r="I466" s="6"/>
      <c r="J466" s="6"/>
      <c r="K466" s="6"/>
      <c r="L466" s="6"/>
      <c r="M466" s="6"/>
      <c r="N466" s="6"/>
      <c r="O466" s="6"/>
      <c r="P466" s="35"/>
      <c r="Q466" s="35"/>
      <c r="R466" s="6"/>
      <c r="S466" s="6"/>
      <c r="T466" s="6"/>
      <c r="U466" s="6"/>
      <c r="V466" s="6"/>
      <c r="W466" s="6"/>
      <c r="X466" s="6"/>
      <c r="Y466" s="6"/>
      <c r="Z466" s="6"/>
      <c r="AA466" s="6"/>
      <c r="AB466" s="6"/>
      <c r="AC466" s="6"/>
      <c r="AD466" s="6"/>
      <c r="AE466" s="6"/>
    </row>
    <row r="467">
      <c r="A467" s="7" t="str">
        <f t="shared" si="2"/>
        <v/>
      </c>
      <c r="B467" s="6"/>
      <c r="C467" s="6"/>
      <c r="D467" s="113"/>
      <c r="E467" s="6"/>
      <c r="F467" s="6"/>
      <c r="G467" s="6"/>
      <c r="H467" s="6"/>
      <c r="I467" s="6"/>
      <c r="J467" s="6"/>
      <c r="K467" s="6"/>
      <c r="L467" s="6"/>
      <c r="M467" s="6"/>
      <c r="N467" s="6"/>
      <c r="O467" s="6"/>
      <c r="P467" s="35"/>
      <c r="Q467" s="35"/>
      <c r="R467" s="6"/>
      <c r="S467" s="6"/>
      <c r="T467" s="6"/>
      <c r="U467" s="6"/>
      <c r="V467" s="6"/>
      <c r="W467" s="6"/>
      <c r="X467" s="6"/>
      <c r="Y467" s="6"/>
      <c r="Z467" s="6"/>
      <c r="AA467" s="6"/>
      <c r="AB467" s="6"/>
      <c r="AC467" s="6"/>
      <c r="AD467" s="6"/>
      <c r="AE467" s="6"/>
    </row>
    <row r="468">
      <c r="A468" s="7" t="str">
        <f t="shared" si="2"/>
        <v/>
      </c>
      <c r="B468" s="6"/>
      <c r="C468" s="6"/>
      <c r="D468" s="113"/>
      <c r="E468" s="6"/>
      <c r="F468" s="6"/>
      <c r="G468" s="6"/>
      <c r="H468" s="6"/>
      <c r="I468" s="6"/>
      <c r="J468" s="6"/>
      <c r="K468" s="6"/>
      <c r="L468" s="6"/>
      <c r="M468" s="6"/>
      <c r="N468" s="6"/>
      <c r="O468" s="6"/>
      <c r="P468" s="35"/>
      <c r="Q468" s="35"/>
      <c r="R468" s="6"/>
      <c r="S468" s="6"/>
      <c r="T468" s="6"/>
      <c r="U468" s="6"/>
      <c r="V468" s="6"/>
      <c r="W468" s="6"/>
      <c r="X468" s="6"/>
      <c r="Y468" s="6"/>
      <c r="Z468" s="6"/>
      <c r="AA468" s="6"/>
      <c r="AB468" s="6"/>
      <c r="AC468" s="6"/>
      <c r="AD468" s="6"/>
      <c r="AE468" s="6"/>
    </row>
    <row r="469">
      <c r="A469" s="7" t="str">
        <f t="shared" si="2"/>
        <v/>
      </c>
      <c r="B469" s="6"/>
      <c r="C469" s="6"/>
      <c r="D469" s="113"/>
      <c r="E469" s="6"/>
      <c r="F469" s="6"/>
      <c r="G469" s="6"/>
      <c r="H469" s="6"/>
      <c r="I469" s="6"/>
      <c r="J469" s="6"/>
      <c r="K469" s="6"/>
      <c r="L469" s="6"/>
      <c r="M469" s="6"/>
      <c r="N469" s="6"/>
      <c r="O469" s="6"/>
      <c r="P469" s="35"/>
      <c r="Q469" s="35"/>
      <c r="R469" s="6"/>
      <c r="S469" s="6"/>
      <c r="T469" s="6"/>
      <c r="U469" s="6"/>
      <c r="V469" s="6"/>
      <c r="W469" s="6"/>
      <c r="X469" s="6"/>
      <c r="Y469" s="6"/>
      <c r="Z469" s="6"/>
      <c r="AA469" s="6"/>
      <c r="AB469" s="6"/>
      <c r="AC469" s="6"/>
      <c r="AD469" s="6"/>
      <c r="AE469" s="6"/>
    </row>
    <row r="470">
      <c r="A470" s="7" t="str">
        <f t="shared" si="2"/>
        <v/>
      </c>
      <c r="B470" s="6"/>
      <c r="C470" s="6"/>
      <c r="D470" s="113"/>
      <c r="E470" s="6"/>
      <c r="F470" s="6"/>
      <c r="G470" s="6"/>
      <c r="H470" s="6"/>
      <c r="I470" s="6"/>
      <c r="J470" s="6"/>
      <c r="K470" s="6"/>
      <c r="L470" s="6"/>
      <c r="M470" s="6"/>
      <c r="N470" s="6"/>
      <c r="O470" s="6"/>
      <c r="P470" s="35"/>
      <c r="Q470" s="35"/>
      <c r="R470" s="6"/>
      <c r="S470" s="6"/>
      <c r="T470" s="6"/>
      <c r="U470" s="6"/>
      <c r="V470" s="6"/>
      <c r="W470" s="6"/>
      <c r="X470" s="6"/>
      <c r="Y470" s="6"/>
      <c r="Z470" s="6"/>
      <c r="AA470" s="6"/>
      <c r="AB470" s="6"/>
      <c r="AC470" s="6"/>
      <c r="AD470" s="6"/>
      <c r="AE470" s="6"/>
    </row>
    <row r="471">
      <c r="A471" s="7" t="str">
        <f t="shared" si="2"/>
        <v/>
      </c>
      <c r="B471" s="6"/>
      <c r="C471" s="6"/>
      <c r="D471" s="113"/>
      <c r="E471" s="6"/>
      <c r="F471" s="6"/>
      <c r="G471" s="6"/>
      <c r="H471" s="6"/>
      <c r="I471" s="6"/>
      <c r="J471" s="6"/>
      <c r="K471" s="6"/>
      <c r="L471" s="6"/>
      <c r="M471" s="6"/>
      <c r="N471" s="6"/>
      <c r="O471" s="6"/>
      <c r="P471" s="35"/>
      <c r="Q471" s="35"/>
      <c r="R471" s="6"/>
      <c r="S471" s="6"/>
      <c r="T471" s="6"/>
      <c r="U471" s="6"/>
      <c r="V471" s="6"/>
      <c r="W471" s="6"/>
      <c r="X471" s="6"/>
      <c r="Y471" s="6"/>
      <c r="Z471" s="6"/>
      <c r="AA471" s="6"/>
      <c r="AB471" s="6"/>
      <c r="AC471" s="6"/>
      <c r="AD471" s="6"/>
      <c r="AE471" s="6"/>
    </row>
    <row r="472">
      <c r="A472" s="7" t="str">
        <f t="shared" si="2"/>
        <v/>
      </c>
      <c r="B472" s="6"/>
      <c r="C472" s="6"/>
      <c r="D472" s="113"/>
      <c r="E472" s="6"/>
      <c r="F472" s="6"/>
      <c r="G472" s="6"/>
      <c r="H472" s="6"/>
      <c r="I472" s="6"/>
      <c r="J472" s="6"/>
      <c r="K472" s="6"/>
      <c r="L472" s="6"/>
      <c r="M472" s="6"/>
      <c r="N472" s="6"/>
      <c r="O472" s="6"/>
      <c r="P472" s="35"/>
      <c r="Q472" s="35"/>
      <c r="R472" s="6"/>
      <c r="S472" s="6"/>
      <c r="T472" s="6"/>
      <c r="U472" s="6"/>
      <c r="V472" s="6"/>
      <c r="W472" s="6"/>
      <c r="X472" s="6"/>
      <c r="Y472" s="6"/>
      <c r="Z472" s="6"/>
      <c r="AA472" s="6"/>
      <c r="AB472" s="6"/>
      <c r="AC472" s="6"/>
      <c r="AD472" s="6"/>
      <c r="AE472" s="6"/>
    </row>
    <row r="473">
      <c r="A473" s="7" t="str">
        <f t="shared" si="2"/>
        <v/>
      </c>
      <c r="B473" s="6"/>
      <c r="C473" s="6"/>
      <c r="D473" s="113"/>
      <c r="E473" s="6"/>
      <c r="F473" s="6"/>
      <c r="G473" s="6"/>
      <c r="H473" s="6"/>
      <c r="I473" s="6"/>
      <c r="J473" s="6"/>
      <c r="K473" s="6"/>
      <c r="L473" s="6"/>
      <c r="M473" s="6"/>
      <c r="N473" s="6"/>
      <c r="O473" s="6"/>
      <c r="P473" s="35"/>
      <c r="Q473" s="35"/>
      <c r="R473" s="6"/>
      <c r="S473" s="6"/>
      <c r="T473" s="6"/>
      <c r="U473" s="6"/>
      <c r="V473" s="6"/>
      <c r="W473" s="6"/>
      <c r="X473" s="6"/>
      <c r="Y473" s="6"/>
      <c r="Z473" s="6"/>
      <c r="AA473" s="6"/>
      <c r="AB473" s="6"/>
      <c r="AC473" s="6"/>
      <c r="AD473" s="6"/>
      <c r="AE473" s="6"/>
    </row>
    <row r="474">
      <c r="A474" s="7" t="str">
        <f t="shared" si="2"/>
        <v/>
      </c>
      <c r="B474" s="6"/>
      <c r="C474" s="6"/>
      <c r="D474" s="113"/>
      <c r="E474" s="6"/>
      <c r="F474" s="6"/>
      <c r="G474" s="6"/>
      <c r="H474" s="6"/>
      <c r="I474" s="6"/>
      <c r="J474" s="6"/>
      <c r="K474" s="6"/>
      <c r="L474" s="6"/>
      <c r="M474" s="6"/>
      <c r="N474" s="6"/>
      <c r="O474" s="6"/>
      <c r="P474" s="35"/>
      <c r="Q474" s="35"/>
      <c r="R474" s="6"/>
      <c r="S474" s="6"/>
      <c r="T474" s="6"/>
      <c r="U474" s="6"/>
      <c r="V474" s="6"/>
      <c r="W474" s="6"/>
      <c r="X474" s="6"/>
      <c r="Y474" s="6"/>
      <c r="Z474" s="6"/>
      <c r="AA474" s="6"/>
      <c r="AB474" s="6"/>
      <c r="AC474" s="6"/>
      <c r="AD474" s="6"/>
      <c r="AE474" s="6"/>
    </row>
    <row r="475">
      <c r="A475" s="7" t="str">
        <f t="shared" si="2"/>
        <v/>
      </c>
      <c r="B475" s="6"/>
      <c r="C475" s="6"/>
      <c r="D475" s="113"/>
      <c r="E475" s="6"/>
      <c r="F475" s="6"/>
      <c r="G475" s="6"/>
      <c r="H475" s="6"/>
      <c r="I475" s="6"/>
      <c r="J475" s="6"/>
      <c r="K475" s="6"/>
      <c r="L475" s="6"/>
      <c r="M475" s="6"/>
      <c r="N475" s="6"/>
      <c r="O475" s="6"/>
      <c r="P475" s="35"/>
      <c r="Q475" s="35"/>
      <c r="R475" s="6"/>
      <c r="S475" s="6"/>
      <c r="T475" s="6"/>
      <c r="U475" s="6"/>
      <c r="V475" s="6"/>
      <c r="W475" s="6"/>
      <c r="X475" s="6"/>
      <c r="Y475" s="6"/>
      <c r="Z475" s="6"/>
      <c r="AA475" s="6"/>
      <c r="AB475" s="6"/>
      <c r="AC475" s="6"/>
      <c r="AD475" s="6"/>
      <c r="AE475" s="6"/>
    </row>
    <row r="476">
      <c r="A476" s="7" t="str">
        <f t="shared" si="2"/>
        <v/>
      </c>
      <c r="B476" s="6"/>
      <c r="C476" s="6"/>
      <c r="D476" s="113"/>
      <c r="E476" s="6"/>
      <c r="F476" s="6"/>
      <c r="G476" s="6"/>
      <c r="H476" s="6"/>
      <c r="I476" s="6"/>
      <c r="J476" s="6"/>
      <c r="K476" s="6"/>
      <c r="L476" s="6"/>
      <c r="M476" s="6"/>
      <c r="N476" s="6"/>
      <c r="O476" s="6"/>
      <c r="P476" s="35"/>
      <c r="Q476" s="35"/>
      <c r="R476" s="6"/>
      <c r="S476" s="6"/>
      <c r="T476" s="6"/>
      <c r="U476" s="6"/>
      <c r="V476" s="6"/>
      <c r="W476" s="6"/>
      <c r="X476" s="6"/>
      <c r="Y476" s="6"/>
      <c r="Z476" s="6"/>
      <c r="AA476" s="6"/>
      <c r="AB476" s="6"/>
      <c r="AC476" s="6"/>
      <c r="AD476" s="6"/>
      <c r="AE476" s="6"/>
    </row>
    <row r="477">
      <c r="A477" s="7" t="str">
        <f t="shared" si="2"/>
        <v/>
      </c>
      <c r="B477" s="6"/>
      <c r="C477" s="6"/>
      <c r="D477" s="113"/>
      <c r="E477" s="6"/>
      <c r="F477" s="6"/>
      <c r="G477" s="6"/>
      <c r="H477" s="6"/>
      <c r="I477" s="6"/>
      <c r="J477" s="6"/>
      <c r="K477" s="6"/>
      <c r="L477" s="6"/>
      <c r="M477" s="6"/>
      <c r="N477" s="6"/>
      <c r="O477" s="6"/>
      <c r="P477" s="35"/>
      <c r="Q477" s="35"/>
      <c r="R477" s="6"/>
      <c r="S477" s="6"/>
      <c r="T477" s="6"/>
      <c r="U477" s="6"/>
      <c r="V477" s="6"/>
      <c r="W477" s="6"/>
      <c r="X477" s="6"/>
      <c r="Y477" s="6"/>
      <c r="Z477" s="6"/>
      <c r="AA477" s="6"/>
      <c r="AB477" s="6"/>
      <c r="AC477" s="6"/>
      <c r="AD477" s="6"/>
      <c r="AE477" s="6"/>
    </row>
    <row r="478">
      <c r="A478" s="7" t="str">
        <f t="shared" si="2"/>
        <v/>
      </c>
      <c r="B478" s="6"/>
      <c r="C478" s="6"/>
      <c r="D478" s="113"/>
      <c r="E478" s="6"/>
      <c r="F478" s="6"/>
      <c r="G478" s="6"/>
      <c r="H478" s="6"/>
      <c r="I478" s="6"/>
      <c r="J478" s="6"/>
      <c r="K478" s="6"/>
      <c r="L478" s="6"/>
      <c r="M478" s="6"/>
      <c r="N478" s="6"/>
      <c r="O478" s="6"/>
      <c r="P478" s="35"/>
      <c r="Q478" s="35"/>
      <c r="R478" s="6"/>
      <c r="S478" s="6"/>
      <c r="T478" s="6"/>
      <c r="U478" s="6"/>
      <c r="V478" s="6"/>
      <c r="W478" s="6"/>
      <c r="X478" s="6"/>
      <c r="Y478" s="6"/>
      <c r="Z478" s="6"/>
      <c r="AA478" s="6"/>
      <c r="AB478" s="6"/>
      <c r="AC478" s="6"/>
      <c r="AD478" s="6"/>
      <c r="AE478" s="6"/>
    </row>
    <row r="479">
      <c r="A479" s="7" t="str">
        <f t="shared" si="2"/>
        <v/>
      </c>
      <c r="B479" s="6"/>
      <c r="C479" s="6"/>
      <c r="D479" s="113"/>
      <c r="E479" s="6"/>
      <c r="F479" s="6"/>
      <c r="G479" s="6"/>
      <c r="H479" s="6"/>
      <c r="I479" s="6"/>
      <c r="J479" s="6"/>
      <c r="K479" s="6"/>
      <c r="L479" s="6"/>
      <c r="M479" s="6"/>
      <c r="N479" s="6"/>
      <c r="O479" s="6"/>
      <c r="P479" s="35"/>
      <c r="Q479" s="35"/>
      <c r="R479" s="6"/>
      <c r="S479" s="6"/>
      <c r="T479" s="6"/>
      <c r="U479" s="6"/>
      <c r="V479" s="6"/>
      <c r="W479" s="6"/>
      <c r="X479" s="6"/>
      <c r="Y479" s="6"/>
      <c r="Z479" s="6"/>
      <c r="AA479" s="6"/>
      <c r="AB479" s="6"/>
      <c r="AC479" s="6"/>
      <c r="AD479" s="6"/>
      <c r="AE479" s="6"/>
    </row>
    <row r="480">
      <c r="A480" s="7" t="str">
        <f t="shared" si="2"/>
        <v/>
      </c>
      <c r="B480" s="6"/>
      <c r="C480" s="6"/>
      <c r="D480" s="113"/>
      <c r="E480" s="6"/>
      <c r="F480" s="6"/>
      <c r="G480" s="6"/>
      <c r="H480" s="6"/>
      <c r="I480" s="6"/>
      <c r="J480" s="6"/>
      <c r="K480" s="6"/>
      <c r="L480" s="6"/>
      <c r="M480" s="6"/>
      <c r="N480" s="6"/>
      <c r="O480" s="6"/>
      <c r="P480" s="35"/>
      <c r="Q480" s="35"/>
      <c r="R480" s="6"/>
      <c r="S480" s="6"/>
      <c r="T480" s="6"/>
      <c r="U480" s="6"/>
      <c r="V480" s="6"/>
      <c r="W480" s="6"/>
      <c r="X480" s="6"/>
      <c r="Y480" s="6"/>
      <c r="Z480" s="6"/>
      <c r="AA480" s="6"/>
      <c r="AB480" s="6"/>
      <c r="AC480" s="6"/>
      <c r="AD480" s="6"/>
      <c r="AE480" s="6"/>
    </row>
    <row r="481">
      <c r="A481" s="7" t="str">
        <f t="shared" si="2"/>
        <v/>
      </c>
      <c r="B481" s="6"/>
      <c r="C481" s="6"/>
      <c r="D481" s="113"/>
      <c r="E481" s="6"/>
      <c r="F481" s="6"/>
      <c r="G481" s="6"/>
      <c r="H481" s="6"/>
      <c r="I481" s="6"/>
      <c r="J481" s="6"/>
      <c r="K481" s="6"/>
      <c r="L481" s="6"/>
      <c r="M481" s="6"/>
      <c r="N481" s="6"/>
      <c r="O481" s="6"/>
      <c r="P481" s="35"/>
      <c r="Q481" s="35"/>
      <c r="R481" s="6"/>
      <c r="S481" s="6"/>
      <c r="T481" s="6"/>
      <c r="U481" s="6"/>
      <c r="V481" s="6"/>
      <c r="W481" s="6"/>
      <c r="X481" s="6"/>
      <c r="Y481" s="6"/>
      <c r="Z481" s="6"/>
      <c r="AA481" s="6"/>
      <c r="AB481" s="6"/>
      <c r="AC481" s="6"/>
      <c r="AD481" s="6"/>
      <c r="AE481" s="6"/>
    </row>
    <row r="482">
      <c r="A482" s="7" t="str">
        <f t="shared" si="2"/>
        <v/>
      </c>
      <c r="B482" s="6"/>
      <c r="C482" s="6"/>
      <c r="D482" s="113"/>
      <c r="E482" s="6"/>
      <c r="F482" s="6"/>
      <c r="G482" s="6"/>
      <c r="H482" s="6"/>
      <c r="I482" s="6"/>
      <c r="J482" s="6"/>
      <c r="K482" s="6"/>
      <c r="L482" s="6"/>
      <c r="M482" s="6"/>
      <c r="N482" s="6"/>
      <c r="O482" s="6"/>
      <c r="P482" s="35"/>
      <c r="Q482" s="35"/>
      <c r="R482" s="6"/>
      <c r="S482" s="6"/>
      <c r="T482" s="6"/>
      <c r="U482" s="6"/>
      <c r="V482" s="6"/>
      <c r="W482" s="6"/>
      <c r="X482" s="6"/>
      <c r="Y482" s="6"/>
      <c r="Z482" s="6"/>
      <c r="AA482" s="6"/>
      <c r="AB482" s="6"/>
      <c r="AC482" s="6"/>
      <c r="AD482" s="6"/>
      <c r="AE482" s="6"/>
    </row>
    <row r="483">
      <c r="A483" s="7" t="str">
        <f t="shared" si="2"/>
        <v/>
      </c>
      <c r="B483" s="6"/>
      <c r="C483" s="6"/>
      <c r="D483" s="113"/>
      <c r="E483" s="6"/>
      <c r="F483" s="6"/>
      <c r="G483" s="6"/>
      <c r="H483" s="6"/>
      <c r="I483" s="6"/>
      <c r="J483" s="6"/>
      <c r="K483" s="6"/>
      <c r="L483" s="6"/>
      <c r="M483" s="6"/>
      <c r="N483" s="6"/>
      <c r="O483" s="6"/>
      <c r="P483" s="35"/>
      <c r="Q483" s="35"/>
      <c r="R483" s="6"/>
      <c r="S483" s="6"/>
      <c r="T483" s="6"/>
      <c r="U483" s="6"/>
      <c r="V483" s="6"/>
      <c r="W483" s="6"/>
      <c r="X483" s="6"/>
      <c r="Y483" s="6"/>
      <c r="Z483" s="6"/>
      <c r="AA483" s="6"/>
      <c r="AB483" s="6"/>
      <c r="AC483" s="6"/>
      <c r="AD483" s="6"/>
      <c r="AE483" s="6"/>
    </row>
    <row r="484">
      <c r="A484" s="7" t="str">
        <f t="shared" si="2"/>
        <v/>
      </c>
      <c r="B484" s="6"/>
      <c r="C484" s="6"/>
      <c r="D484" s="113"/>
      <c r="E484" s="6"/>
      <c r="F484" s="6"/>
      <c r="G484" s="6"/>
      <c r="H484" s="6"/>
      <c r="I484" s="6"/>
      <c r="J484" s="6"/>
      <c r="K484" s="6"/>
      <c r="L484" s="6"/>
      <c r="M484" s="6"/>
      <c r="N484" s="6"/>
      <c r="O484" s="6"/>
      <c r="P484" s="35"/>
      <c r="Q484" s="35"/>
      <c r="R484" s="6"/>
      <c r="S484" s="6"/>
      <c r="T484" s="6"/>
      <c r="U484" s="6"/>
      <c r="V484" s="6"/>
      <c r="W484" s="6"/>
      <c r="X484" s="6"/>
      <c r="Y484" s="6"/>
      <c r="Z484" s="6"/>
      <c r="AA484" s="6"/>
      <c r="AB484" s="6"/>
      <c r="AC484" s="6"/>
      <c r="AD484" s="6"/>
      <c r="AE484" s="6"/>
    </row>
    <row r="485">
      <c r="A485" s="7" t="str">
        <f t="shared" si="2"/>
        <v/>
      </c>
      <c r="B485" s="6"/>
      <c r="C485" s="6"/>
      <c r="D485" s="113"/>
      <c r="E485" s="6"/>
      <c r="F485" s="6"/>
      <c r="G485" s="6"/>
      <c r="H485" s="6"/>
      <c r="I485" s="6"/>
      <c r="J485" s="6"/>
      <c r="K485" s="6"/>
      <c r="L485" s="6"/>
      <c r="M485" s="6"/>
      <c r="N485" s="6"/>
      <c r="O485" s="6"/>
      <c r="P485" s="35"/>
      <c r="Q485" s="35"/>
      <c r="R485" s="6"/>
      <c r="S485" s="6"/>
      <c r="T485" s="6"/>
      <c r="U485" s="6"/>
      <c r="V485" s="6"/>
      <c r="W485" s="6"/>
      <c r="X485" s="6"/>
      <c r="Y485" s="6"/>
      <c r="Z485" s="6"/>
      <c r="AA485" s="6"/>
      <c r="AB485" s="6"/>
      <c r="AC485" s="6"/>
      <c r="AD485" s="6"/>
      <c r="AE485" s="6"/>
    </row>
    <row r="486">
      <c r="A486" s="7" t="str">
        <f t="shared" si="2"/>
        <v/>
      </c>
      <c r="B486" s="6"/>
      <c r="C486" s="6"/>
      <c r="D486" s="113"/>
      <c r="E486" s="6"/>
      <c r="F486" s="6"/>
      <c r="G486" s="6"/>
      <c r="H486" s="6"/>
      <c r="I486" s="6"/>
      <c r="J486" s="6"/>
      <c r="K486" s="6"/>
      <c r="L486" s="6"/>
      <c r="M486" s="6"/>
      <c r="N486" s="6"/>
      <c r="O486" s="6"/>
      <c r="P486" s="35"/>
      <c r="Q486" s="35"/>
      <c r="R486" s="6"/>
      <c r="S486" s="6"/>
      <c r="T486" s="6"/>
      <c r="U486" s="6"/>
      <c r="V486" s="6"/>
      <c r="W486" s="6"/>
      <c r="X486" s="6"/>
      <c r="Y486" s="6"/>
      <c r="Z486" s="6"/>
      <c r="AA486" s="6"/>
      <c r="AB486" s="6"/>
      <c r="AC486" s="6"/>
      <c r="AD486" s="6"/>
      <c r="AE486" s="6"/>
    </row>
    <row r="487">
      <c r="A487" s="7" t="str">
        <f t="shared" si="2"/>
        <v/>
      </c>
      <c r="B487" s="6"/>
      <c r="C487" s="6"/>
      <c r="D487" s="113"/>
      <c r="E487" s="6"/>
      <c r="F487" s="6"/>
      <c r="G487" s="6"/>
      <c r="H487" s="6"/>
      <c r="I487" s="6"/>
      <c r="J487" s="6"/>
      <c r="K487" s="6"/>
      <c r="L487" s="6"/>
      <c r="M487" s="6"/>
      <c r="N487" s="6"/>
      <c r="O487" s="6"/>
      <c r="P487" s="35"/>
      <c r="Q487" s="35"/>
      <c r="R487" s="6"/>
      <c r="S487" s="6"/>
      <c r="T487" s="6"/>
      <c r="U487" s="6"/>
      <c r="V487" s="6"/>
      <c r="W487" s="6"/>
      <c r="X487" s="6"/>
      <c r="Y487" s="6"/>
      <c r="Z487" s="6"/>
      <c r="AA487" s="6"/>
      <c r="AB487" s="6"/>
      <c r="AC487" s="6"/>
      <c r="AD487" s="6"/>
      <c r="AE487" s="6"/>
    </row>
    <row r="488">
      <c r="A488" s="7" t="str">
        <f t="shared" si="2"/>
        <v/>
      </c>
      <c r="B488" s="6"/>
      <c r="C488" s="6"/>
      <c r="D488" s="113"/>
      <c r="E488" s="6"/>
      <c r="F488" s="6"/>
      <c r="G488" s="6"/>
      <c r="H488" s="6"/>
      <c r="I488" s="6"/>
      <c r="J488" s="6"/>
      <c r="K488" s="6"/>
      <c r="L488" s="6"/>
      <c r="M488" s="6"/>
      <c r="N488" s="6"/>
      <c r="O488" s="6"/>
      <c r="P488" s="35"/>
      <c r="Q488" s="35"/>
      <c r="R488" s="6"/>
      <c r="S488" s="6"/>
      <c r="T488" s="6"/>
      <c r="U488" s="6"/>
      <c r="V488" s="6"/>
      <c r="W488" s="6"/>
      <c r="X488" s="6"/>
      <c r="Y488" s="6"/>
      <c r="Z488" s="6"/>
      <c r="AA488" s="6"/>
      <c r="AB488" s="6"/>
      <c r="AC488" s="6"/>
      <c r="AD488" s="6"/>
      <c r="AE488" s="6"/>
    </row>
    <row r="489">
      <c r="A489" s="7" t="str">
        <f t="shared" si="2"/>
        <v/>
      </c>
      <c r="B489" s="6"/>
      <c r="C489" s="6"/>
      <c r="D489" s="113"/>
      <c r="E489" s="6"/>
      <c r="F489" s="6"/>
      <c r="G489" s="6"/>
      <c r="H489" s="6"/>
      <c r="I489" s="6"/>
      <c r="J489" s="6"/>
      <c r="K489" s="6"/>
      <c r="L489" s="6"/>
      <c r="M489" s="6"/>
      <c r="N489" s="6"/>
      <c r="O489" s="6"/>
      <c r="P489" s="35"/>
      <c r="Q489" s="35"/>
      <c r="R489" s="6"/>
      <c r="S489" s="6"/>
      <c r="T489" s="6"/>
      <c r="U489" s="6"/>
      <c r="V489" s="6"/>
      <c r="W489" s="6"/>
      <c r="X489" s="6"/>
      <c r="Y489" s="6"/>
      <c r="Z489" s="6"/>
      <c r="AA489" s="6"/>
      <c r="AB489" s="6"/>
      <c r="AC489" s="6"/>
      <c r="AD489" s="6"/>
      <c r="AE489" s="6"/>
    </row>
    <row r="490">
      <c r="A490" s="7" t="str">
        <f t="shared" si="2"/>
        <v/>
      </c>
      <c r="B490" s="6"/>
      <c r="C490" s="6"/>
      <c r="D490" s="113"/>
      <c r="E490" s="6"/>
      <c r="F490" s="6"/>
      <c r="G490" s="6"/>
      <c r="H490" s="6"/>
      <c r="I490" s="6"/>
      <c r="J490" s="6"/>
      <c r="K490" s="6"/>
      <c r="L490" s="6"/>
      <c r="M490" s="6"/>
      <c r="N490" s="6"/>
      <c r="O490" s="6"/>
      <c r="P490" s="35"/>
      <c r="Q490" s="35"/>
      <c r="R490" s="6"/>
      <c r="S490" s="6"/>
      <c r="T490" s="6"/>
      <c r="U490" s="6"/>
      <c r="V490" s="6"/>
      <c r="W490" s="6"/>
      <c r="X490" s="6"/>
      <c r="Y490" s="6"/>
      <c r="Z490" s="6"/>
      <c r="AA490" s="6"/>
      <c r="AB490" s="6"/>
      <c r="AC490" s="6"/>
      <c r="AD490" s="6"/>
      <c r="AE490" s="6"/>
    </row>
    <row r="491">
      <c r="A491" s="7" t="str">
        <f t="shared" si="2"/>
        <v/>
      </c>
      <c r="B491" s="6"/>
      <c r="C491" s="6"/>
      <c r="D491" s="113"/>
      <c r="E491" s="6"/>
      <c r="F491" s="6"/>
      <c r="G491" s="6"/>
      <c r="H491" s="6"/>
      <c r="I491" s="6"/>
      <c r="J491" s="6"/>
      <c r="K491" s="6"/>
      <c r="L491" s="6"/>
      <c r="M491" s="6"/>
      <c r="N491" s="6"/>
      <c r="O491" s="6"/>
      <c r="P491" s="35"/>
      <c r="Q491" s="35"/>
      <c r="R491" s="6"/>
      <c r="S491" s="6"/>
      <c r="T491" s="6"/>
      <c r="U491" s="6"/>
      <c r="V491" s="6"/>
      <c r="W491" s="6"/>
      <c r="X491" s="6"/>
      <c r="Y491" s="6"/>
      <c r="Z491" s="6"/>
      <c r="AA491" s="6"/>
      <c r="AB491" s="6"/>
      <c r="AC491" s="6"/>
      <c r="AD491" s="6"/>
      <c r="AE491" s="6"/>
    </row>
    <row r="492">
      <c r="A492" s="7" t="str">
        <f t="shared" si="2"/>
        <v/>
      </c>
      <c r="B492" s="6"/>
      <c r="C492" s="6"/>
      <c r="D492" s="113"/>
      <c r="E492" s="6"/>
      <c r="F492" s="6"/>
      <c r="G492" s="6"/>
      <c r="H492" s="6"/>
      <c r="I492" s="6"/>
      <c r="J492" s="6"/>
      <c r="K492" s="6"/>
      <c r="L492" s="6"/>
      <c r="M492" s="6"/>
      <c r="N492" s="6"/>
      <c r="O492" s="6"/>
      <c r="P492" s="35"/>
      <c r="Q492" s="35"/>
      <c r="R492" s="6"/>
      <c r="S492" s="6"/>
      <c r="T492" s="6"/>
      <c r="U492" s="6"/>
      <c r="V492" s="6"/>
      <c r="W492" s="6"/>
      <c r="X492" s="6"/>
      <c r="Y492" s="6"/>
      <c r="Z492" s="6"/>
      <c r="AA492" s="6"/>
      <c r="AB492" s="6"/>
      <c r="AC492" s="6"/>
      <c r="AD492" s="6"/>
      <c r="AE492" s="6"/>
    </row>
    <row r="493">
      <c r="A493" s="7" t="str">
        <f t="shared" si="2"/>
        <v/>
      </c>
      <c r="B493" s="6"/>
      <c r="C493" s="6"/>
      <c r="D493" s="113"/>
      <c r="E493" s="6"/>
      <c r="F493" s="6"/>
      <c r="G493" s="6"/>
      <c r="H493" s="6"/>
      <c r="I493" s="6"/>
      <c r="J493" s="6"/>
      <c r="K493" s="6"/>
      <c r="L493" s="6"/>
      <c r="M493" s="6"/>
      <c r="N493" s="6"/>
      <c r="O493" s="6"/>
      <c r="P493" s="35"/>
      <c r="Q493" s="35"/>
      <c r="R493" s="6"/>
      <c r="S493" s="6"/>
      <c r="T493" s="6"/>
      <c r="U493" s="6"/>
      <c r="V493" s="6"/>
      <c r="W493" s="6"/>
      <c r="X493" s="6"/>
      <c r="Y493" s="6"/>
      <c r="Z493" s="6"/>
      <c r="AA493" s="6"/>
      <c r="AB493" s="6"/>
      <c r="AC493" s="6"/>
      <c r="AD493" s="6"/>
      <c r="AE493" s="6"/>
    </row>
    <row r="494">
      <c r="A494" s="7" t="str">
        <f t="shared" si="2"/>
        <v/>
      </c>
      <c r="B494" s="6"/>
      <c r="C494" s="6"/>
      <c r="D494" s="113"/>
      <c r="E494" s="6"/>
      <c r="F494" s="6"/>
      <c r="G494" s="6"/>
      <c r="H494" s="6"/>
      <c r="I494" s="6"/>
      <c r="J494" s="6"/>
      <c r="K494" s="6"/>
      <c r="L494" s="6"/>
      <c r="M494" s="6"/>
      <c r="N494" s="6"/>
      <c r="O494" s="6"/>
      <c r="P494" s="35"/>
      <c r="Q494" s="35"/>
      <c r="R494" s="6"/>
      <c r="S494" s="6"/>
      <c r="T494" s="6"/>
      <c r="U494" s="6"/>
      <c r="V494" s="6"/>
      <c r="W494" s="6"/>
      <c r="X494" s="6"/>
      <c r="Y494" s="6"/>
      <c r="Z494" s="6"/>
      <c r="AA494" s="6"/>
      <c r="AB494" s="6"/>
      <c r="AC494" s="6"/>
      <c r="AD494" s="6"/>
      <c r="AE494" s="6"/>
    </row>
    <row r="495">
      <c r="A495" s="7" t="str">
        <f t="shared" si="2"/>
        <v/>
      </c>
      <c r="B495" s="6"/>
      <c r="C495" s="6"/>
      <c r="D495" s="113"/>
      <c r="E495" s="6"/>
      <c r="F495" s="6"/>
      <c r="G495" s="6"/>
      <c r="H495" s="6"/>
      <c r="I495" s="6"/>
      <c r="J495" s="6"/>
      <c r="K495" s="6"/>
      <c r="L495" s="6"/>
      <c r="M495" s="6"/>
      <c r="N495" s="6"/>
      <c r="O495" s="6"/>
      <c r="P495" s="35"/>
      <c r="Q495" s="35"/>
      <c r="R495" s="6"/>
      <c r="S495" s="6"/>
      <c r="T495" s="6"/>
      <c r="U495" s="6"/>
      <c r="V495" s="6"/>
      <c r="W495" s="6"/>
      <c r="X495" s="6"/>
      <c r="Y495" s="6"/>
      <c r="Z495" s="6"/>
      <c r="AA495" s="6"/>
      <c r="AB495" s="6"/>
      <c r="AC495" s="6"/>
      <c r="AD495" s="6"/>
      <c r="AE495" s="6"/>
    </row>
    <row r="496">
      <c r="A496" s="7" t="str">
        <f t="shared" si="2"/>
        <v/>
      </c>
      <c r="B496" s="6"/>
      <c r="C496" s="6"/>
      <c r="D496" s="113"/>
      <c r="E496" s="6"/>
      <c r="F496" s="6"/>
      <c r="G496" s="6"/>
      <c r="H496" s="6"/>
      <c r="I496" s="6"/>
      <c r="J496" s="6"/>
      <c r="K496" s="6"/>
      <c r="L496" s="6"/>
      <c r="M496" s="6"/>
      <c r="N496" s="6"/>
      <c r="O496" s="6"/>
      <c r="P496" s="35"/>
      <c r="Q496" s="35"/>
      <c r="R496" s="6"/>
      <c r="S496" s="6"/>
      <c r="T496" s="6"/>
      <c r="U496" s="6"/>
      <c r="V496" s="6"/>
      <c r="W496" s="6"/>
      <c r="X496" s="6"/>
      <c r="Y496" s="6"/>
      <c r="Z496" s="6"/>
      <c r="AA496" s="6"/>
      <c r="AB496" s="6"/>
      <c r="AC496" s="6"/>
      <c r="AD496" s="6"/>
      <c r="AE496" s="6"/>
    </row>
    <row r="497">
      <c r="A497" s="7" t="str">
        <f t="shared" si="2"/>
        <v/>
      </c>
      <c r="B497" s="6"/>
      <c r="C497" s="6"/>
      <c r="D497" s="113"/>
      <c r="E497" s="6"/>
      <c r="F497" s="6"/>
      <c r="G497" s="6"/>
      <c r="H497" s="6"/>
      <c r="I497" s="6"/>
      <c r="J497" s="6"/>
      <c r="K497" s="6"/>
      <c r="L497" s="6"/>
      <c r="M497" s="6"/>
      <c r="N497" s="6"/>
      <c r="O497" s="6"/>
      <c r="P497" s="35"/>
      <c r="Q497" s="35"/>
      <c r="R497" s="6"/>
      <c r="S497" s="6"/>
      <c r="T497" s="6"/>
      <c r="U497" s="6"/>
      <c r="V497" s="6"/>
      <c r="W497" s="6"/>
      <c r="X497" s="6"/>
      <c r="Y497" s="6"/>
      <c r="Z497" s="6"/>
      <c r="AA497" s="6"/>
      <c r="AB497" s="6"/>
      <c r="AC497" s="6"/>
      <c r="AD497" s="6"/>
      <c r="AE497" s="6"/>
    </row>
    <row r="498">
      <c r="A498" s="7" t="str">
        <f t="shared" si="2"/>
        <v/>
      </c>
      <c r="B498" s="6"/>
      <c r="C498" s="6"/>
      <c r="D498" s="113"/>
      <c r="E498" s="6"/>
      <c r="F498" s="6"/>
      <c r="G498" s="6"/>
      <c r="H498" s="6"/>
      <c r="I498" s="6"/>
      <c r="J498" s="6"/>
      <c r="K498" s="6"/>
      <c r="L498" s="6"/>
      <c r="M498" s="6"/>
      <c r="N498" s="6"/>
      <c r="O498" s="6"/>
      <c r="P498" s="35"/>
      <c r="Q498" s="35"/>
      <c r="R498" s="6"/>
      <c r="S498" s="6"/>
      <c r="T498" s="6"/>
      <c r="U498" s="6"/>
      <c r="V498" s="6"/>
      <c r="W498" s="6"/>
      <c r="X498" s="6"/>
      <c r="Y498" s="6"/>
      <c r="Z498" s="6"/>
      <c r="AA498" s="6"/>
      <c r="AB498" s="6"/>
      <c r="AC498" s="6"/>
      <c r="AD498" s="6"/>
      <c r="AE498" s="6"/>
    </row>
    <row r="499">
      <c r="A499" s="7" t="str">
        <f t="shared" si="2"/>
        <v/>
      </c>
      <c r="B499" s="6"/>
      <c r="C499" s="6"/>
      <c r="D499" s="113"/>
      <c r="E499" s="6"/>
      <c r="F499" s="6"/>
      <c r="G499" s="6"/>
      <c r="H499" s="6"/>
      <c r="I499" s="6"/>
      <c r="J499" s="6"/>
      <c r="K499" s="6"/>
      <c r="L499" s="6"/>
      <c r="M499" s="6"/>
      <c r="N499" s="6"/>
      <c r="O499" s="6"/>
      <c r="P499" s="35"/>
      <c r="Q499" s="35"/>
      <c r="R499" s="6"/>
      <c r="S499" s="6"/>
      <c r="T499" s="6"/>
      <c r="U499" s="6"/>
      <c r="V499" s="6"/>
      <c r="W499" s="6"/>
      <c r="X499" s="6"/>
      <c r="Y499" s="6"/>
      <c r="Z499" s="6"/>
      <c r="AA499" s="6"/>
      <c r="AB499" s="6"/>
      <c r="AC499" s="6"/>
      <c r="AD499" s="6"/>
      <c r="AE499" s="6"/>
    </row>
    <row r="500">
      <c r="A500" s="7" t="str">
        <f t="shared" si="2"/>
        <v/>
      </c>
      <c r="B500" s="6"/>
      <c r="C500" s="6"/>
      <c r="D500" s="113"/>
      <c r="E500" s="6"/>
      <c r="F500" s="6"/>
      <c r="G500" s="6"/>
      <c r="H500" s="6"/>
      <c r="I500" s="6"/>
      <c r="J500" s="6"/>
      <c r="K500" s="6"/>
      <c r="L500" s="6"/>
      <c r="M500" s="6"/>
      <c r="N500" s="6"/>
      <c r="O500" s="6"/>
      <c r="P500" s="35"/>
      <c r="Q500" s="35"/>
      <c r="R500" s="6"/>
      <c r="S500" s="6"/>
      <c r="T500" s="6"/>
      <c r="U500" s="6"/>
      <c r="V500" s="6"/>
      <c r="W500" s="6"/>
      <c r="X500" s="6"/>
      <c r="Y500" s="6"/>
      <c r="Z500" s="6"/>
      <c r="AA500" s="6"/>
      <c r="AB500" s="6"/>
      <c r="AC500" s="6"/>
      <c r="AD500" s="6"/>
      <c r="AE500" s="6"/>
    </row>
    <row r="501">
      <c r="A501" s="7" t="str">
        <f t="shared" si="2"/>
        <v/>
      </c>
      <c r="B501" s="6"/>
      <c r="C501" s="6"/>
      <c r="D501" s="113"/>
      <c r="E501" s="6"/>
      <c r="F501" s="6"/>
      <c r="G501" s="6"/>
      <c r="H501" s="6"/>
      <c r="I501" s="6"/>
      <c r="J501" s="6"/>
      <c r="K501" s="6"/>
      <c r="L501" s="6"/>
      <c r="M501" s="6"/>
      <c r="N501" s="6"/>
      <c r="O501" s="6"/>
      <c r="P501" s="35"/>
      <c r="Q501" s="35"/>
      <c r="R501" s="6"/>
      <c r="S501" s="6"/>
      <c r="T501" s="6"/>
      <c r="U501" s="6"/>
      <c r="V501" s="6"/>
      <c r="W501" s="6"/>
      <c r="X501" s="6"/>
      <c r="Y501" s="6"/>
      <c r="Z501" s="6"/>
      <c r="AA501" s="6"/>
      <c r="AB501" s="6"/>
      <c r="AC501" s="6"/>
      <c r="AD501" s="6"/>
      <c r="AE501" s="6"/>
    </row>
    <row r="502">
      <c r="A502" s="7" t="str">
        <f t="shared" si="2"/>
        <v/>
      </c>
      <c r="B502" s="6"/>
      <c r="C502" s="6"/>
      <c r="D502" s="113"/>
      <c r="E502" s="6"/>
      <c r="F502" s="6"/>
      <c r="G502" s="6"/>
      <c r="H502" s="6"/>
      <c r="I502" s="6"/>
      <c r="J502" s="6"/>
      <c r="K502" s="6"/>
      <c r="L502" s="6"/>
      <c r="M502" s="6"/>
      <c r="N502" s="6"/>
      <c r="O502" s="6"/>
      <c r="P502" s="35"/>
      <c r="Q502" s="35"/>
      <c r="R502" s="6"/>
      <c r="S502" s="6"/>
      <c r="T502" s="6"/>
      <c r="U502" s="6"/>
      <c r="V502" s="6"/>
      <c r="W502" s="6"/>
      <c r="X502" s="6"/>
      <c r="Y502" s="6"/>
      <c r="Z502" s="6"/>
      <c r="AA502" s="6"/>
      <c r="AB502" s="6"/>
      <c r="AC502" s="6"/>
      <c r="AD502" s="6"/>
      <c r="AE502" s="6"/>
    </row>
    <row r="503">
      <c r="A503" s="7" t="str">
        <f t="shared" si="2"/>
        <v/>
      </c>
      <c r="B503" s="6"/>
      <c r="C503" s="6"/>
      <c r="D503" s="113"/>
      <c r="E503" s="6"/>
      <c r="F503" s="6"/>
      <c r="G503" s="6"/>
      <c r="H503" s="6"/>
      <c r="I503" s="6"/>
      <c r="J503" s="6"/>
      <c r="K503" s="6"/>
      <c r="L503" s="6"/>
      <c r="M503" s="6"/>
      <c r="N503" s="6"/>
      <c r="O503" s="6"/>
      <c r="P503" s="35"/>
      <c r="Q503" s="35"/>
      <c r="R503" s="6"/>
      <c r="S503" s="6"/>
      <c r="T503" s="6"/>
      <c r="U503" s="6"/>
      <c r="V503" s="6"/>
      <c r="W503" s="6"/>
      <c r="X503" s="6"/>
      <c r="Y503" s="6"/>
      <c r="Z503" s="6"/>
      <c r="AA503" s="6"/>
      <c r="AB503" s="6"/>
      <c r="AC503" s="6"/>
      <c r="AD503" s="6"/>
      <c r="AE503" s="6"/>
    </row>
    <row r="504">
      <c r="A504" s="7" t="str">
        <f t="shared" si="2"/>
        <v/>
      </c>
      <c r="B504" s="6"/>
      <c r="C504" s="6"/>
      <c r="D504" s="113"/>
      <c r="E504" s="6"/>
      <c r="F504" s="6"/>
      <c r="G504" s="6"/>
      <c r="H504" s="6"/>
      <c r="I504" s="6"/>
      <c r="J504" s="6"/>
      <c r="K504" s="6"/>
      <c r="L504" s="6"/>
      <c r="M504" s="6"/>
      <c r="N504" s="6"/>
      <c r="O504" s="6"/>
      <c r="P504" s="35"/>
      <c r="Q504" s="35"/>
      <c r="R504" s="6"/>
      <c r="S504" s="6"/>
      <c r="T504" s="6"/>
      <c r="U504" s="6"/>
      <c r="V504" s="6"/>
      <c r="W504" s="6"/>
      <c r="X504" s="6"/>
      <c r="Y504" s="6"/>
      <c r="Z504" s="6"/>
      <c r="AA504" s="6"/>
      <c r="AB504" s="6"/>
      <c r="AC504" s="6"/>
      <c r="AD504" s="6"/>
      <c r="AE504" s="6"/>
    </row>
    <row r="505">
      <c r="A505" s="7" t="str">
        <f t="shared" si="2"/>
        <v/>
      </c>
      <c r="B505" s="6"/>
      <c r="C505" s="6"/>
      <c r="D505" s="113"/>
      <c r="E505" s="6"/>
      <c r="F505" s="6"/>
      <c r="G505" s="6"/>
      <c r="H505" s="6"/>
      <c r="I505" s="6"/>
      <c r="J505" s="6"/>
      <c r="K505" s="6"/>
      <c r="L505" s="6"/>
      <c r="M505" s="6"/>
      <c r="N505" s="6"/>
      <c r="O505" s="6"/>
      <c r="P505" s="35"/>
      <c r="Q505" s="35"/>
      <c r="R505" s="6"/>
      <c r="S505" s="6"/>
      <c r="T505" s="6"/>
      <c r="U505" s="6"/>
      <c r="V505" s="6"/>
      <c r="W505" s="6"/>
      <c r="X505" s="6"/>
      <c r="Y505" s="6"/>
      <c r="Z505" s="6"/>
      <c r="AA505" s="6"/>
      <c r="AB505" s="6"/>
      <c r="AC505" s="6"/>
      <c r="AD505" s="6"/>
      <c r="AE505" s="6"/>
    </row>
    <row r="506">
      <c r="A506" s="7" t="str">
        <f t="shared" si="2"/>
        <v/>
      </c>
      <c r="B506" s="6"/>
      <c r="C506" s="6"/>
      <c r="D506" s="113"/>
      <c r="E506" s="6"/>
      <c r="F506" s="6"/>
      <c r="G506" s="6"/>
      <c r="H506" s="6"/>
      <c r="I506" s="6"/>
      <c r="J506" s="6"/>
      <c r="K506" s="6"/>
      <c r="L506" s="6"/>
      <c r="M506" s="6"/>
      <c r="N506" s="6"/>
      <c r="O506" s="6"/>
      <c r="P506" s="35"/>
      <c r="Q506" s="35"/>
      <c r="R506" s="6"/>
      <c r="S506" s="6"/>
      <c r="T506" s="6"/>
      <c r="U506" s="6"/>
      <c r="V506" s="6"/>
      <c r="W506" s="6"/>
      <c r="X506" s="6"/>
      <c r="Y506" s="6"/>
      <c r="Z506" s="6"/>
      <c r="AA506" s="6"/>
      <c r="AB506" s="6"/>
      <c r="AC506" s="6"/>
      <c r="AD506" s="6"/>
      <c r="AE506" s="6"/>
    </row>
    <row r="507">
      <c r="A507" s="7" t="str">
        <f t="shared" si="2"/>
        <v/>
      </c>
      <c r="B507" s="6"/>
      <c r="C507" s="6"/>
      <c r="D507" s="113"/>
      <c r="E507" s="6"/>
      <c r="F507" s="6"/>
      <c r="G507" s="6"/>
      <c r="H507" s="6"/>
      <c r="I507" s="6"/>
      <c r="J507" s="6"/>
      <c r="K507" s="6"/>
      <c r="L507" s="6"/>
      <c r="M507" s="6"/>
      <c r="N507" s="6"/>
      <c r="O507" s="6"/>
      <c r="P507" s="35"/>
      <c r="Q507" s="35"/>
      <c r="R507" s="6"/>
      <c r="S507" s="6"/>
      <c r="T507" s="6"/>
      <c r="U507" s="6"/>
      <c r="V507" s="6"/>
      <c r="W507" s="6"/>
      <c r="X507" s="6"/>
      <c r="Y507" s="6"/>
      <c r="Z507" s="6"/>
      <c r="AA507" s="6"/>
      <c r="AB507" s="6"/>
      <c r="AC507" s="6"/>
      <c r="AD507" s="6"/>
      <c r="AE507" s="6"/>
    </row>
    <row r="508">
      <c r="A508" s="7" t="str">
        <f t="shared" si="2"/>
        <v/>
      </c>
      <c r="B508" s="6"/>
      <c r="C508" s="6"/>
      <c r="D508" s="113"/>
      <c r="E508" s="6"/>
      <c r="F508" s="6"/>
      <c r="G508" s="6"/>
      <c r="H508" s="6"/>
      <c r="I508" s="6"/>
      <c r="J508" s="6"/>
      <c r="K508" s="6"/>
      <c r="L508" s="6"/>
      <c r="M508" s="6"/>
      <c r="N508" s="6"/>
      <c r="O508" s="6"/>
      <c r="P508" s="35"/>
      <c r="Q508" s="35"/>
      <c r="R508" s="6"/>
      <c r="S508" s="6"/>
      <c r="T508" s="6"/>
      <c r="U508" s="6"/>
      <c r="V508" s="6"/>
      <c r="W508" s="6"/>
      <c r="X508" s="6"/>
      <c r="Y508" s="6"/>
      <c r="Z508" s="6"/>
      <c r="AA508" s="6"/>
      <c r="AB508" s="6"/>
      <c r="AC508" s="6"/>
      <c r="AD508" s="6"/>
      <c r="AE508" s="6"/>
    </row>
    <row r="509">
      <c r="A509" s="7" t="str">
        <f t="shared" si="2"/>
        <v/>
      </c>
      <c r="B509" s="6"/>
      <c r="C509" s="6"/>
      <c r="D509" s="113"/>
      <c r="E509" s="6"/>
      <c r="F509" s="6"/>
      <c r="G509" s="6"/>
      <c r="H509" s="6"/>
      <c r="I509" s="6"/>
      <c r="J509" s="6"/>
      <c r="K509" s="6"/>
      <c r="L509" s="6"/>
      <c r="M509" s="6"/>
      <c r="N509" s="6"/>
      <c r="O509" s="6"/>
      <c r="P509" s="35"/>
      <c r="Q509" s="35"/>
      <c r="R509" s="6"/>
      <c r="S509" s="6"/>
      <c r="T509" s="6"/>
      <c r="U509" s="6"/>
      <c r="V509" s="6"/>
      <c r="W509" s="6"/>
      <c r="X509" s="6"/>
      <c r="Y509" s="6"/>
      <c r="Z509" s="6"/>
      <c r="AA509" s="6"/>
      <c r="AB509" s="6"/>
      <c r="AC509" s="6"/>
      <c r="AD509" s="6"/>
      <c r="AE509" s="6"/>
    </row>
    <row r="510">
      <c r="A510" s="7" t="str">
        <f t="shared" si="2"/>
        <v/>
      </c>
      <c r="B510" s="6"/>
      <c r="C510" s="6"/>
      <c r="D510" s="113"/>
      <c r="E510" s="6"/>
      <c r="F510" s="6"/>
      <c r="G510" s="6"/>
      <c r="H510" s="6"/>
      <c r="I510" s="6"/>
      <c r="J510" s="6"/>
      <c r="K510" s="6"/>
      <c r="L510" s="6"/>
      <c r="M510" s="6"/>
      <c r="N510" s="6"/>
      <c r="O510" s="6"/>
      <c r="P510" s="35"/>
      <c r="Q510" s="35"/>
      <c r="R510" s="6"/>
      <c r="S510" s="6"/>
      <c r="T510" s="6"/>
      <c r="U510" s="6"/>
      <c r="V510" s="6"/>
      <c r="W510" s="6"/>
      <c r="X510" s="6"/>
      <c r="Y510" s="6"/>
      <c r="Z510" s="6"/>
      <c r="AA510" s="6"/>
      <c r="AB510" s="6"/>
      <c r="AC510" s="6"/>
      <c r="AD510" s="6"/>
      <c r="AE510" s="6"/>
    </row>
    <row r="511">
      <c r="A511" s="7" t="str">
        <f t="shared" si="2"/>
        <v/>
      </c>
      <c r="B511" s="6"/>
      <c r="C511" s="6"/>
      <c r="D511" s="113"/>
      <c r="E511" s="6"/>
      <c r="F511" s="6"/>
      <c r="G511" s="6"/>
      <c r="H511" s="6"/>
      <c r="I511" s="6"/>
      <c r="J511" s="6"/>
      <c r="K511" s="6"/>
      <c r="L511" s="6"/>
      <c r="M511" s="6"/>
      <c r="N511" s="6"/>
      <c r="O511" s="6"/>
      <c r="P511" s="35"/>
      <c r="Q511" s="35"/>
      <c r="R511" s="6"/>
      <c r="S511" s="6"/>
      <c r="T511" s="6"/>
      <c r="U511" s="6"/>
      <c r="V511" s="6"/>
      <c r="W511" s="6"/>
      <c r="X511" s="6"/>
      <c r="Y511" s="6"/>
      <c r="Z511" s="6"/>
      <c r="AA511" s="6"/>
      <c r="AB511" s="6"/>
      <c r="AC511" s="6"/>
      <c r="AD511" s="6"/>
      <c r="AE511" s="6"/>
    </row>
    <row r="512">
      <c r="A512" s="7" t="str">
        <f t="shared" si="2"/>
        <v/>
      </c>
      <c r="B512" s="6"/>
      <c r="C512" s="6"/>
      <c r="D512" s="113"/>
      <c r="E512" s="6"/>
      <c r="F512" s="6"/>
      <c r="G512" s="6"/>
      <c r="H512" s="6"/>
      <c r="I512" s="6"/>
      <c r="J512" s="6"/>
      <c r="K512" s="6"/>
      <c r="L512" s="6"/>
      <c r="M512" s="6"/>
      <c r="N512" s="6"/>
      <c r="O512" s="6"/>
      <c r="P512" s="35"/>
      <c r="Q512" s="35"/>
      <c r="R512" s="6"/>
      <c r="S512" s="6"/>
      <c r="T512" s="6"/>
      <c r="U512" s="6"/>
      <c r="V512" s="6"/>
      <c r="W512" s="6"/>
      <c r="X512" s="6"/>
      <c r="Y512" s="6"/>
      <c r="Z512" s="6"/>
      <c r="AA512" s="6"/>
      <c r="AB512" s="6"/>
      <c r="AC512" s="6"/>
      <c r="AD512" s="6"/>
      <c r="AE512" s="6"/>
    </row>
    <row r="513">
      <c r="A513" s="7" t="str">
        <f t="shared" si="2"/>
        <v/>
      </c>
      <c r="B513" s="6"/>
      <c r="C513" s="6"/>
      <c r="D513" s="113"/>
      <c r="E513" s="6"/>
      <c r="F513" s="6"/>
      <c r="G513" s="6"/>
      <c r="H513" s="6"/>
      <c r="I513" s="6"/>
      <c r="J513" s="6"/>
      <c r="K513" s="6"/>
      <c r="L513" s="6"/>
      <c r="M513" s="6"/>
      <c r="N513" s="6"/>
      <c r="O513" s="6"/>
      <c r="P513" s="35"/>
      <c r="Q513" s="35"/>
      <c r="R513" s="6"/>
      <c r="S513" s="6"/>
      <c r="T513" s="6"/>
      <c r="U513" s="6"/>
      <c r="V513" s="6"/>
      <c r="W513" s="6"/>
      <c r="X513" s="6"/>
      <c r="Y513" s="6"/>
      <c r="Z513" s="6"/>
      <c r="AA513" s="6"/>
      <c r="AB513" s="6"/>
      <c r="AC513" s="6"/>
      <c r="AD513" s="6"/>
      <c r="AE513" s="6"/>
    </row>
    <row r="514">
      <c r="A514" s="7" t="str">
        <f t="shared" si="2"/>
        <v/>
      </c>
      <c r="B514" s="6"/>
      <c r="C514" s="6"/>
      <c r="D514" s="113"/>
      <c r="E514" s="6"/>
      <c r="F514" s="6"/>
      <c r="G514" s="6"/>
      <c r="H514" s="6"/>
      <c r="I514" s="6"/>
      <c r="J514" s="6"/>
      <c r="K514" s="6"/>
      <c r="L514" s="6"/>
      <c r="M514" s="6"/>
      <c r="N514" s="6"/>
      <c r="O514" s="6"/>
      <c r="P514" s="35"/>
      <c r="Q514" s="35"/>
      <c r="R514" s="6"/>
      <c r="S514" s="6"/>
      <c r="T514" s="6"/>
      <c r="U514" s="6"/>
      <c r="V514" s="6"/>
      <c r="W514" s="6"/>
      <c r="X514" s="6"/>
      <c r="Y514" s="6"/>
      <c r="Z514" s="6"/>
      <c r="AA514" s="6"/>
      <c r="AB514" s="6"/>
      <c r="AC514" s="6"/>
      <c r="AD514" s="6"/>
      <c r="AE514" s="6"/>
    </row>
    <row r="515">
      <c r="A515" s="7" t="str">
        <f t="shared" si="2"/>
        <v/>
      </c>
      <c r="B515" s="6"/>
      <c r="C515" s="6"/>
      <c r="D515" s="113"/>
      <c r="E515" s="6"/>
      <c r="F515" s="6"/>
      <c r="G515" s="6"/>
      <c r="H515" s="6"/>
      <c r="I515" s="6"/>
      <c r="J515" s="6"/>
      <c r="K515" s="6"/>
      <c r="L515" s="6"/>
      <c r="M515" s="6"/>
      <c r="N515" s="6"/>
      <c r="O515" s="6"/>
      <c r="P515" s="35"/>
      <c r="Q515" s="35"/>
      <c r="R515" s="6"/>
      <c r="S515" s="6"/>
      <c r="T515" s="6"/>
      <c r="U515" s="6"/>
      <c r="V515" s="6"/>
      <c r="W515" s="6"/>
      <c r="X515" s="6"/>
      <c r="Y515" s="6"/>
      <c r="Z515" s="6"/>
      <c r="AA515" s="6"/>
      <c r="AB515" s="6"/>
      <c r="AC515" s="6"/>
      <c r="AD515" s="6"/>
      <c r="AE515" s="6"/>
    </row>
    <row r="516">
      <c r="A516" s="7" t="str">
        <f t="shared" si="2"/>
        <v/>
      </c>
      <c r="B516" s="6"/>
      <c r="C516" s="6"/>
      <c r="D516" s="113"/>
      <c r="E516" s="6"/>
      <c r="F516" s="6"/>
      <c r="G516" s="6"/>
      <c r="H516" s="6"/>
      <c r="I516" s="6"/>
      <c r="J516" s="6"/>
      <c r="K516" s="6"/>
      <c r="L516" s="6"/>
      <c r="M516" s="6"/>
      <c r="N516" s="6"/>
      <c r="O516" s="6"/>
      <c r="P516" s="35"/>
      <c r="Q516" s="35"/>
      <c r="R516" s="6"/>
      <c r="S516" s="6"/>
      <c r="T516" s="6"/>
      <c r="U516" s="6"/>
      <c r="V516" s="6"/>
      <c r="W516" s="6"/>
      <c r="X516" s="6"/>
      <c r="Y516" s="6"/>
      <c r="Z516" s="6"/>
      <c r="AA516" s="6"/>
      <c r="AB516" s="6"/>
      <c r="AC516" s="6"/>
      <c r="AD516" s="6"/>
      <c r="AE516" s="6"/>
    </row>
    <row r="517">
      <c r="A517" s="7" t="str">
        <f t="shared" si="2"/>
        <v/>
      </c>
      <c r="B517" s="6"/>
      <c r="C517" s="6"/>
      <c r="D517" s="113"/>
      <c r="E517" s="6"/>
      <c r="F517" s="6"/>
      <c r="G517" s="6"/>
      <c r="H517" s="6"/>
      <c r="I517" s="6"/>
      <c r="J517" s="6"/>
      <c r="K517" s="6"/>
      <c r="L517" s="6"/>
      <c r="M517" s="6"/>
      <c r="N517" s="6"/>
      <c r="O517" s="6"/>
      <c r="P517" s="35"/>
      <c r="Q517" s="35"/>
      <c r="R517" s="6"/>
      <c r="S517" s="6"/>
      <c r="T517" s="6"/>
      <c r="U517" s="6"/>
      <c r="V517" s="6"/>
      <c r="W517" s="6"/>
      <c r="X517" s="6"/>
      <c r="Y517" s="6"/>
      <c r="Z517" s="6"/>
      <c r="AA517" s="6"/>
      <c r="AB517" s="6"/>
      <c r="AC517" s="6"/>
      <c r="AD517" s="6"/>
      <c r="AE517" s="6"/>
    </row>
    <row r="518">
      <c r="A518" s="7" t="str">
        <f t="shared" si="2"/>
        <v/>
      </c>
      <c r="B518" s="6"/>
      <c r="C518" s="6"/>
      <c r="D518" s="113"/>
      <c r="E518" s="6"/>
      <c r="F518" s="6"/>
      <c r="G518" s="6"/>
      <c r="H518" s="6"/>
      <c r="I518" s="6"/>
      <c r="J518" s="6"/>
      <c r="K518" s="6"/>
      <c r="L518" s="6"/>
      <c r="M518" s="6"/>
      <c r="N518" s="6"/>
      <c r="O518" s="6"/>
      <c r="P518" s="35"/>
      <c r="Q518" s="35"/>
      <c r="R518" s="6"/>
      <c r="S518" s="6"/>
      <c r="T518" s="6"/>
      <c r="U518" s="6"/>
      <c r="V518" s="6"/>
      <c r="W518" s="6"/>
      <c r="X518" s="6"/>
      <c r="Y518" s="6"/>
      <c r="Z518" s="6"/>
      <c r="AA518" s="6"/>
      <c r="AB518" s="6"/>
      <c r="AC518" s="6"/>
      <c r="AD518" s="6"/>
      <c r="AE518" s="6"/>
    </row>
    <row r="519">
      <c r="A519" s="7" t="str">
        <f t="shared" si="2"/>
        <v/>
      </c>
      <c r="B519" s="6"/>
      <c r="C519" s="6"/>
      <c r="D519" s="113"/>
      <c r="E519" s="6"/>
      <c r="F519" s="6"/>
      <c r="G519" s="6"/>
      <c r="H519" s="6"/>
      <c r="I519" s="6"/>
      <c r="J519" s="6"/>
      <c r="K519" s="6"/>
      <c r="L519" s="6"/>
      <c r="M519" s="6"/>
      <c r="N519" s="6"/>
      <c r="O519" s="6"/>
      <c r="P519" s="35"/>
      <c r="Q519" s="35"/>
      <c r="R519" s="6"/>
      <c r="S519" s="6"/>
      <c r="T519" s="6"/>
      <c r="U519" s="6"/>
      <c r="V519" s="6"/>
      <c r="W519" s="6"/>
      <c r="X519" s="6"/>
      <c r="Y519" s="6"/>
      <c r="Z519" s="6"/>
      <c r="AA519" s="6"/>
      <c r="AB519" s="6"/>
      <c r="AC519" s="6"/>
      <c r="AD519" s="6"/>
      <c r="AE519" s="6"/>
    </row>
    <row r="520">
      <c r="A520" s="7" t="str">
        <f t="shared" si="2"/>
        <v/>
      </c>
      <c r="B520" s="6"/>
      <c r="C520" s="6"/>
      <c r="D520" s="113"/>
      <c r="E520" s="6"/>
      <c r="F520" s="6"/>
      <c r="G520" s="6"/>
      <c r="H520" s="6"/>
      <c r="I520" s="6"/>
      <c r="J520" s="6"/>
      <c r="K520" s="6"/>
      <c r="L520" s="6"/>
      <c r="M520" s="6"/>
      <c r="N520" s="6"/>
      <c r="O520" s="6"/>
      <c r="P520" s="35"/>
      <c r="Q520" s="35"/>
      <c r="R520" s="6"/>
      <c r="S520" s="6"/>
      <c r="T520" s="6"/>
      <c r="U520" s="6"/>
      <c r="V520" s="6"/>
      <c r="W520" s="6"/>
      <c r="X520" s="6"/>
      <c r="Y520" s="6"/>
      <c r="Z520" s="6"/>
      <c r="AA520" s="6"/>
      <c r="AB520" s="6"/>
      <c r="AC520" s="6"/>
      <c r="AD520" s="6"/>
      <c r="AE520" s="6"/>
    </row>
    <row r="521">
      <c r="A521" s="7" t="str">
        <f t="shared" si="2"/>
        <v/>
      </c>
      <c r="B521" s="6"/>
      <c r="C521" s="6"/>
      <c r="D521" s="113"/>
      <c r="E521" s="6"/>
      <c r="F521" s="6"/>
      <c r="G521" s="6"/>
      <c r="H521" s="6"/>
      <c r="I521" s="6"/>
      <c r="J521" s="6"/>
      <c r="K521" s="6"/>
      <c r="L521" s="6"/>
      <c r="M521" s="6"/>
      <c r="N521" s="6"/>
      <c r="O521" s="6"/>
      <c r="P521" s="35"/>
      <c r="Q521" s="35"/>
      <c r="R521" s="6"/>
      <c r="S521" s="6"/>
      <c r="T521" s="6"/>
      <c r="U521" s="6"/>
      <c r="V521" s="6"/>
      <c r="W521" s="6"/>
      <c r="X521" s="6"/>
      <c r="Y521" s="6"/>
      <c r="Z521" s="6"/>
      <c r="AA521" s="6"/>
      <c r="AB521" s="6"/>
      <c r="AC521" s="6"/>
      <c r="AD521" s="6"/>
      <c r="AE521" s="6"/>
    </row>
    <row r="522">
      <c r="A522" s="7" t="str">
        <f t="shared" si="2"/>
        <v/>
      </c>
      <c r="B522" s="6"/>
      <c r="C522" s="6"/>
      <c r="D522" s="113"/>
      <c r="E522" s="6"/>
      <c r="F522" s="6"/>
      <c r="G522" s="6"/>
      <c r="H522" s="6"/>
      <c r="I522" s="6"/>
      <c r="J522" s="6"/>
      <c r="K522" s="6"/>
      <c r="L522" s="6"/>
      <c r="M522" s="6"/>
      <c r="N522" s="6"/>
      <c r="O522" s="6"/>
      <c r="P522" s="35"/>
      <c r="Q522" s="35"/>
      <c r="R522" s="6"/>
      <c r="S522" s="6"/>
      <c r="T522" s="6"/>
      <c r="U522" s="6"/>
      <c r="V522" s="6"/>
      <c r="W522" s="6"/>
      <c r="X522" s="6"/>
      <c r="Y522" s="6"/>
      <c r="Z522" s="6"/>
      <c r="AA522" s="6"/>
      <c r="AB522" s="6"/>
      <c r="AC522" s="6"/>
      <c r="AD522" s="6"/>
      <c r="AE522" s="6"/>
    </row>
    <row r="523">
      <c r="A523" s="7" t="str">
        <f t="shared" si="2"/>
        <v/>
      </c>
      <c r="B523" s="6"/>
      <c r="C523" s="6"/>
      <c r="D523" s="113"/>
      <c r="E523" s="6"/>
      <c r="F523" s="6"/>
      <c r="G523" s="6"/>
      <c r="H523" s="6"/>
      <c r="I523" s="6"/>
      <c r="J523" s="6"/>
      <c r="K523" s="6"/>
      <c r="L523" s="6"/>
      <c r="M523" s="6"/>
      <c r="N523" s="6"/>
      <c r="O523" s="6"/>
      <c r="P523" s="35"/>
      <c r="Q523" s="35"/>
      <c r="R523" s="6"/>
      <c r="S523" s="6"/>
      <c r="T523" s="6"/>
      <c r="U523" s="6"/>
      <c r="V523" s="6"/>
      <c r="W523" s="6"/>
      <c r="X523" s="6"/>
      <c r="Y523" s="6"/>
      <c r="Z523" s="6"/>
      <c r="AA523" s="6"/>
      <c r="AB523" s="6"/>
      <c r="AC523" s="6"/>
      <c r="AD523" s="6"/>
      <c r="AE523" s="6"/>
    </row>
    <row r="524">
      <c r="A524" s="7" t="str">
        <f t="shared" si="2"/>
        <v/>
      </c>
      <c r="B524" s="6"/>
      <c r="C524" s="6"/>
      <c r="D524" s="113"/>
      <c r="E524" s="6"/>
      <c r="F524" s="6"/>
      <c r="G524" s="6"/>
      <c r="H524" s="6"/>
      <c r="I524" s="6"/>
      <c r="J524" s="6"/>
      <c r="K524" s="6"/>
      <c r="L524" s="6"/>
      <c r="M524" s="6"/>
      <c r="N524" s="6"/>
      <c r="O524" s="6"/>
      <c r="P524" s="35"/>
      <c r="Q524" s="35"/>
      <c r="R524" s="6"/>
      <c r="S524" s="6"/>
      <c r="T524" s="6"/>
      <c r="U524" s="6"/>
      <c r="V524" s="6"/>
      <c r="W524" s="6"/>
      <c r="X524" s="6"/>
      <c r="Y524" s="6"/>
      <c r="Z524" s="6"/>
      <c r="AA524" s="6"/>
      <c r="AB524" s="6"/>
      <c r="AC524" s="6"/>
      <c r="AD524" s="6"/>
      <c r="AE524" s="6"/>
    </row>
    <row r="525">
      <c r="A525" s="7" t="str">
        <f t="shared" si="2"/>
        <v/>
      </c>
      <c r="B525" s="6"/>
      <c r="C525" s="6"/>
      <c r="D525" s="113"/>
      <c r="E525" s="6"/>
      <c r="F525" s="6"/>
      <c r="G525" s="6"/>
      <c r="H525" s="6"/>
      <c r="I525" s="6"/>
      <c r="J525" s="6"/>
      <c r="K525" s="6"/>
      <c r="L525" s="6"/>
      <c r="M525" s="6"/>
      <c r="N525" s="6"/>
      <c r="O525" s="6"/>
      <c r="P525" s="35"/>
      <c r="Q525" s="35"/>
      <c r="R525" s="6"/>
      <c r="S525" s="6"/>
      <c r="T525" s="6"/>
      <c r="U525" s="6"/>
      <c r="V525" s="6"/>
      <c r="W525" s="6"/>
      <c r="X525" s="6"/>
      <c r="Y525" s="6"/>
      <c r="Z525" s="6"/>
      <c r="AA525" s="6"/>
      <c r="AB525" s="6"/>
      <c r="AC525" s="6"/>
      <c r="AD525" s="6"/>
      <c r="AE525" s="6"/>
    </row>
    <row r="526">
      <c r="A526" s="7" t="str">
        <f t="shared" si="2"/>
        <v/>
      </c>
      <c r="B526" s="6"/>
      <c r="C526" s="6"/>
      <c r="D526" s="113"/>
      <c r="E526" s="6"/>
      <c r="F526" s="6"/>
      <c r="G526" s="6"/>
      <c r="H526" s="6"/>
      <c r="I526" s="6"/>
      <c r="J526" s="6"/>
      <c r="K526" s="6"/>
      <c r="L526" s="6"/>
      <c r="M526" s="6"/>
      <c r="N526" s="6"/>
      <c r="O526" s="6"/>
      <c r="P526" s="35"/>
      <c r="Q526" s="35"/>
      <c r="R526" s="6"/>
      <c r="S526" s="6"/>
      <c r="T526" s="6"/>
      <c r="U526" s="6"/>
      <c r="V526" s="6"/>
      <c r="W526" s="6"/>
      <c r="X526" s="6"/>
      <c r="Y526" s="6"/>
      <c r="Z526" s="6"/>
      <c r="AA526" s="6"/>
      <c r="AB526" s="6"/>
      <c r="AC526" s="6"/>
      <c r="AD526" s="6"/>
      <c r="AE526" s="6"/>
    </row>
    <row r="527">
      <c r="A527" s="7" t="str">
        <f t="shared" si="2"/>
        <v/>
      </c>
      <c r="B527" s="6"/>
      <c r="C527" s="6"/>
      <c r="D527" s="113"/>
      <c r="E527" s="6"/>
      <c r="F527" s="6"/>
      <c r="G527" s="6"/>
      <c r="H527" s="6"/>
      <c r="I527" s="6"/>
      <c r="J527" s="6"/>
      <c r="K527" s="6"/>
      <c r="L527" s="6"/>
      <c r="M527" s="6"/>
      <c r="N527" s="6"/>
      <c r="O527" s="6"/>
      <c r="P527" s="35"/>
      <c r="Q527" s="35"/>
      <c r="R527" s="6"/>
      <c r="S527" s="6"/>
      <c r="T527" s="6"/>
      <c r="U527" s="6"/>
      <c r="V527" s="6"/>
      <c r="W527" s="6"/>
      <c r="X527" s="6"/>
      <c r="Y527" s="6"/>
      <c r="Z527" s="6"/>
      <c r="AA527" s="6"/>
      <c r="AB527" s="6"/>
      <c r="AC527" s="6"/>
      <c r="AD527" s="6"/>
      <c r="AE527" s="6"/>
    </row>
    <row r="528">
      <c r="A528" s="7" t="str">
        <f t="shared" si="2"/>
        <v/>
      </c>
      <c r="B528" s="6"/>
      <c r="C528" s="6"/>
      <c r="D528" s="113"/>
      <c r="E528" s="6"/>
      <c r="F528" s="6"/>
      <c r="G528" s="6"/>
      <c r="H528" s="6"/>
      <c r="I528" s="6"/>
      <c r="J528" s="6"/>
      <c r="K528" s="6"/>
      <c r="L528" s="6"/>
      <c r="M528" s="6"/>
      <c r="N528" s="6"/>
      <c r="O528" s="6"/>
      <c r="P528" s="35"/>
      <c r="Q528" s="35"/>
      <c r="R528" s="6"/>
      <c r="S528" s="6"/>
      <c r="T528" s="6"/>
      <c r="U528" s="6"/>
      <c r="V528" s="6"/>
      <c r="W528" s="6"/>
      <c r="X528" s="6"/>
      <c r="Y528" s="6"/>
      <c r="Z528" s="6"/>
      <c r="AA528" s="6"/>
      <c r="AB528" s="6"/>
      <c r="AC528" s="6"/>
      <c r="AD528" s="6"/>
      <c r="AE528" s="6"/>
    </row>
    <row r="529">
      <c r="A529" s="7" t="str">
        <f t="shared" si="2"/>
        <v/>
      </c>
      <c r="B529" s="6"/>
      <c r="C529" s="6"/>
      <c r="D529" s="113"/>
      <c r="E529" s="6"/>
      <c r="F529" s="6"/>
      <c r="G529" s="6"/>
      <c r="H529" s="6"/>
      <c r="I529" s="6"/>
      <c r="J529" s="6"/>
      <c r="K529" s="6"/>
      <c r="L529" s="6"/>
      <c r="M529" s="6"/>
      <c r="N529" s="6"/>
      <c r="O529" s="6"/>
      <c r="P529" s="35"/>
      <c r="Q529" s="35"/>
      <c r="R529" s="6"/>
      <c r="S529" s="6"/>
      <c r="T529" s="6"/>
      <c r="U529" s="6"/>
      <c r="V529" s="6"/>
      <c r="W529" s="6"/>
      <c r="X529" s="6"/>
      <c r="Y529" s="6"/>
      <c r="Z529" s="6"/>
      <c r="AA529" s="6"/>
      <c r="AB529" s="6"/>
      <c r="AC529" s="6"/>
      <c r="AD529" s="6"/>
      <c r="AE529" s="6"/>
    </row>
    <row r="530">
      <c r="A530" s="7" t="str">
        <f t="shared" si="2"/>
        <v/>
      </c>
      <c r="B530" s="6"/>
      <c r="C530" s="6"/>
      <c r="D530" s="113"/>
      <c r="E530" s="6"/>
      <c r="F530" s="6"/>
      <c r="G530" s="6"/>
      <c r="H530" s="6"/>
      <c r="I530" s="6"/>
      <c r="J530" s="6"/>
      <c r="K530" s="6"/>
      <c r="L530" s="6"/>
      <c r="M530" s="6"/>
      <c r="N530" s="6"/>
      <c r="O530" s="6"/>
      <c r="P530" s="35"/>
      <c r="Q530" s="35"/>
      <c r="R530" s="6"/>
      <c r="S530" s="6"/>
      <c r="T530" s="6"/>
      <c r="U530" s="6"/>
      <c r="V530" s="6"/>
      <c r="W530" s="6"/>
      <c r="X530" s="6"/>
      <c r="Y530" s="6"/>
      <c r="Z530" s="6"/>
      <c r="AA530" s="6"/>
      <c r="AB530" s="6"/>
      <c r="AC530" s="6"/>
      <c r="AD530" s="6"/>
      <c r="AE530" s="6"/>
    </row>
    <row r="531">
      <c r="A531" s="7" t="str">
        <f t="shared" si="2"/>
        <v/>
      </c>
      <c r="B531" s="6"/>
      <c r="C531" s="6"/>
      <c r="D531" s="113"/>
      <c r="E531" s="6"/>
      <c r="F531" s="6"/>
      <c r="G531" s="6"/>
      <c r="H531" s="6"/>
      <c r="I531" s="6"/>
      <c r="J531" s="6"/>
      <c r="K531" s="6"/>
      <c r="L531" s="6"/>
      <c r="M531" s="6"/>
      <c r="N531" s="6"/>
      <c r="O531" s="6"/>
      <c r="P531" s="35"/>
      <c r="Q531" s="35"/>
      <c r="R531" s="6"/>
      <c r="S531" s="6"/>
      <c r="T531" s="6"/>
      <c r="U531" s="6"/>
      <c r="V531" s="6"/>
      <c r="W531" s="6"/>
      <c r="X531" s="6"/>
      <c r="Y531" s="6"/>
      <c r="Z531" s="6"/>
      <c r="AA531" s="6"/>
      <c r="AB531" s="6"/>
      <c r="AC531" s="6"/>
      <c r="AD531" s="6"/>
      <c r="AE531" s="6"/>
    </row>
    <row r="532">
      <c r="A532" s="7" t="str">
        <f t="shared" si="2"/>
        <v/>
      </c>
      <c r="B532" s="6"/>
      <c r="C532" s="6"/>
      <c r="D532" s="113"/>
      <c r="E532" s="6"/>
      <c r="F532" s="6"/>
      <c r="G532" s="6"/>
      <c r="H532" s="6"/>
      <c r="I532" s="6"/>
      <c r="J532" s="6"/>
      <c r="K532" s="6"/>
      <c r="L532" s="6"/>
      <c r="M532" s="6"/>
      <c r="N532" s="6"/>
      <c r="O532" s="6"/>
      <c r="P532" s="35"/>
      <c r="Q532" s="35"/>
      <c r="R532" s="6"/>
      <c r="S532" s="6"/>
      <c r="T532" s="6"/>
      <c r="U532" s="6"/>
      <c r="V532" s="6"/>
      <c r="W532" s="6"/>
      <c r="X532" s="6"/>
      <c r="Y532" s="6"/>
      <c r="Z532" s="6"/>
      <c r="AA532" s="6"/>
      <c r="AB532" s="6"/>
      <c r="AC532" s="6"/>
      <c r="AD532" s="6"/>
      <c r="AE532" s="6"/>
    </row>
    <row r="533">
      <c r="A533" s="7" t="str">
        <f t="shared" si="2"/>
        <v/>
      </c>
      <c r="B533" s="6"/>
      <c r="C533" s="6"/>
      <c r="D533" s="113"/>
      <c r="E533" s="6"/>
      <c r="F533" s="6"/>
      <c r="G533" s="6"/>
      <c r="H533" s="6"/>
      <c r="I533" s="6"/>
      <c r="J533" s="6"/>
      <c r="K533" s="6"/>
      <c r="L533" s="6"/>
      <c r="M533" s="6"/>
      <c r="N533" s="6"/>
      <c r="O533" s="6"/>
      <c r="P533" s="35"/>
      <c r="Q533" s="35"/>
      <c r="R533" s="6"/>
      <c r="S533" s="6"/>
      <c r="T533" s="6"/>
      <c r="U533" s="6"/>
      <c r="V533" s="6"/>
      <c r="W533" s="6"/>
      <c r="X533" s="6"/>
      <c r="Y533" s="6"/>
      <c r="Z533" s="6"/>
      <c r="AA533" s="6"/>
      <c r="AB533" s="6"/>
      <c r="AC533" s="6"/>
      <c r="AD533" s="6"/>
      <c r="AE533" s="6"/>
    </row>
    <row r="534">
      <c r="A534" s="7" t="str">
        <f t="shared" si="2"/>
        <v/>
      </c>
      <c r="B534" s="6"/>
      <c r="C534" s="6"/>
      <c r="D534" s="113"/>
      <c r="E534" s="6"/>
      <c r="F534" s="6"/>
      <c r="G534" s="6"/>
      <c r="H534" s="6"/>
      <c r="I534" s="6"/>
      <c r="J534" s="6"/>
      <c r="K534" s="6"/>
      <c r="L534" s="6"/>
      <c r="M534" s="6"/>
      <c r="N534" s="6"/>
      <c r="O534" s="6"/>
      <c r="P534" s="35"/>
      <c r="Q534" s="35"/>
      <c r="R534" s="6"/>
      <c r="S534" s="6"/>
      <c r="T534" s="6"/>
      <c r="U534" s="6"/>
      <c r="V534" s="6"/>
      <c r="W534" s="6"/>
      <c r="X534" s="6"/>
      <c r="Y534" s="6"/>
      <c r="Z534" s="6"/>
      <c r="AA534" s="6"/>
      <c r="AB534" s="6"/>
      <c r="AC534" s="6"/>
      <c r="AD534" s="6"/>
      <c r="AE534" s="6"/>
    </row>
    <row r="535">
      <c r="A535" s="7" t="str">
        <f t="shared" si="2"/>
        <v/>
      </c>
      <c r="B535" s="6"/>
      <c r="C535" s="6"/>
      <c r="D535" s="113"/>
      <c r="E535" s="6"/>
      <c r="F535" s="6"/>
      <c r="G535" s="6"/>
      <c r="H535" s="6"/>
      <c r="I535" s="6"/>
      <c r="J535" s="6"/>
      <c r="K535" s="6"/>
      <c r="L535" s="6"/>
      <c r="M535" s="6"/>
      <c r="N535" s="6"/>
      <c r="O535" s="6"/>
      <c r="P535" s="35"/>
      <c r="Q535" s="35"/>
      <c r="R535" s="6"/>
      <c r="S535" s="6"/>
      <c r="T535" s="6"/>
      <c r="U535" s="6"/>
      <c r="V535" s="6"/>
      <c r="W535" s="6"/>
      <c r="X535" s="6"/>
      <c r="Y535" s="6"/>
      <c r="Z535" s="6"/>
      <c r="AA535" s="6"/>
      <c r="AB535" s="6"/>
      <c r="AC535" s="6"/>
      <c r="AD535" s="6"/>
      <c r="AE535" s="6"/>
    </row>
    <row r="536">
      <c r="A536" s="7" t="str">
        <f t="shared" si="2"/>
        <v/>
      </c>
      <c r="B536" s="6"/>
      <c r="C536" s="6"/>
      <c r="D536" s="113"/>
      <c r="E536" s="6"/>
      <c r="F536" s="6"/>
      <c r="G536" s="6"/>
      <c r="H536" s="6"/>
      <c r="I536" s="6"/>
      <c r="J536" s="6"/>
      <c r="K536" s="6"/>
      <c r="L536" s="6"/>
      <c r="M536" s="6"/>
      <c r="N536" s="6"/>
      <c r="O536" s="6"/>
      <c r="P536" s="35"/>
      <c r="Q536" s="35"/>
      <c r="R536" s="6"/>
      <c r="S536" s="6"/>
      <c r="T536" s="6"/>
      <c r="U536" s="6"/>
      <c r="V536" s="6"/>
      <c r="W536" s="6"/>
      <c r="X536" s="6"/>
      <c r="Y536" s="6"/>
      <c r="Z536" s="6"/>
      <c r="AA536" s="6"/>
      <c r="AB536" s="6"/>
      <c r="AC536" s="6"/>
      <c r="AD536" s="6"/>
      <c r="AE536" s="6"/>
    </row>
    <row r="537">
      <c r="A537" s="7" t="str">
        <f t="shared" si="2"/>
        <v/>
      </c>
      <c r="B537" s="6"/>
      <c r="C537" s="6"/>
      <c r="D537" s="113"/>
      <c r="E537" s="6"/>
      <c r="F537" s="6"/>
      <c r="G537" s="6"/>
      <c r="H537" s="6"/>
      <c r="I537" s="6"/>
      <c r="J537" s="6"/>
      <c r="K537" s="6"/>
      <c r="L537" s="6"/>
      <c r="M537" s="6"/>
      <c r="N537" s="6"/>
      <c r="O537" s="6"/>
      <c r="P537" s="35"/>
      <c r="Q537" s="35"/>
      <c r="R537" s="6"/>
      <c r="S537" s="6"/>
      <c r="T537" s="6"/>
      <c r="U537" s="6"/>
      <c r="V537" s="6"/>
      <c r="W537" s="6"/>
      <c r="X537" s="6"/>
      <c r="Y537" s="6"/>
      <c r="Z537" s="6"/>
      <c r="AA537" s="6"/>
      <c r="AB537" s="6"/>
      <c r="AC537" s="6"/>
      <c r="AD537" s="6"/>
      <c r="AE537" s="6"/>
    </row>
    <row r="538">
      <c r="A538" s="7" t="str">
        <f t="shared" si="2"/>
        <v/>
      </c>
      <c r="B538" s="6"/>
      <c r="C538" s="6"/>
      <c r="D538" s="113"/>
      <c r="E538" s="6"/>
      <c r="F538" s="6"/>
      <c r="G538" s="6"/>
      <c r="H538" s="6"/>
      <c r="I538" s="6"/>
      <c r="J538" s="6"/>
      <c r="K538" s="6"/>
      <c r="L538" s="6"/>
      <c r="M538" s="6"/>
      <c r="N538" s="6"/>
      <c r="O538" s="6"/>
      <c r="P538" s="35"/>
      <c r="Q538" s="35"/>
      <c r="R538" s="6"/>
      <c r="S538" s="6"/>
      <c r="T538" s="6"/>
      <c r="U538" s="6"/>
      <c r="V538" s="6"/>
      <c r="W538" s="6"/>
      <c r="X538" s="6"/>
      <c r="Y538" s="6"/>
      <c r="Z538" s="6"/>
      <c r="AA538" s="6"/>
      <c r="AB538" s="6"/>
      <c r="AC538" s="6"/>
      <c r="AD538" s="6"/>
      <c r="AE538" s="6"/>
    </row>
    <row r="539">
      <c r="A539" s="7" t="str">
        <f t="shared" si="2"/>
        <v/>
      </c>
      <c r="B539" s="6"/>
      <c r="C539" s="6"/>
      <c r="D539" s="113"/>
      <c r="E539" s="6"/>
      <c r="F539" s="6"/>
      <c r="G539" s="6"/>
      <c r="H539" s="6"/>
      <c r="I539" s="6"/>
      <c r="J539" s="6"/>
      <c r="K539" s="6"/>
      <c r="L539" s="6"/>
      <c r="M539" s="6"/>
      <c r="N539" s="6"/>
      <c r="O539" s="6"/>
      <c r="P539" s="35"/>
      <c r="Q539" s="35"/>
      <c r="R539" s="6"/>
      <c r="S539" s="6"/>
      <c r="T539" s="6"/>
      <c r="U539" s="6"/>
      <c r="V539" s="6"/>
      <c r="W539" s="6"/>
      <c r="X539" s="6"/>
      <c r="Y539" s="6"/>
      <c r="Z539" s="6"/>
      <c r="AA539" s="6"/>
      <c r="AB539" s="6"/>
      <c r="AC539" s="6"/>
      <c r="AD539" s="6"/>
      <c r="AE539" s="6"/>
    </row>
    <row r="540">
      <c r="A540" s="7" t="str">
        <f t="shared" si="2"/>
        <v/>
      </c>
      <c r="B540" s="6"/>
      <c r="C540" s="6"/>
      <c r="D540" s="113"/>
      <c r="E540" s="6"/>
      <c r="F540" s="6"/>
      <c r="G540" s="6"/>
      <c r="H540" s="6"/>
      <c r="I540" s="6"/>
      <c r="J540" s="6"/>
      <c r="K540" s="6"/>
      <c r="L540" s="6"/>
      <c r="M540" s="6"/>
      <c r="N540" s="6"/>
      <c r="O540" s="6"/>
      <c r="P540" s="35"/>
      <c r="Q540" s="35"/>
      <c r="R540" s="6"/>
      <c r="S540" s="6"/>
      <c r="T540" s="6"/>
      <c r="U540" s="6"/>
      <c r="V540" s="6"/>
      <c r="W540" s="6"/>
      <c r="X540" s="6"/>
      <c r="Y540" s="6"/>
      <c r="Z540" s="6"/>
      <c r="AA540" s="6"/>
      <c r="AB540" s="6"/>
      <c r="AC540" s="6"/>
      <c r="AD540" s="6"/>
      <c r="AE540" s="6"/>
    </row>
    <row r="541">
      <c r="A541" s="7" t="str">
        <f t="shared" si="2"/>
        <v/>
      </c>
      <c r="B541" s="6"/>
      <c r="C541" s="6"/>
      <c r="D541" s="113"/>
      <c r="E541" s="6"/>
      <c r="F541" s="6"/>
      <c r="G541" s="6"/>
      <c r="H541" s="6"/>
      <c r="I541" s="6"/>
      <c r="J541" s="6"/>
      <c r="K541" s="6"/>
      <c r="L541" s="6"/>
      <c r="M541" s="6"/>
      <c r="N541" s="6"/>
      <c r="O541" s="6"/>
      <c r="P541" s="35"/>
      <c r="Q541" s="35"/>
      <c r="R541" s="6"/>
      <c r="S541" s="6"/>
      <c r="T541" s="6"/>
      <c r="U541" s="6"/>
      <c r="V541" s="6"/>
      <c r="W541" s="6"/>
      <c r="X541" s="6"/>
      <c r="Y541" s="6"/>
      <c r="Z541" s="6"/>
      <c r="AA541" s="6"/>
      <c r="AB541" s="6"/>
      <c r="AC541" s="6"/>
      <c r="AD541" s="6"/>
      <c r="AE541" s="6"/>
    </row>
    <row r="542">
      <c r="A542" s="7" t="str">
        <f t="shared" si="2"/>
        <v/>
      </c>
      <c r="B542" s="6"/>
      <c r="C542" s="6"/>
      <c r="D542" s="113"/>
      <c r="E542" s="6"/>
      <c r="F542" s="6"/>
      <c r="G542" s="6"/>
      <c r="H542" s="6"/>
      <c r="I542" s="6"/>
      <c r="J542" s="6"/>
      <c r="K542" s="6"/>
      <c r="L542" s="6"/>
      <c r="M542" s="6"/>
      <c r="N542" s="6"/>
      <c r="O542" s="6"/>
      <c r="P542" s="35"/>
      <c r="Q542" s="35"/>
      <c r="R542" s="6"/>
      <c r="S542" s="6"/>
      <c r="T542" s="6"/>
      <c r="U542" s="6"/>
      <c r="V542" s="6"/>
      <c r="W542" s="6"/>
      <c r="X542" s="6"/>
      <c r="Y542" s="6"/>
      <c r="Z542" s="6"/>
      <c r="AA542" s="6"/>
      <c r="AB542" s="6"/>
      <c r="AC542" s="6"/>
      <c r="AD542" s="6"/>
      <c r="AE542" s="6"/>
    </row>
    <row r="543">
      <c r="A543" s="7" t="str">
        <f t="shared" si="2"/>
        <v/>
      </c>
      <c r="B543" s="6"/>
      <c r="C543" s="6"/>
      <c r="D543" s="113"/>
      <c r="E543" s="6"/>
      <c r="F543" s="6"/>
      <c r="G543" s="6"/>
      <c r="H543" s="6"/>
      <c r="I543" s="6"/>
      <c r="J543" s="6"/>
      <c r="K543" s="6"/>
      <c r="L543" s="6"/>
      <c r="M543" s="6"/>
      <c r="N543" s="6"/>
      <c r="O543" s="6"/>
      <c r="P543" s="35"/>
      <c r="Q543" s="35"/>
      <c r="R543" s="6"/>
      <c r="S543" s="6"/>
      <c r="T543" s="6"/>
      <c r="U543" s="6"/>
      <c r="V543" s="6"/>
      <c r="W543" s="6"/>
      <c r="X543" s="6"/>
      <c r="Y543" s="6"/>
      <c r="Z543" s="6"/>
      <c r="AA543" s="6"/>
      <c r="AB543" s="6"/>
      <c r="AC543" s="6"/>
      <c r="AD543" s="6"/>
      <c r="AE543" s="6"/>
    </row>
    <row r="544">
      <c r="A544" s="7" t="str">
        <f t="shared" si="2"/>
        <v/>
      </c>
      <c r="B544" s="6"/>
      <c r="C544" s="6"/>
      <c r="D544" s="113"/>
      <c r="E544" s="6"/>
      <c r="F544" s="6"/>
      <c r="G544" s="6"/>
      <c r="H544" s="6"/>
      <c r="I544" s="6"/>
      <c r="J544" s="6"/>
      <c r="K544" s="6"/>
      <c r="L544" s="6"/>
      <c r="M544" s="6"/>
      <c r="N544" s="6"/>
      <c r="O544" s="6"/>
      <c r="P544" s="35"/>
      <c r="Q544" s="35"/>
      <c r="R544" s="6"/>
      <c r="S544" s="6"/>
      <c r="T544" s="6"/>
      <c r="U544" s="6"/>
      <c r="V544" s="6"/>
      <c r="W544" s="6"/>
      <c r="X544" s="6"/>
      <c r="Y544" s="6"/>
      <c r="Z544" s="6"/>
      <c r="AA544" s="6"/>
      <c r="AB544" s="6"/>
      <c r="AC544" s="6"/>
      <c r="AD544" s="6"/>
      <c r="AE544" s="6"/>
    </row>
    <row r="545">
      <c r="A545" s="7" t="str">
        <f t="shared" si="2"/>
        <v/>
      </c>
      <c r="B545" s="6"/>
      <c r="C545" s="6"/>
      <c r="D545" s="113"/>
      <c r="E545" s="6"/>
      <c r="F545" s="6"/>
      <c r="G545" s="6"/>
      <c r="H545" s="6"/>
      <c r="I545" s="6"/>
      <c r="J545" s="6"/>
      <c r="K545" s="6"/>
      <c r="L545" s="6"/>
      <c r="M545" s="6"/>
      <c r="N545" s="6"/>
      <c r="O545" s="6"/>
      <c r="P545" s="35"/>
      <c r="Q545" s="35"/>
      <c r="R545" s="6"/>
      <c r="S545" s="6"/>
      <c r="T545" s="6"/>
      <c r="U545" s="6"/>
      <c r="V545" s="6"/>
      <c r="W545" s="6"/>
      <c r="X545" s="6"/>
      <c r="Y545" s="6"/>
      <c r="Z545" s="6"/>
      <c r="AA545" s="6"/>
      <c r="AB545" s="6"/>
      <c r="AC545" s="6"/>
      <c r="AD545" s="6"/>
      <c r="AE545" s="6"/>
    </row>
    <row r="546">
      <c r="A546" s="7" t="str">
        <f t="shared" si="2"/>
        <v/>
      </c>
      <c r="B546" s="6"/>
      <c r="C546" s="6"/>
      <c r="D546" s="113"/>
      <c r="E546" s="6"/>
      <c r="F546" s="6"/>
      <c r="G546" s="6"/>
      <c r="H546" s="6"/>
      <c r="I546" s="6"/>
      <c r="J546" s="6"/>
      <c r="K546" s="6"/>
      <c r="L546" s="6"/>
      <c r="M546" s="6"/>
      <c r="N546" s="6"/>
      <c r="O546" s="6"/>
      <c r="P546" s="35"/>
      <c r="Q546" s="35"/>
      <c r="R546" s="6"/>
      <c r="S546" s="6"/>
      <c r="T546" s="6"/>
      <c r="U546" s="6"/>
      <c r="V546" s="6"/>
      <c r="W546" s="6"/>
      <c r="X546" s="6"/>
      <c r="Y546" s="6"/>
      <c r="Z546" s="6"/>
      <c r="AA546" s="6"/>
      <c r="AB546" s="6"/>
      <c r="AC546" s="6"/>
      <c r="AD546" s="6"/>
      <c r="AE546" s="6"/>
    </row>
    <row r="547">
      <c r="A547" s="7" t="str">
        <f t="shared" si="2"/>
        <v/>
      </c>
      <c r="B547" s="6"/>
      <c r="C547" s="6"/>
      <c r="D547" s="113"/>
      <c r="E547" s="6"/>
      <c r="F547" s="6"/>
      <c r="G547" s="6"/>
      <c r="H547" s="6"/>
      <c r="I547" s="6"/>
      <c r="J547" s="6"/>
      <c r="K547" s="6"/>
      <c r="L547" s="6"/>
      <c r="M547" s="6"/>
      <c r="N547" s="6"/>
      <c r="O547" s="6"/>
      <c r="P547" s="35"/>
      <c r="Q547" s="35"/>
      <c r="R547" s="6"/>
      <c r="S547" s="6"/>
      <c r="T547" s="6"/>
      <c r="U547" s="6"/>
      <c r="V547" s="6"/>
      <c r="W547" s="6"/>
      <c r="X547" s="6"/>
      <c r="Y547" s="6"/>
      <c r="Z547" s="6"/>
      <c r="AA547" s="6"/>
      <c r="AB547" s="6"/>
      <c r="AC547" s="6"/>
      <c r="AD547" s="6"/>
      <c r="AE547" s="6"/>
    </row>
    <row r="548">
      <c r="A548" s="7" t="str">
        <f t="shared" si="2"/>
        <v/>
      </c>
      <c r="B548" s="6"/>
      <c r="C548" s="6"/>
      <c r="D548" s="113"/>
      <c r="E548" s="6"/>
      <c r="F548" s="6"/>
      <c r="G548" s="6"/>
      <c r="H548" s="6"/>
      <c r="I548" s="6"/>
      <c r="J548" s="6"/>
      <c r="K548" s="6"/>
      <c r="L548" s="6"/>
      <c r="M548" s="6"/>
      <c r="N548" s="6"/>
      <c r="O548" s="6"/>
      <c r="P548" s="35"/>
      <c r="Q548" s="35"/>
      <c r="R548" s="6"/>
      <c r="S548" s="6"/>
      <c r="T548" s="6"/>
      <c r="U548" s="6"/>
      <c r="V548" s="6"/>
      <c r="W548" s="6"/>
      <c r="X548" s="6"/>
      <c r="Y548" s="6"/>
      <c r="Z548" s="6"/>
      <c r="AA548" s="6"/>
      <c r="AB548" s="6"/>
      <c r="AC548" s="6"/>
      <c r="AD548" s="6"/>
      <c r="AE548" s="6"/>
    </row>
    <row r="549">
      <c r="A549" s="7" t="str">
        <f t="shared" si="2"/>
        <v/>
      </c>
      <c r="B549" s="6"/>
      <c r="C549" s="6"/>
      <c r="D549" s="113"/>
      <c r="E549" s="6"/>
      <c r="F549" s="6"/>
      <c r="G549" s="6"/>
      <c r="H549" s="6"/>
      <c r="I549" s="6"/>
      <c r="J549" s="6"/>
      <c r="K549" s="6"/>
      <c r="L549" s="6"/>
      <c r="M549" s="6"/>
      <c r="N549" s="6"/>
      <c r="O549" s="6"/>
      <c r="P549" s="35"/>
      <c r="Q549" s="35"/>
      <c r="R549" s="6"/>
      <c r="S549" s="6"/>
      <c r="T549" s="6"/>
      <c r="U549" s="6"/>
      <c r="V549" s="6"/>
      <c r="W549" s="6"/>
      <c r="X549" s="6"/>
      <c r="Y549" s="6"/>
      <c r="Z549" s="6"/>
      <c r="AA549" s="6"/>
      <c r="AB549" s="6"/>
      <c r="AC549" s="6"/>
      <c r="AD549" s="6"/>
      <c r="AE549" s="6"/>
    </row>
    <row r="550">
      <c r="A550" s="7" t="str">
        <f t="shared" si="2"/>
        <v/>
      </c>
      <c r="B550" s="6"/>
      <c r="C550" s="6"/>
      <c r="D550" s="113"/>
      <c r="E550" s="6"/>
      <c r="F550" s="6"/>
      <c r="G550" s="6"/>
      <c r="H550" s="6"/>
      <c r="I550" s="6"/>
      <c r="J550" s="6"/>
      <c r="K550" s="6"/>
      <c r="L550" s="6"/>
      <c r="M550" s="6"/>
      <c r="N550" s="6"/>
      <c r="O550" s="6"/>
      <c r="P550" s="35"/>
      <c r="Q550" s="35"/>
      <c r="R550" s="6"/>
      <c r="S550" s="6"/>
      <c r="T550" s="6"/>
      <c r="U550" s="6"/>
      <c r="V550" s="6"/>
      <c r="W550" s="6"/>
      <c r="X550" s="6"/>
      <c r="Y550" s="6"/>
      <c r="Z550" s="6"/>
      <c r="AA550" s="6"/>
      <c r="AB550" s="6"/>
      <c r="AC550" s="6"/>
      <c r="AD550" s="6"/>
      <c r="AE550" s="6"/>
    </row>
    <row r="551">
      <c r="A551" s="7" t="str">
        <f t="shared" si="2"/>
        <v/>
      </c>
      <c r="B551" s="6"/>
      <c r="C551" s="6"/>
      <c r="D551" s="113"/>
      <c r="E551" s="6"/>
      <c r="F551" s="6"/>
      <c r="G551" s="6"/>
      <c r="H551" s="6"/>
      <c r="I551" s="6"/>
      <c r="J551" s="6"/>
      <c r="K551" s="6"/>
      <c r="L551" s="6"/>
      <c r="M551" s="6"/>
      <c r="N551" s="6"/>
      <c r="O551" s="6"/>
      <c r="P551" s="35"/>
      <c r="Q551" s="35"/>
      <c r="R551" s="6"/>
      <c r="S551" s="6"/>
      <c r="T551" s="6"/>
      <c r="U551" s="6"/>
      <c r="V551" s="6"/>
      <c r="W551" s="6"/>
      <c r="X551" s="6"/>
      <c r="Y551" s="6"/>
      <c r="Z551" s="6"/>
      <c r="AA551" s="6"/>
      <c r="AB551" s="6"/>
      <c r="AC551" s="6"/>
      <c r="AD551" s="6"/>
      <c r="AE551" s="6"/>
    </row>
    <row r="552">
      <c r="A552" s="7" t="str">
        <f t="shared" si="2"/>
        <v/>
      </c>
      <c r="B552" s="6"/>
      <c r="C552" s="6"/>
      <c r="D552" s="113"/>
      <c r="E552" s="6"/>
      <c r="F552" s="6"/>
      <c r="G552" s="6"/>
      <c r="H552" s="6"/>
      <c r="I552" s="6"/>
      <c r="J552" s="6"/>
      <c r="K552" s="6"/>
      <c r="L552" s="6"/>
      <c r="M552" s="6"/>
      <c r="N552" s="6"/>
      <c r="O552" s="6"/>
      <c r="P552" s="35"/>
      <c r="Q552" s="35"/>
      <c r="R552" s="6"/>
      <c r="S552" s="6"/>
      <c r="T552" s="6"/>
      <c r="U552" s="6"/>
      <c r="V552" s="6"/>
      <c r="W552" s="6"/>
      <c r="X552" s="6"/>
      <c r="Y552" s="6"/>
      <c r="Z552" s="6"/>
      <c r="AA552" s="6"/>
      <c r="AB552" s="6"/>
      <c r="AC552" s="6"/>
      <c r="AD552" s="6"/>
      <c r="AE552" s="6"/>
    </row>
    <row r="553">
      <c r="A553" s="7" t="str">
        <f t="shared" si="2"/>
        <v/>
      </c>
      <c r="B553" s="6"/>
      <c r="C553" s="6"/>
      <c r="D553" s="113"/>
      <c r="E553" s="6"/>
      <c r="F553" s="6"/>
      <c r="G553" s="6"/>
      <c r="H553" s="6"/>
      <c r="I553" s="6"/>
      <c r="J553" s="6"/>
      <c r="K553" s="6"/>
      <c r="L553" s="6"/>
      <c r="M553" s="6"/>
      <c r="N553" s="6"/>
      <c r="O553" s="6"/>
      <c r="P553" s="35"/>
      <c r="Q553" s="35"/>
      <c r="R553" s="6"/>
      <c r="S553" s="6"/>
      <c r="T553" s="6"/>
      <c r="U553" s="6"/>
      <c r="V553" s="6"/>
      <c r="W553" s="6"/>
      <c r="X553" s="6"/>
      <c r="Y553" s="6"/>
      <c r="Z553" s="6"/>
      <c r="AA553" s="6"/>
      <c r="AB553" s="6"/>
      <c r="AC553" s="6"/>
      <c r="AD553" s="6"/>
      <c r="AE553" s="6"/>
    </row>
    <row r="554">
      <c r="A554" s="7" t="str">
        <f t="shared" si="2"/>
        <v/>
      </c>
      <c r="B554" s="6"/>
      <c r="C554" s="6"/>
      <c r="D554" s="113"/>
      <c r="E554" s="6"/>
      <c r="F554" s="6"/>
      <c r="G554" s="6"/>
      <c r="H554" s="6"/>
      <c r="I554" s="6"/>
      <c r="J554" s="6"/>
      <c r="K554" s="6"/>
      <c r="L554" s="6"/>
      <c r="M554" s="6"/>
      <c r="N554" s="6"/>
      <c r="O554" s="6"/>
      <c r="P554" s="35"/>
      <c r="Q554" s="35"/>
      <c r="R554" s="6"/>
      <c r="S554" s="6"/>
      <c r="T554" s="6"/>
      <c r="U554" s="6"/>
      <c r="V554" s="6"/>
      <c r="W554" s="6"/>
      <c r="X554" s="6"/>
      <c r="Y554" s="6"/>
      <c r="Z554" s="6"/>
      <c r="AA554" s="6"/>
      <c r="AB554" s="6"/>
      <c r="AC554" s="6"/>
      <c r="AD554" s="6"/>
      <c r="AE554" s="6"/>
    </row>
    <row r="555">
      <c r="A555" s="7" t="str">
        <f t="shared" si="2"/>
        <v/>
      </c>
      <c r="B555" s="6"/>
      <c r="C555" s="6"/>
      <c r="D555" s="113"/>
      <c r="E555" s="6"/>
      <c r="F555" s="6"/>
      <c r="G555" s="6"/>
      <c r="H555" s="6"/>
      <c r="I555" s="6"/>
      <c r="J555" s="6"/>
      <c r="K555" s="6"/>
      <c r="L555" s="6"/>
      <c r="M555" s="6"/>
      <c r="N555" s="6"/>
      <c r="O555" s="6"/>
      <c r="P555" s="35"/>
      <c r="Q555" s="35"/>
      <c r="R555" s="6"/>
      <c r="S555" s="6"/>
      <c r="T555" s="6"/>
      <c r="U555" s="6"/>
      <c r="V555" s="6"/>
      <c r="W555" s="6"/>
      <c r="X555" s="6"/>
      <c r="Y555" s="6"/>
      <c r="Z555" s="6"/>
      <c r="AA555" s="6"/>
      <c r="AB555" s="6"/>
      <c r="AC555" s="6"/>
      <c r="AD555" s="6"/>
      <c r="AE555" s="6"/>
    </row>
    <row r="556">
      <c r="A556" s="7" t="str">
        <f t="shared" si="2"/>
        <v/>
      </c>
      <c r="B556" s="6"/>
      <c r="C556" s="6"/>
      <c r="D556" s="113"/>
      <c r="E556" s="6"/>
      <c r="F556" s="6"/>
      <c r="G556" s="6"/>
      <c r="H556" s="6"/>
      <c r="I556" s="6"/>
      <c r="J556" s="6"/>
      <c r="K556" s="6"/>
      <c r="L556" s="6"/>
      <c r="M556" s="6"/>
      <c r="N556" s="6"/>
      <c r="O556" s="6"/>
      <c r="P556" s="35"/>
      <c r="Q556" s="35"/>
      <c r="R556" s="6"/>
      <c r="S556" s="6"/>
      <c r="T556" s="6"/>
      <c r="U556" s="6"/>
      <c r="V556" s="6"/>
      <c r="W556" s="6"/>
      <c r="X556" s="6"/>
      <c r="Y556" s="6"/>
      <c r="Z556" s="6"/>
      <c r="AA556" s="6"/>
      <c r="AB556" s="6"/>
      <c r="AC556" s="6"/>
      <c r="AD556" s="6"/>
      <c r="AE556" s="6"/>
    </row>
    <row r="557">
      <c r="A557" s="7" t="str">
        <f t="shared" si="2"/>
        <v/>
      </c>
      <c r="B557" s="6"/>
      <c r="C557" s="6"/>
      <c r="D557" s="113"/>
      <c r="E557" s="6"/>
      <c r="F557" s="6"/>
      <c r="G557" s="6"/>
      <c r="H557" s="6"/>
      <c r="I557" s="6"/>
      <c r="J557" s="6"/>
      <c r="K557" s="6"/>
      <c r="L557" s="6"/>
      <c r="M557" s="6"/>
      <c r="N557" s="6"/>
      <c r="O557" s="6"/>
      <c r="P557" s="35"/>
      <c r="Q557" s="35"/>
      <c r="R557" s="6"/>
      <c r="S557" s="6"/>
      <c r="T557" s="6"/>
      <c r="U557" s="6"/>
      <c r="V557" s="6"/>
      <c r="W557" s="6"/>
      <c r="X557" s="6"/>
      <c r="Y557" s="6"/>
      <c r="Z557" s="6"/>
      <c r="AA557" s="6"/>
      <c r="AB557" s="6"/>
      <c r="AC557" s="6"/>
      <c r="AD557" s="6"/>
      <c r="AE557" s="6"/>
    </row>
    <row r="558">
      <c r="A558" s="7" t="str">
        <f t="shared" si="2"/>
        <v/>
      </c>
      <c r="B558" s="6"/>
      <c r="C558" s="6"/>
      <c r="D558" s="113"/>
      <c r="E558" s="6"/>
      <c r="F558" s="6"/>
      <c r="G558" s="6"/>
      <c r="H558" s="6"/>
      <c r="I558" s="6"/>
      <c r="J558" s="6"/>
      <c r="K558" s="6"/>
      <c r="L558" s="6"/>
      <c r="M558" s="6"/>
      <c r="N558" s="6"/>
      <c r="O558" s="6"/>
      <c r="P558" s="35"/>
      <c r="Q558" s="35"/>
      <c r="R558" s="6"/>
      <c r="S558" s="6"/>
      <c r="T558" s="6"/>
      <c r="U558" s="6"/>
      <c r="V558" s="6"/>
      <c r="W558" s="6"/>
      <c r="X558" s="6"/>
      <c r="Y558" s="6"/>
      <c r="Z558" s="6"/>
      <c r="AA558" s="6"/>
      <c r="AB558" s="6"/>
      <c r="AC558" s="6"/>
      <c r="AD558" s="6"/>
      <c r="AE558" s="6"/>
    </row>
    <row r="559">
      <c r="A559" s="7" t="str">
        <f t="shared" si="2"/>
        <v/>
      </c>
      <c r="B559" s="6"/>
      <c r="C559" s="6"/>
      <c r="D559" s="113"/>
      <c r="E559" s="6"/>
      <c r="F559" s="6"/>
      <c r="G559" s="6"/>
      <c r="H559" s="6"/>
      <c r="I559" s="6"/>
      <c r="J559" s="6"/>
      <c r="K559" s="6"/>
      <c r="L559" s="6"/>
      <c r="M559" s="6"/>
      <c r="N559" s="6"/>
      <c r="O559" s="6"/>
      <c r="P559" s="35"/>
      <c r="Q559" s="35"/>
      <c r="R559" s="6"/>
      <c r="S559" s="6"/>
      <c r="T559" s="6"/>
      <c r="U559" s="6"/>
      <c r="V559" s="6"/>
      <c r="W559" s="6"/>
      <c r="X559" s="6"/>
      <c r="Y559" s="6"/>
      <c r="Z559" s="6"/>
      <c r="AA559" s="6"/>
      <c r="AB559" s="6"/>
      <c r="AC559" s="6"/>
      <c r="AD559" s="6"/>
      <c r="AE559" s="6"/>
    </row>
    <row r="560">
      <c r="A560" s="7" t="str">
        <f t="shared" si="2"/>
        <v/>
      </c>
      <c r="B560" s="6"/>
      <c r="C560" s="6"/>
      <c r="D560" s="113"/>
      <c r="E560" s="6"/>
      <c r="F560" s="6"/>
      <c r="G560" s="6"/>
      <c r="H560" s="6"/>
      <c r="I560" s="6"/>
      <c r="J560" s="6"/>
      <c r="K560" s="6"/>
      <c r="L560" s="6"/>
      <c r="M560" s="6"/>
      <c r="N560" s="6"/>
      <c r="O560" s="6"/>
      <c r="P560" s="35"/>
      <c r="Q560" s="35"/>
      <c r="R560" s="6"/>
      <c r="S560" s="6"/>
      <c r="T560" s="6"/>
      <c r="U560" s="6"/>
      <c r="V560" s="6"/>
      <c r="W560" s="6"/>
      <c r="X560" s="6"/>
      <c r="Y560" s="6"/>
      <c r="Z560" s="6"/>
      <c r="AA560" s="6"/>
      <c r="AB560" s="6"/>
      <c r="AC560" s="6"/>
      <c r="AD560" s="6"/>
      <c r="AE560" s="6"/>
    </row>
    <row r="561">
      <c r="A561" s="7" t="str">
        <f t="shared" si="2"/>
        <v/>
      </c>
      <c r="B561" s="6"/>
      <c r="C561" s="6"/>
      <c r="D561" s="113"/>
      <c r="E561" s="6"/>
      <c r="F561" s="6"/>
      <c r="G561" s="6"/>
      <c r="H561" s="6"/>
      <c r="I561" s="6"/>
      <c r="J561" s="6"/>
      <c r="K561" s="6"/>
      <c r="L561" s="6"/>
      <c r="M561" s="6"/>
      <c r="N561" s="6"/>
      <c r="O561" s="6"/>
      <c r="P561" s="35"/>
      <c r="Q561" s="35"/>
      <c r="R561" s="6"/>
      <c r="S561" s="6"/>
      <c r="T561" s="6"/>
      <c r="U561" s="6"/>
      <c r="V561" s="6"/>
      <c r="W561" s="6"/>
      <c r="X561" s="6"/>
      <c r="Y561" s="6"/>
      <c r="Z561" s="6"/>
      <c r="AA561" s="6"/>
      <c r="AB561" s="6"/>
      <c r="AC561" s="6"/>
      <c r="AD561" s="6"/>
      <c r="AE561" s="6"/>
    </row>
    <row r="562">
      <c r="A562" s="7" t="str">
        <f t="shared" si="2"/>
        <v/>
      </c>
      <c r="B562" s="6"/>
      <c r="C562" s="6"/>
      <c r="D562" s="113"/>
      <c r="E562" s="6"/>
      <c r="F562" s="6"/>
      <c r="G562" s="6"/>
      <c r="H562" s="6"/>
      <c r="I562" s="6"/>
      <c r="J562" s="6"/>
      <c r="K562" s="6"/>
      <c r="L562" s="6"/>
      <c r="M562" s="6"/>
      <c r="N562" s="6"/>
      <c r="O562" s="6"/>
      <c r="P562" s="35"/>
      <c r="Q562" s="35"/>
      <c r="R562" s="6"/>
      <c r="S562" s="6"/>
      <c r="T562" s="6"/>
      <c r="U562" s="6"/>
      <c r="V562" s="6"/>
      <c r="W562" s="6"/>
      <c r="X562" s="6"/>
      <c r="Y562" s="6"/>
      <c r="Z562" s="6"/>
      <c r="AA562" s="6"/>
      <c r="AB562" s="6"/>
      <c r="AC562" s="6"/>
      <c r="AD562" s="6"/>
      <c r="AE562" s="6"/>
    </row>
    <row r="563">
      <c r="A563" s="7" t="str">
        <f t="shared" si="2"/>
        <v/>
      </c>
      <c r="B563" s="6"/>
      <c r="C563" s="6"/>
      <c r="D563" s="113"/>
      <c r="E563" s="6"/>
      <c r="F563" s="6"/>
      <c r="G563" s="6"/>
      <c r="H563" s="6"/>
      <c r="I563" s="6"/>
      <c r="J563" s="6"/>
      <c r="K563" s="6"/>
      <c r="L563" s="6"/>
      <c r="M563" s="6"/>
      <c r="N563" s="6"/>
      <c r="O563" s="6"/>
      <c r="P563" s="35"/>
      <c r="Q563" s="35"/>
      <c r="R563" s="6"/>
      <c r="S563" s="6"/>
      <c r="T563" s="6"/>
      <c r="U563" s="6"/>
      <c r="V563" s="6"/>
      <c r="W563" s="6"/>
      <c r="X563" s="6"/>
      <c r="Y563" s="6"/>
      <c r="Z563" s="6"/>
      <c r="AA563" s="6"/>
      <c r="AB563" s="6"/>
      <c r="AC563" s="6"/>
      <c r="AD563" s="6"/>
      <c r="AE563" s="6"/>
    </row>
    <row r="564">
      <c r="A564" s="7" t="str">
        <f t="shared" si="2"/>
        <v/>
      </c>
      <c r="B564" s="6"/>
      <c r="C564" s="6"/>
      <c r="D564" s="113"/>
      <c r="E564" s="6"/>
      <c r="F564" s="6"/>
      <c r="G564" s="6"/>
      <c r="H564" s="6"/>
      <c r="I564" s="6"/>
      <c r="J564" s="6"/>
      <c r="K564" s="6"/>
      <c r="L564" s="6"/>
      <c r="M564" s="6"/>
      <c r="N564" s="6"/>
      <c r="O564" s="6"/>
      <c r="P564" s="35"/>
      <c r="Q564" s="35"/>
      <c r="R564" s="6"/>
      <c r="S564" s="6"/>
      <c r="T564" s="6"/>
      <c r="U564" s="6"/>
      <c r="V564" s="6"/>
      <c r="W564" s="6"/>
      <c r="X564" s="6"/>
      <c r="Y564" s="6"/>
      <c r="Z564" s="6"/>
      <c r="AA564" s="6"/>
      <c r="AB564" s="6"/>
      <c r="AC564" s="6"/>
      <c r="AD564" s="6"/>
      <c r="AE564" s="6"/>
    </row>
    <row r="565">
      <c r="A565" s="7" t="str">
        <f t="shared" si="2"/>
        <v/>
      </c>
      <c r="B565" s="6"/>
      <c r="C565" s="6"/>
      <c r="D565" s="113"/>
      <c r="E565" s="6"/>
      <c r="F565" s="6"/>
      <c r="G565" s="6"/>
      <c r="H565" s="6"/>
      <c r="I565" s="6"/>
      <c r="J565" s="6"/>
      <c r="K565" s="6"/>
      <c r="L565" s="6"/>
      <c r="M565" s="6"/>
      <c r="N565" s="6"/>
      <c r="O565" s="6"/>
      <c r="P565" s="35"/>
      <c r="Q565" s="35"/>
      <c r="R565" s="6"/>
      <c r="S565" s="6"/>
      <c r="T565" s="6"/>
      <c r="U565" s="6"/>
      <c r="V565" s="6"/>
      <c r="W565" s="6"/>
      <c r="X565" s="6"/>
      <c r="Y565" s="6"/>
      <c r="Z565" s="6"/>
      <c r="AA565" s="6"/>
      <c r="AB565" s="6"/>
      <c r="AC565" s="6"/>
      <c r="AD565" s="6"/>
      <c r="AE565" s="6"/>
    </row>
    <row r="566">
      <c r="A566" s="7" t="str">
        <f t="shared" si="2"/>
        <v/>
      </c>
      <c r="B566" s="6"/>
      <c r="C566" s="6"/>
      <c r="D566" s="113"/>
      <c r="E566" s="6"/>
      <c r="F566" s="6"/>
      <c r="G566" s="6"/>
      <c r="H566" s="6"/>
      <c r="I566" s="6"/>
      <c r="J566" s="6"/>
      <c r="K566" s="6"/>
      <c r="L566" s="6"/>
      <c r="M566" s="6"/>
      <c r="N566" s="6"/>
      <c r="O566" s="6"/>
      <c r="P566" s="35"/>
      <c r="Q566" s="35"/>
      <c r="R566" s="6"/>
      <c r="S566" s="6"/>
      <c r="T566" s="6"/>
      <c r="U566" s="6"/>
      <c r="V566" s="6"/>
      <c r="W566" s="6"/>
      <c r="X566" s="6"/>
      <c r="Y566" s="6"/>
      <c r="Z566" s="6"/>
      <c r="AA566" s="6"/>
      <c r="AB566" s="6"/>
      <c r="AC566" s="6"/>
      <c r="AD566" s="6"/>
      <c r="AE566" s="6"/>
    </row>
    <row r="567">
      <c r="A567" s="7" t="str">
        <f t="shared" si="2"/>
        <v/>
      </c>
      <c r="B567" s="6"/>
      <c r="C567" s="6"/>
      <c r="D567" s="113"/>
      <c r="E567" s="6"/>
      <c r="F567" s="6"/>
      <c r="G567" s="6"/>
      <c r="H567" s="6"/>
      <c r="I567" s="6"/>
      <c r="J567" s="6"/>
      <c r="K567" s="6"/>
      <c r="L567" s="6"/>
      <c r="M567" s="6"/>
      <c r="N567" s="6"/>
      <c r="O567" s="6"/>
      <c r="P567" s="35"/>
      <c r="Q567" s="35"/>
      <c r="R567" s="6"/>
      <c r="S567" s="6"/>
      <c r="T567" s="6"/>
      <c r="U567" s="6"/>
      <c r="V567" s="6"/>
      <c r="W567" s="6"/>
      <c r="X567" s="6"/>
      <c r="Y567" s="6"/>
      <c r="Z567" s="6"/>
      <c r="AA567" s="6"/>
      <c r="AB567" s="6"/>
      <c r="AC567" s="6"/>
      <c r="AD567" s="6"/>
      <c r="AE567" s="6"/>
    </row>
    <row r="568">
      <c r="A568" s="7" t="str">
        <f t="shared" si="2"/>
        <v/>
      </c>
      <c r="B568" s="6"/>
      <c r="C568" s="6"/>
      <c r="D568" s="113"/>
      <c r="E568" s="6"/>
      <c r="F568" s="6"/>
      <c r="G568" s="6"/>
      <c r="H568" s="6"/>
      <c r="I568" s="6"/>
      <c r="J568" s="6"/>
      <c r="K568" s="6"/>
      <c r="L568" s="6"/>
      <c r="M568" s="6"/>
      <c r="N568" s="6"/>
      <c r="O568" s="6"/>
      <c r="P568" s="35"/>
      <c r="Q568" s="35"/>
      <c r="R568" s="6"/>
      <c r="S568" s="6"/>
      <c r="T568" s="6"/>
      <c r="U568" s="6"/>
      <c r="V568" s="6"/>
      <c r="W568" s="6"/>
      <c r="X568" s="6"/>
      <c r="Y568" s="6"/>
      <c r="Z568" s="6"/>
      <c r="AA568" s="6"/>
      <c r="AB568" s="6"/>
      <c r="AC568" s="6"/>
      <c r="AD568" s="6"/>
      <c r="AE568" s="6"/>
    </row>
    <row r="569">
      <c r="A569" s="7" t="str">
        <f t="shared" si="2"/>
        <v/>
      </c>
      <c r="B569" s="6"/>
      <c r="C569" s="6"/>
      <c r="D569" s="113"/>
      <c r="E569" s="6"/>
      <c r="F569" s="6"/>
      <c r="G569" s="6"/>
      <c r="H569" s="6"/>
      <c r="I569" s="6"/>
      <c r="J569" s="6"/>
      <c r="K569" s="6"/>
      <c r="L569" s="6"/>
      <c r="M569" s="6"/>
      <c r="N569" s="6"/>
      <c r="O569" s="6"/>
      <c r="P569" s="35"/>
      <c r="Q569" s="35"/>
      <c r="R569" s="6"/>
      <c r="S569" s="6"/>
      <c r="T569" s="6"/>
      <c r="U569" s="6"/>
      <c r="V569" s="6"/>
      <c r="W569" s="6"/>
      <c r="X569" s="6"/>
      <c r="Y569" s="6"/>
      <c r="Z569" s="6"/>
      <c r="AA569" s="6"/>
      <c r="AB569" s="6"/>
      <c r="AC569" s="6"/>
      <c r="AD569" s="6"/>
      <c r="AE569" s="6"/>
    </row>
    <row r="570">
      <c r="A570" s="7" t="str">
        <f t="shared" si="2"/>
        <v/>
      </c>
      <c r="B570" s="6"/>
      <c r="C570" s="6"/>
      <c r="D570" s="113"/>
      <c r="E570" s="6"/>
      <c r="F570" s="6"/>
      <c r="G570" s="6"/>
      <c r="H570" s="6"/>
      <c r="I570" s="6"/>
      <c r="J570" s="6"/>
      <c r="K570" s="6"/>
      <c r="L570" s="6"/>
      <c r="M570" s="6"/>
      <c r="N570" s="6"/>
      <c r="O570" s="6"/>
      <c r="P570" s="35"/>
      <c r="Q570" s="35"/>
      <c r="R570" s="6"/>
      <c r="S570" s="6"/>
      <c r="T570" s="6"/>
      <c r="U570" s="6"/>
      <c r="V570" s="6"/>
      <c r="W570" s="6"/>
      <c r="X570" s="6"/>
      <c r="Y570" s="6"/>
      <c r="Z570" s="6"/>
      <c r="AA570" s="6"/>
      <c r="AB570" s="6"/>
      <c r="AC570" s="6"/>
      <c r="AD570" s="6"/>
      <c r="AE570" s="6"/>
    </row>
    <row r="571">
      <c r="A571" s="7" t="str">
        <f t="shared" si="2"/>
        <v/>
      </c>
      <c r="B571" s="6"/>
      <c r="C571" s="6"/>
      <c r="D571" s="113"/>
      <c r="E571" s="6"/>
      <c r="F571" s="6"/>
      <c r="G571" s="6"/>
      <c r="H571" s="6"/>
      <c r="I571" s="6"/>
      <c r="J571" s="6"/>
      <c r="K571" s="6"/>
      <c r="L571" s="6"/>
      <c r="M571" s="6"/>
      <c r="N571" s="6"/>
      <c r="O571" s="6"/>
      <c r="P571" s="35"/>
      <c r="Q571" s="35"/>
      <c r="R571" s="6"/>
      <c r="S571" s="6"/>
      <c r="T571" s="6"/>
      <c r="U571" s="6"/>
      <c r="V571" s="6"/>
      <c r="W571" s="6"/>
      <c r="X571" s="6"/>
      <c r="Y571" s="6"/>
      <c r="Z571" s="6"/>
      <c r="AA571" s="6"/>
      <c r="AB571" s="6"/>
      <c r="AC571" s="6"/>
      <c r="AD571" s="6"/>
      <c r="AE571" s="6"/>
    </row>
    <row r="572">
      <c r="A572" s="7" t="str">
        <f t="shared" si="2"/>
        <v/>
      </c>
      <c r="B572" s="6"/>
      <c r="C572" s="6"/>
      <c r="D572" s="113"/>
      <c r="E572" s="6"/>
      <c r="F572" s="6"/>
      <c r="G572" s="6"/>
      <c r="H572" s="6"/>
      <c r="I572" s="6"/>
      <c r="J572" s="6"/>
      <c r="K572" s="6"/>
      <c r="L572" s="6"/>
      <c r="M572" s="6"/>
      <c r="N572" s="6"/>
      <c r="O572" s="6"/>
      <c r="P572" s="35"/>
      <c r="Q572" s="35"/>
      <c r="R572" s="6"/>
      <c r="S572" s="6"/>
      <c r="T572" s="6"/>
      <c r="U572" s="6"/>
      <c r="V572" s="6"/>
      <c r="W572" s="6"/>
      <c r="X572" s="6"/>
      <c r="Y572" s="6"/>
      <c r="Z572" s="6"/>
      <c r="AA572" s="6"/>
      <c r="AB572" s="6"/>
      <c r="AC572" s="6"/>
      <c r="AD572" s="6"/>
      <c r="AE572" s="6"/>
    </row>
    <row r="573">
      <c r="A573" s="7" t="str">
        <f t="shared" si="2"/>
        <v/>
      </c>
      <c r="B573" s="6"/>
      <c r="C573" s="6"/>
      <c r="D573" s="113"/>
      <c r="E573" s="6"/>
      <c r="F573" s="6"/>
      <c r="G573" s="6"/>
      <c r="H573" s="6"/>
      <c r="I573" s="6"/>
      <c r="J573" s="6"/>
      <c r="K573" s="6"/>
      <c r="L573" s="6"/>
      <c r="M573" s="6"/>
      <c r="N573" s="6"/>
      <c r="O573" s="6"/>
      <c r="P573" s="35"/>
      <c r="Q573" s="35"/>
      <c r="R573" s="6"/>
      <c r="S573" s="6"/>
      <c r="T573" s="6"/>
      <c r="U573" s="6"/>
      <c r="V573" s="6"/>
      <c r="W573" s="6"/>
      <c r="X573" s="6"/>
      <c r="Y573" s="6"/>
      <c r="Z573" s="6"/>
      <c r="AA573" s="6"/>
      <c r="AB573" s="6"/>
      <c r="AC573" s="6"/>
      <c r="AD573" s="6"/>
      <c r="AE573" s="6"/>
    </row>
    <row r="574">
      <c r="A574" s="7" t="str">
        <f t="shared" si="2"/>
        <v/>
      </c>
      <c r="B574" s="6"/>
      <c r="C574" s="6"/>
      <c r="D574" s="113"/>
      <c r="E574" s="6"/>
      <c r="F574" s="6"/>
      <c r="G574" s="6"/>
      <c r="H574" s="6"/>
      <c r="I574" s="6"/>
      <c r="J574" s="6"/>
      <c r="K574" s="6"/>
      <c r="L574" s="6"/>
      <c r="M574" s="6"/>
      <c r="N574" s="6"/>
      <c r="O574" s="6"/>
      <c r="P574" s="35"/>
      <c r="Q574" s="35"/>
      <c r="R574" s="6"/>
      <c r="S574" s="6"/>
      <c r="T574" s="6"/>
      <c r="U574" s="6"/>
      <c r="V574" s="6"/>
      <c r="W574" s="6"/>
      <c r="X574" s="6"/>
      <c r="Y574" s="6"/>
      <c r="Z574" s="6"/>
      <c r="AA574" s="6"/>
      <c r="AB574" s="6"/>
      <c r="AC574" s="6"/>
      <c r="AD574" s="6"/>
      <c r="AE574" s="6"/>
    </row>
    <row r="575">
      <c r="A575" s="7" t="str">
        <f t="shared" si="2"/>
        <v/>
      </c>
      <c r="B575" s="6"/>
      <c r="C575" s="6"/>
      <c r="D575" s="113"/>
      <c r="E575" s="6"/>
      <c r="F575" s="6"/>
      <c r="G575" s="6"/>
      <c r="H575" s="6"/>
      <c r="I575" s="6"/>
      <c r="J575" s="6"/>
      <c r="K575" s="6"/>
      <c r="L575" s="6"/>
      <c r="M575" s="6"/>
      <c r="N575" s="6"/>
      <c r="O575" s="6"/>
      <c r="P575" s="35"/>
      <c r="Q575" s="35"/>
      <c r="R575" s="6"/>
      <c r="S575" s="6"/>
      <c r="T575" s="6"/>
      <c r="U575" s="6"/>
      <c r="V575" s="6"/>
      <c r="W575" s="6"/>
      <c r="X575" s="6"/>
      <c r="Y575" s="6"/>
      <c r="Z575" s="6"/>
      <c r="AA575" s="6"/>
      <c r="AB575" s="6"/>
      <c r="AC575" s="6"/>
      <c r="AD575" s="6"/>
      <c r="AE575" s="6"/>
    </row>
    <row r="576">
      <c r="A576" s="7" t="str">
        <f t="shared" si="2"/>
        <v/>
      </c>
      <c r="B576" s="6"/>
      <c r="C576" s="6"/>
      <c r="D576" s="113"/>
      <c r="E576" s="6"/>
      <c r="F576" s="6"/>
      <c r="G576" s="6"/>
      <c r="H576" s="6"/>
      <c r="I576" s="6"/>
      <c r="J576" s="6"/>
      <c r="K576" s="6"/>
      <c r="L576" s="6"/>
      <c r="M576" s="6"/>
      <c r="N576" s="6"/>
      <c r="O576" s="6"/>
      <c r="P576" s="35"/>
      <c r="Q576" s="35"/>
      <c r="R576" s="6"/>
      <c r="S576" s="6"/>
      <c r="T576" s="6"/>
      <c r="U576" s="6"/>
      <c r="V576" s="6"/>
      <c r="W576" s="6"/>
      <c r="X576" s="6"/>
      <c r="Y576" s="6"/>
      <c r="Z576" s="6"/>
      <c r="AA576" s="6"/>
      <c r="AB576" s="6"/>
      <c r="AC576" s="6"/>
      <c r="AD576" s="6"/>
      <c r="AE576" s="6"/>
    </row>
    <row r="577">
      <c r="A577" s="7" t="str">
        <f t="shared" si="2"/>
        <v/>
      </c>
      <c r="B577" s="6"/>
      <c r="C577" s="6"/>
      <c r="D577" s="113"/>
      <c r="E577" s="6"/>
      <c r="F577" s="6"/>
      <c r="G577" s="6"/>
      <c r="H577" s="6"/>
      <c r="I577" s="6"/>
      <c r="J577" s="6"/>
      <c r="K577" s="6"/>
      <c r="L577" s="6"/>
      <c r="M577" s="6"/>
      <c r="N577" s="6"/>
      <c r="O577" s="6"/>
      <c r="P577" s="35"/>
      <c r="Q577" s="35"/>
      <c r="R577" s="6"/>
      <c r="S577" s="6"/>
      <c r="T577" s="6"/>
      <c r="U577" s="6"/>
      <c r="V577" s="6"/>
      <c r="W577" s="6"/>
      <c r="X577" s="6"/>
      <c r="Y577" s="6"/>
      <c r="Z577" s="6"/>
      <c r="AA577" s="6"/>
      <c r="AB577" s="6"/>
      <c r="AC577" s="6"/>
      <c r="AD577" s="6"/>
      <c r="AE577" s="6"/>
    </row>
    <row r="578">
      <c r="A578" s="7" t="str">
        <f t="shared" si="2"/>
        <v/>
      </c>
      <c r="B578" s="6"/>
      <c r="C578" s="6"/>
      <c r="D578" s="113"/>
      <c r="E578" s="6"/>
      <c r="F578" s="6"/>
      <c r="G578" s="6"/>
      <c r="H578" s="6"/>
      <c r="I578" s="6"/>
      <c r="J578" s="6"/>
      <c r="K578" s="6"/>
      <c r="L578" s="6"/>
      <c r="M578" s="6"/>
      <c r="N578" s="6"/>
      <c r="O578" s="6"/>
      <c r="P578" s="35"/>
      <c r="Q578" s="35"/>
      <c r="R578" s="6"/>
      <c r="S578" s="6"/>
      <c r="T578" s="6"/>
      <c r="U578" s="6"/>
      <c r="V578" s="6"/>
      <c r="W578" s="6"/>
      <c r="X578" s="6"/>
      <c r="Y578" s="6"/>
      <c r="Z578" s="6"/>
      <c r="AA578" s="6"/>
      <c r="AB578" s="6"/>
      <c r="AC578" s="6"/>
      <c r="AD578" s="6"/>
      <c r="AE578" s="6"/>
    </row>
    <row r="579">
      <c r="A579" s="7" t="str">
        <f t="shared" si="2"/>
        <v/>
      </c>
      <c r="B579" s="6"/>
      <c r="C579" s="6"/>
      <c r="D579" s="113"/>
      <c r="E579" s="6"/>
      <c r="F579" s="6"/>
      <c r="G579" s="6"/>
      <c r="H579" s="6"/>
      <c r="I579" s="6"/>
      <c r="J579" s="6"/>
      <c r="K579" s="6"/>
      <c r="L579" s="6"/>
      <c r="M579" s="6"/>
      <c r="N579" s="6"/>
      <c r="O579" s="6"/>
      <c r="P579" s="35"/>
      <c r="Q579" s="35"/>
      <c r="R579" s="6"/>
      <c r="S579" s="6"/>
      <c r="T579" s="6"/>
      <c r="U579" s="6"/>
      <c r="V579" s="6"/>
      <c r="W579" s="6"/>
      <c r="X579" s="6"/>
      <c r="Y579" s="6"/>
      <c r="Z579" s="6"/>
      <c r="AA579" s="6"/>
      <c r="AB579" s="6"/>
      <c r="AC579" s="6"/>
      <c r="AD579" s="6"/>
      <c r="AE579" s="6"/>
    </row>
    <row r="580">
      <c r="A580" s="7" t="str">
        <f t="shared" si="2"/>
        <v/>
      </c>
      <c r="B580" s="6"/>
      <c r="C580" s="6"/>
      <c r="D580" s="113"/>
      <c r="E580" s="6"/>
      <c r="F580" s="6"/>
      <c r="G580" s="6"/>
      <c r="H580" s="6"/>
      <c r="I580" s="6"/>
      <c r="J580" s="6"/>
      <c r="K580" s="6"/>
      <c r="L580" s="6"/>
      <c r="M580" s="6"/>
      <c r="N580" s="6"/>
      <c r="O580" s="6"/>
      <c r="P580" s="35"/>
      <c r="Q580" s="35"/>
      <c r="R580" s="6"/>
      <c r="S580" s="6"/>
      <c r="T580" s="6"/>
      <c r="U580" s="6"/>
      <c r="V580" s="6"/>
      <c r="W580" s="6"/>
      <c r="X580" s="6"/>
      <c r="Y580" s="6"/>
      <c r="Z580" s="6"/>
      <c r="AA580" s="6"/>
      <c r="AB580" s="6"/>
      <c r="AC580" s="6"/>
      <c r="AD580" s="6"/>
      <c r="AE580" s="6"/>
    </row>
    <row r="581">
      <c r="A581" s="7" t="str">
        <f t="shared" si="2"/>
        <v/>
      </c>
      <c r="B581" s="6"/>
      <c r="C581" s="6"/>
      <c r="D581" s="113"/>
      <c r="E581" s="6"/>
      <c r="F581" s="6"/>
      <c r="G581" s="6"/>
      <c r="H581" s="6"/>
      <c r="I581" s="6"/>
      <c r="J581" s="6"/>
      <c r="K581" s="6"/>
      <c r="L581" s="6"/>
      <c r="M581" s="6"/>
      <c r="N581" s="6"/>
      <c r="O581" s="6"/>
      <c r="P581" s="35"/>
      <c r="Q581" s="35"/>
      <c r="R581" s="6"/>
      <c r="S581" s="6"/>
      <c r="T581" s="6"/>
      <c r="U581" s="6"/>
      <c r="V581" s="6"/>
      <c r="W581" s="6"/>
      <c r="X581" s="6"/>
      <c r="Y581" s="6"/>
      <c r="Z581" s="6"/>
      <c r="AA581" s="6"/>
      <c r="AB581" s="6"/>
      <c r="AC581" s="6"/>
      <c r="AD581" s="6"/>
      <c r="AE581" s="6"/>
    </row>
    <row r="582">
      <c r="A582" s="7" t="str">
        <f t="shared" si="2"/>
        <v/>
      </c>
      <c r="B582" s="6"/>
      <c r="C582" s="6"/>
      <c r="D582" s="113"/>
      <c r="E582" s="6"/>
      <c r="F582" s="6"/>
      <c r="G582" s="6"/>
      <c r="H582" s="6"/>
      <c r="I582" s="6"/>
      <c r="J582" s="6"/>
      <c r="K582" s="6"/>
      <c r="L582" s="6"/>
      <c r="M582" s="6"/>
      <c r="N582" s="6"/>
      <c r="O582" s="6"/>
      <c r="P582" s="35"/>
      <c r="Q582" s="35"/>
      <c r="R582" s="6"/>
      <c r="S582" s="6"/>
      <c r="T582" s="6"/>
      <c r="U582" s="6"/>
      <c r="V582" s="6"/>
      <c r="W582" s="6"/>
      <c r="X582" s="6"/>
      <c r="Y582" s="6"/>
      <c r="Z582" s="6"/>
      <c r="AA582" s="6"/>
      <c r="AB582" s="6"/>
      <c r="AC582" s="6"/>
      <c r="AD582" s="6"/>
      <c r="AE582" s="6"/>
    </row>
    <row r="583">
      <c r="A583" s="7" t="str">
        <f t="shared" si="2"/>
        <v/>
      </c>
      <c r="B583" s="6"/>
      <c r="C583" s="6"/>
      <c r="D583" s="113"/>
      <c r="E583" s="6"/>
      <c r="F583" s="6"/>
      <c r="G583" s="6"/>
      <c r="H583" s="6"/>
      <c r="I583" s="6"/>
      <c r="J583" s="6"/>
      <c r="K583" s="6"/>
      <c r="L583" s="6"/>
      <c r="M583" s="6"/>
      <c r="N583" s="6"/>
      <c r="O583" s="6"/>
      <c r="P583" s="35"/>
      <c r="Q583" s="35"/>
      <c r="R583" s="6"/>
      <c r="S583" s="6"/>
      <c r="T583" s="6"/>
      <c r="U583" s="6"/>
      <c r="V583" s="6"/>
      <c r="W583" s="6"/>
      <c r="X583" s="6"/>
      <c r="Y583" s="6"/>
      <c r="Z583" s="6"/>
      <c r="AA583" s="6"/>
      <c r="AB583" s="6"/>
      <c r="AC583" s="6"/>
      <c r="AD583" s="6"/>
      <c r="AE583" s="6"/>
    </row>
    <row r="584">
      <c r="A584" s="7" t="str">
        <f t="shared" si="2"/>
        <v/>
      </c>
      <c r="B584" s="6"/>
      <c r="C584" s="6"/>
      <c r="D584" s="113"/>
      <c r="E584" s="6"/>
      <c r="F584" s="6"/>
      <c r="G584" s="6"/>
      <c r="H584" s="6"/>
      <c r="I584" s="6"/>
      <c r="J584" s="6"/>
      <c r="K584" s="6"/>
      <c r="L584" s="6"/>
      <c r="M584" s="6"/>
      <c r="N584" s="6"/>
      <c r="O584" s="6"/>
      <c r="P584" s="35"/>
      <c r="Q584" s="35"/>
      <c r="R584" s="6"/>
      <c r="S584" s="6"/>
      <c r="T584" s="6"/>
      <c r="U584" s="6"/>
      <c r="V584" s="6"/>
      <c r="W584" s="6"/>
      <c r="X584" s="6"/>
      <c r="Y584" s="6"/>
      <c r="Z584" s="6"/>
      <c r="AA584" s="6"/>
      <c r="AB584" s="6"/>
      <c r="AC584" s="6"/>
      <c r="AD584" s="6"/>
      <c r="AE584" s="6"/>
    </row>
    <row r="585">
      <c r="A585" s="7" t="str">
        <f t="shared" si="2"/>
        <v/>
      </c>
      <c r="B585" s="6"/>
      <c r="C585" s="6"/>
      <c r="D585" s="113"/>
      <c r="E585" s="6"/>
      <c r="F585" s="6"/>
      <c r="G585" s="6"/>
      <c r="H585" s="6"/>
      <c r="I585" s="6"/>
      <c r="J585" s="6"/>
      <c r="K585" s="6"/>
      <c r="L585" s="6"/>
      <c r="M585" s="6"/>
      <c r="N585" s="6"/>
      <c r="O585" s="6"/>
      <c r="P585" s="35"/>
      <c r="Q585" s="35"/>
      <c r="R585" s="6"/>
      <c r="S585" s="6"/>
      <c r="T585" s="6"/>
      <c r="U585" s="6"/>
      <c r="V585" s="6"/>
      <c r="W585" s="6"/>
      <c r="X585" s="6"/>
      <c r="Y585" s="6"/>
      <c r="Z585" s="6"/>
      <c r="AA585" s="6"/>
      <c r="AB585" s="6"/>
      <c r="AC585" s="6"/>
      <c r="AD585" s="6"/>
      <c r="AE585" s="6"/>
    </row>
    <row r="586">
      <c r="A586" s="7" t="str">
        <f t="shared" si="2"/>
        <v/>
      </c>
      <c r="B586" s="6"/>
      <c r="C586" s="6"/>
      <c r="D586" s="113"/>
      <c r="E586" s="6"/>
      <c r="F586" s="6"/>
      <c r="G586" s="6"/>
      <c r="H586" s="6"/>
      <c r="I586" s="6"/>
      <c r="J586" s="6"/>
      <c r="K586" s="6"/>
      <c r="L586" s="6"/>
      <c r="M586" s="6"/>
      <c r="N586" s="6"/>
      <c r="O586" s="6"/>
      <c r="P586" s="35"/>
      <c r="Q586" s="35"/>
      <c r="R586" s="6"/>
      <c r="S586" s="6"/>
      <c r="T586" s="6"/>
      <c r="U586" s="6"/>
      <c r="V586" s="6"/>
      <c r="W586" s="6"/>
      <c r="X586" s="6"/>
      <c r="Y586" s="6"/>
      <c r="Z586" s="6"/>
      <c r="AA586" s="6"/>
      <c r="AB586" s="6"/>
      <c r="AC586" s="6"/>
      <c r="AD586" s="6"/>
      <c r="AE586" s="6"/>
    </row>
    <row r="587">
      <c r="A587" s="7" t="str">
        <f t="shared" si="2"/>
        <v/>
      </c>
      <c r="B587" s="6"/>
      <c r="C587" s="6"/>
      <c r="D587" s="113"/>
      <c r="E587" s="6"/>
      <c r="F587" s="6"/>
      <c r="G587" s="6"/>
      <c r="H587" s="6"/>
      <c r="I587" s="6"/>
      <c r="J587" s="6"/>
      <c r="K587" s="6"/>
      <c r="L587" s="6"/>
      <c r="M587" s="6"/>
      <c r="N587" s="6"/>
      <c r="O587" s="6"/>
      <c r="P587" s="35"/>
      <c r="Q587" s="35"/>
      <c r="R587" s="6"/>
      <c r="S587" s="6"/>
      <c r="T587" s="6"/>
      <c r="U587" s="6"/>
      <c r="V587" s="6"/>
      <c r="W587" s="6"/>
      <c r="X587" s="6"/>
      <c r="Y587" s="6"/>
      <c r="Z587" s="6"/>
      <c r="AA587" s="6"/>
      <c r="AB587" s="6"/>
      <c r="AC587" s="6"/>
      <c r="AD587" s="6"/>
      <c r="AE587" s="6"/>
    </row>
    <row r="588">
      <c r="A588" s="7" t="str">
        <f t="shared" si="2"/>
        <v/>
      </c>
      <c r="B588" s="6"/>
      <c r="C588" s="6"/>
      <c r="D588" s="113"/>
      <c r="E588" s="6"/>
      <c r="F588" s="6"/>
      <c r="G588" s="6"/>
      <c r="H588" s="6"/>
      <c r="I588" s="6"/>
      <c r="J588" s="6"/>
      <c r="K588" s="6"/>
      <c r="L588" s="6"/>
      <c r="M588" s="6"/>
      <c r="N588" s="6"/>
      <c r="O588" s="6"/>
      <c r="P588" s="35"/>
      <c r="Q588" s="35"/>
      <c r="R588" s="6"/>
      <c r="S588" s="6"/>
      <c r="T588" s="6"/>
      <c r="U588" s="6"/>
      <c r="V588" s="6"/>
      <c r="W588" s="6"/>
      <c r="X588" s="6"/>
      <c r="Y588" s="6"/>
      <c r="Z588" s="6"/>
      <c r="AA588" s="6"/>
      <c r="AB588" s="6"/>
      <c r="AC588" s="6"/>
      <c r="AD588" s="6"/>
      <c r="AE588" s="6"/>
    </row>
    <row r="589">
      <c r="A589" s="7" t="str">
        <f t="shared" si="2"/>
        <v/>
      </c>
      <c r="B589" s="6"/>
      <c r="C589" s="6"/>
      <c r="D589" s="113"/>
      <c r="E589" s="6"/>
      <c r="F589" s="6"/>
      <c r="G589" s="6"/>
      <c r="H589" s="6"/>
      <c r="I589" s="6"/>
      <c r="J589" s="6"/>
      <c r="K589" s="6"/>
      <c r="L589" s="6"/>
      <c r="M589" s="6"/>
      <c r="N589" s="6"/>
      <c r="O589" s="6"/>
      <c r="P589" s="35"/>
      <c r="Q589" s="35"/>
      <c r="R589" s="6"/>
      <c r="S589" s="6"/>
      <c r="T589" s="6"/>
      <c r="U589" s="6"/>
      <c r="V589" s="6"/>
      <c r="W589" s="6"/>
      <c r="X589" s="6"/>
      <c r="Y589" s="6"/>
      <c r="Z589" s="6"/>
      <c r="AA589" s="6"/>
      <c r="AB589" s="6"/>
      <c r="AC589" s="6"/>
      <c r="AD589" s="6"/>
      <c r="AE589" s="6"/>
    </row>
    <row r="590">
      <c r="A590" s="7" t="str">
        <f t="shared" si="2"/>
        <v/>
      </c>
      <c r="B590" s="6"/>
      <c r="C590" s="6"/>
      <c r="D590" s="113"/>
      <c r="E590" s="6"/>
      <c r="F590" s="6"/>
      <c r="G590" s="6"/>
      <c r="H590" s="6"/>
      <c r="I590" s="6"/>
      <c r="J590" s="6"/>
      <c r="K590" s="6"/>
      <c r="L590" s="6"/>
      <c r="M590" s="6"/>
      <c r="N590" s="6"/>
      <c r="O590" s="6"/>
      <c r="P590" s="35"/>
      <c r="Q590" s="35"/>
      <c r="R590" s="6"/>
      <c r="S590" s="6"/>
      <c r="T590" s="6"/>
      <c r="U590" s="6"/>
      <c r="V590" s="6"/>
      <c r="W590" s="6"/>
      <c r="X590" s="6"/>
      <c r="Y590" s="6"/>
      <c r="Z590" s="6"/>
      <c r="AA590" s="6"/>
      <c r="AB590" s="6"/>
      <c r="AC590" s="6"/>
      <c r="AD590" s="6"/>
      <c r="AE590" s="6"/>
    </row>
    <row r="591">
      <c r="A591" s="7" t="str">
        <f t="shared" si="2"/>
        <v/>
      </c>
      <c r="B591" s="6"/>
      <c r="C591" s="6"/>
      <c r="D591" s="113"/>
      <c r="E591" s="6"/>
      <c r="F591" s="6"/>
      <c r="G591" s="6"/>
      <c r="H591" s="6"/>
      <c r="I591" s="6"/>
      <c r="J591" s="6"/>
      <c r="K591" s="6"/>
      <c r="L591" s="6"/>
      <c r="M591" s="6"/>
      <c r="N591" s="6"/>
      <c r="O591" s="6"/>
      <c r="P591" s="35"/>
      <c r="Q591" s="35"/>
      <c r="R591" s="6"/>
      <c r="S591" s="6"/>
      <c r="T591" s="6"/>
      <c r="U591" s="6"/>
      <c r="V591" s="6"/>
      <c r="W591" s="6"/>
      <c r="X591" s="6"/>
      <c r="Y591" s="6"/>
      <c r="Z591" s="6"/>
      <c r="AA591" s="6"/>
      <c r="AB591" s="6"/>
      <c r="AC591" s="6"/>
      <c r="AD591" s="6"/>
      <c r="AE591" s="6"/>
    </row>
    <row r="592">
      <c r="A592" s="7" t="str">
        <f t="shared" si="2"/>
        <v/>
      </c>
      <c r="B592" s="6"/>
      <c r="C592" s="6"/>
      <c r="D592" s="113"/>
      <c r="E592" s="6"/>
      <c r="F592" s="6"/>
      <c r="G592" s="6"/>
      <c r="H592" s="6"/>
      <c r="I592" s="6"/>
      <c r="J592" s="6"/>
      <c r="K592" s="6"/>
      <c r="L592" s="6"/>
      <c r="M592" s="6"/>
      <c r="N592" s="6"/>
      <c r="O592" s="6"/>
      <c r="P592" s="35"/>
      <c r="Q592" s="35"/>
      <c r="R592" s="6"/>
      <c r="S592" s="6"/>
      <c r="T592" s="6"/>
      <c r="U592" s="6"/>
      <c r="V592" s="6"/>
      <c r="W592" s="6"/>
      <c r="X592" s="6"/>
      <c r="Y592" s="6"/>
      <c r="Z592" s="6"/>
      <c r="AA592" s="6"/>
      <c r="AB592" s="6"/>
      <c r="AC592" s="6"/>
      <c r="AD592" s="6"/>
      <c r="AE592" s="6"/>
    </row>
    <row r="593">
      <c r="A593" s="7" t="str">
        <f t="shared" si="2"/>
        <v/>
      </c>
      <c r="B593" s="6"/>
      <c r="C593" s="6"/>
      <c r="D593" s="113"/>
      <c r="E593" s="6"/>
      <c r="F593" s="6"/>
      <c r="G593" s="6"/>
      <c r="H593" s="6"/>
      <c r="I593" s="6"/>
      <c r="J593" s="6"/>
      <c r="K593" s="6"/>
      <c r="L593" s="6"/>
      <c r="M593" s="6"/>
      <c r="N593" s="6"/>
      <c r="O593" s="6"/>
      <c r="P593" s="35"/>
      <c r="Q593" s="35"/>
      <c r="R593" s="6"/>
      <c r="S593" s="6"/>
      <c r="T593" s="6"/>
      <c r="U593" s="6"/>
      <c r="V593" s="6"/>
      <c r="W593" s="6"/>
      <c r="X593" s="6"/>
      <c r="Y593" s="6"/>
      <c r="Z593" s="6"/>
      <c r="AA593" s="6"/>
      <c r="AB593" s="6"/>
      <c r="AC593" s="6"/>
      <c r="AD593" s="6"/>
      <c r="AE593" s="6"/>
    </row>
    <row r="594">
      <c r="A594" s="7" t="str">
        <f t="shared" si="2"/>
        <v/>
      </c>
      <c r="B594" s="6"/>
      <c r="C594" s="6"/>
      <c r="D594" s="113"/>
      <c r="E594" s="6"/>
      <c r="F594" s="6"/>
      <c r="G594" s="6"/>
      <c r="H594" s="6"/>
      <c r="I594" s="6"/>
      <c r="J594" s="6"/>
      <c r="K594" s="6"/>
      <c r="L594" s="6"/>
      <c r="M594" s="6"/>
      <c r="N594" s="6"/>
      <c r="O594" s="6"/>
      <c r="P594" s="35"/>
      <c r="Q594" s="35"/>
      <c r="R594" s="6"/>
      <c r="S594" s="6"/>
      <c r="T594" s="6"/>
      <c r="U594" s="6"/>
      <c r="V594" s="6"/>
      <c r="W594" s="6"/>
      <c r="X594" s="6"/>
      <c r="Y594" s="6"/>
      <c r="Z594" s="6"/>
      <c r="AA594" s="6"/>
      <c r="AB594" s="6"/>
      <c r="AC594" s="6"/>
      <c r="AD594" s="6"/>
      <c r="AE594" s="6"/>
    </row>
    <row r="595">
      <c r="A595" s="7" t="str">
        <f t="shared" si="2"/>
        <v/>
      </c>
      <c r="B595" s="6"/>
      <c r="C595" s="6"/>
      <c r="D595" s="113"/>
      <c r="E595" s="6"/>
      <c r="F595" s="6"/>
      <c r="G595" s="6"/>
      <c r="H595" s="6"/>
      <c r="I595" s="6"/>
      <c r="J595" s="6"/>
      <c r="K595" s="6"/>
      <c r="L595" s="6"/>
      <c r="M595" s="6"/>
      <c r="N595" s="6"/>
      <c r="O595" s="6"/>
      <c r="P595" s="35"/>
      <c r="Q595" s="35"/>
      <c r="R595" s="6"/>
      <c r="S595" s="6"/>
      <c r="T595" s="6"/>
      <c r="U595" s="6"/>
      <c r="V595" s="6"/>
      <c r="W595" s="6"/>
      <c r="X595" s="6"/>
      <c r="Y595" s="6"/>
      <c r="Z595" s="6"/>
      <c r="AA595" s="6"/>
      <c r="AB595" s="6"/>
      <c r="AC595" s="6"/>
      <c r="AD595" s="6"/>
      <c r="AE595" s="6"/>
    </row>
    <row r="596">
      <c r="A596" s="7" t="str">
        <f t="shared" si="2"/>
        <v/>
      </c>
      <c r="B596" s="6"/>
      <c r="C596" s="6"/>
      <c r="D596" s="113"/>
      <c r="E596" s="6"/>
      <c r="F596" s="6"/>
      <c r="G596" s="6"/>
      <c r="H596" s="6"/>
      <c r="I596" s="6"/>
      <c r="J596" s="6"/>
      <c r="K596" s="6"/>
      <c r="L596" s="6"/>
      <c r="M596" s="6"/>
      <c r="N596" s="6"/>
      <c r="O596" s="6"/>
      <c r="P596" s="35"/>
      <c r="Q596" s="35"/>
      <c r="R596" s="6"/>
      <c r="S596" s="6"/>
      <c r="T596" s="6"/>
      <c r="U596" s="6"/>
      <c r="V596" s="6"/>
      <c r="W596" s="6"/>
      <c r="X596" s="6"/>
      <c r="Y596" s="6"/>
      <c r="Z596" s="6"/>
      <c r="AA596" s="6"/>
      <c r="AB596" s="6"/>
      <c r="AC596" s="6"/>
      <c r="AD596" s="6"/>
      <c r="AE596" s="6"/>
    </row>
    <row r="597">
      <c r="A597" s="7" t="str">
        <f t="shared" si="2"/>
        <v/>
      </c>
      <c r="B597" s="6"/>
      <c r="C597" s="6"/>
      <c r="D597" s="113"/>
      <c r="E597" s="6"/>
      <c r="F597" s="6"/>
      <c r="G597" s="6"/>
      <c r="H597" s="6"/>
      <c r="I597" s="6"/>
      <c r="J597" s="6"/>
      <c r="K597" s="6"/>
      <c r="L597" s="6"/>
      <c r="M597" s="6"/>
      <c r="N597" s="6"/>
      <c r="O597" s="6"/>
      <c r="P597" s="35"/>
      <c r="Q597" s="35"/>
      <c r="R597" s="6"/>
      <c r="S597" s="6"/>
      <c r="T597" s="6"/>
      <c r="U597" s="6"/>
      <c r="V597" s="6"/>
      <c r="W597" s="6"/>
      <c r="X597" s="6"/>
      <c r="Y597" s="6"/>
      <c r="Z597" s="6"/>
      <c r="AA597" s="6"/>
      <c r="AB597" s="6"/>
      <c r="AC597" s="6"/>
      <c r="AD597" s="6"/>
      <c r="AE597" s="6"/>
    </row>
    <row r="598">
      <c r="A598" s="7" t="str">
        <f t="shared" si="2"/>
        <v/>
      </c>
      <c r="B598" s="6"/>
      <c r="C598" s="6"/>
      <c r="D598" s="113"/>
      <c r="E598" s="6"/>
      <c r="F598" s="6"/>
      <c r="G598" s="6"/>
      <c r="H598" s="6"/>
      <c r="I598" s="6"/>
      <c r="J598" s="6"/>
      <c r="K598" s="6"/>
      <c r="L598" s="6"/>
      <c r="M598" s="6"/>
      <c r="N598" s="6"/>
      <c r="O598" s="6"/>
      <c r="P598" s="35"/>
      <c r="Q598" s="35"/>
      <c r="R598" s="6"/>
      <c r="S598" s="6"/>
      <c r="T598" s="6"/>
      <c r="U598" s="6"/>
      <c r="V598" s="6"/>
      <c r="W598" s="6"/>
      <c r="X598" s="6"/>
      <c r="Y598" s="6"/>
      <c r="Z598" s="6"/>
      <c r="AA598" s="6"/>
      <c r="AB598" s="6"/>
      <c r="AC598" s="6"/>
      <c r="AD598" s="6"/>
      <c r="AE598" s="6"/>
    </row>
    <row r="599">
      <c r="A599" s="7" t="str">
        <f t="shared" si="2"/>
        <v/>
      </c>
      <c r="B599" s="6"/>
      <c r="C599" s="6"/>
      <c r="D599" s="113"/>
      <c r="E599" s="6"/>
      <c r="F599" s="6"/>
      <c r="G599" s="6"/>
      <c r="H599" s="6"/>
      <c r="I599" s="6"/>
      <c r="J599" s="6"/>
      <c r="K599" s="6"/>
      <c r="L599" s="6"/>
      <c r="M599" s="6"/>
      <c r="N599" s="6"/>
      <c r="O599" s="6"/>
      <c r="P599" s="35"/>
      <c r="Q599" s="35"/>
      <c r="R599" s="6"/>
      <c r="S599" s="6"/>
      <c r="T599" s="6"/>
      <c r="U599" s="6"/>
      <c r="V599" s="6"/>
      <c r="W599" s="6"/>
      <c r="X599" s="6"/>
      <c r="Y599" s="6"/>
      <c r="Z599" s="6"/>
      <c r="AA599" s="6"/>
      <c r="AB599" s="6"/>
      <c r="AC599" s="6"/>
      <c r="AD599" s="6"/>
      <c r="AE599" s="6"/>
    </row>
    <row r="600">
      <c r="A600" s="7" t="str">
        <f t="shared" si="2"/>
        <v/>
      </c>
      <c r="B600" s="6"/>
      <c r="C600" s="6"/>
      <c r="D600" s="113"/>
      <c r="E600" s="6"/>
      <c r="F600" s="6"/>
      <c r="G600" s="6"/>
      <c r="H600" s="6"/>
      <c r="I600" s="6"/>
      <c r="J600" s="6"/>
      <c r="K600" s="6"/>
      <c r="L600" s="6"/>
      <c r="M600" s="6"/>
      <c r="N600" s="6"/>
      <c r="O600" s="6"/>
      <c r="P600" s="35"/>
      <c r="Q600" s="35"/>
      <c r="R600" s="6"/>
      <c r="S600" s="6"/>
      <c r="T600" s="6"/>
      <c r="U600" s="6"/>
      <c r="V600" s="6"/>
      <c r="W600" s="6"/>
      <c r="X600" s="6"/>
      <c r="Y600" s="6"/>
      <c r="Z600" s="6"/>
      <c r="AA600" s="6"/>
      <c r="AB600" s="6"/>
      <c r="AC600" s="6"/>
      <c r="AD600" s="6"/>
      <c r="AE600" s="6"/>
    </row>
    <row r="601">
      <c r="A601" s="7" t="str">
        <f t="shared" si="2"/>
        <v/>
      </c>
      <c r="B601" s="6"/>
      <c r="C601" s="6"/>
      <c r="D601" s="113"/>
      <c r="E601" s="6"/>
      <c r="F601" s="6"/>
      <c r="G601" s="6"/>
      <c r="H601" s="6"/>
      <c r="I601" s="6"/>
      <c r="J601" s="6"/>
      <c r="K601" s="6"/>
      <c r="L601" s="6"/>
      <c r="M601" s="6"/>
      <c r="N601" s="6"/>
      <c r="O601" s="6"/>
      <c r="P601" s="35"/>
      <c r="Q601" s="35"/>
      <c r="R601" s="6"/>
      <c r="S601" s="6"/>
      <c r="T601" s="6"/>
      <c r="U601" s="6"/>
      <c r="V601" s="6"/>
      <c r="W601" s="6"/>
      <c r="X601" s="6"/>
      <c r="Y601" s="6"/>
      <c r="Z601" s="6"/>
      <c r="AA601" s="6"/>
      <c r="AB601" s="6"/>
      <c r="AC601" s="6"/>
      <c r="AD601" s="6"/>
      <c r="AE601" s="6"/>
    </row>
    <row r="602">
      <c r="A602" s="7" t="str">
        <f t="shared" si="2"/>
        <v/>
      </c>
      <c r="B602" s="6"/>
      <c r="C602" s="6"/>
      <c r="D602" s="113"/>
      <c r="E602" s="6"/>
      <c r="F602" s="6"/>
      <c r="G602" s="6"/>
      <c r="H602" s="6"/>
      <c r="I602" s="6"/>
      <c r="J602" s="6"/>
      <c r="K602" s="6"/>
      <c r="L602" s="6"/>
      <c r="M602" s="6"/>
      <c r="N602" s="6"/>
      <c r="O602" s="6"/>
      <c r="P602" s="35"/>
      <c r="Q602" s="35"/>
      <c r="R602" s="6"/>
      <c r="S602" s="6"/>
      <c r="T602" s="6"/>
      <c r="U602" s="6"/>
      <c r="V602" s="6"/>
      <c r="W602" s="6"/>
      <c r="X602" s="6"/>
      <c r="Y602" s="6"/>
      <c r="Z602" s="6"/>
      <c r="AA602" s="6"/>
      <c r="AB602" s="6"/>
      <c r="AC602" s="6"/>
      <c r="AD602" s="6"/>
      <c r="AE602" s="6"/>
    </row>
    <row r="603">
      <c r="A603" s="7" t="str">
        <f t="shared" si="2"/>
        <v/>
      </c>
      <c r="B603" s="6"/>
      <c r="C603" s="6"/>
      <c r="D603" s="113"/>
      <c r="E603" s="6"/>
      <c r="F603" s="6"/>
      <c r="G603" s="6"/>
      <c r="H603" s="6"/>
      <c r="I603" s="6"/>
      <c r="J603" s="6"/>
      <c r="K603" s="6"/>
      <c r="L603" s="6"/>
      <c r="M603" s="6"/>
      <c r="N603" s="6"/>
      <c r="O603" s="6"/>
      <c r="P603" s="35"/>
      <c r="Q603" s="35"/>
      <c r="R603" s="6"/>
      <c r="S603" s="6"/>
      <c r="T603" s="6"/>
      <c r="U603" s="6"/>
      <c r="V603" s="6"/>
      <c r="W603" s="6"/>
      <c r="X603" s="6"/>
      <c r="Y603" s="6"/>
      <c r="Z603" s="6"/>
      <c r="AA603" s="6"/>
      <c r="AB603" s="6"/>
      <c r="AC603" s="6"/>
      <c r="AD603" s="6"/>
      <c r="AE603" s="6"/>
    </row>
    <row r="604">
      <c r="A604" s="7" t="str">
        <f t="shared" si="2"/>
        <v/>
      </c>
      <c r="B604" s="6"/>
      <c r="C604" s="6"/>
      <c r="D604" s="113"/>
      <c r="E604" s="6"/>
      <c r="F604" s="6"/>
      <c r="G604" s="6"/>
      <c r="H604" s="6"/>
      <c r="I604" s="6"/>
      <c r="J604" s="6"/>
      <c r="K604" s="6"/>
      <c r="L604" s="6"/>
      <c r="M604" s="6"/>
      <c r="N604" s="6"/>
      <c r="O604" s="6"/>
      <c r="P604" s="35"/>
      <c r="Q604" s="35"/>
      <c r="R604" s="6"/>
      <c r="S604" s="6"/>
      <c r="T604" s="6"/>
      <c r="U604" s="6"/>
      <c r="V604" s="6"/>
      <c r="W604" s="6"/>
      <c r="X604" s="6"/>
      <c r="Y604" s="6"/>
      <c r="Z604" s="6"/>
      <c r="AA604" s="6"/>
      <c r="AB604" s="6"/>
      <c r="AC604" s="6"/>
      <c r="AD604" s="6"/>
      <c r="AE604" s="6"/>
    </row>
    <row r="605">
      <c r="A605" s="7" t="str">
        <f t="shared" si="2"/>
        <v/>
      </c>
      <c r="B605" s="6"/>
      <c r="C605" s="6"/>
      <c r="D605" s="113"/>
      <c r="E605" s="6"/>
      <c r="F605" s="6"/>
      <c r="G605" s="6"/>
      <c r="H605" s="6"/>
      <c r="I605" s="6"/>
      <c r="J605" s="6"/>
      <c r="K605" s="6"/>
      <c r="L605" s="6"/>
      <c r="M605" s="6"/>
      <c r="N605" s="6"/>
      <c r="O605" s="6"/>
      <c r="P605" s="35"/>
      <c r="Q605" s="35"/>
      <c r="R605" s="6"/>
      <c r="S605" s="6"/>
      <c r="T605" s="6"/>
      <c r="U605" s="6"/>
      <c r="V605" s="6"/>
      <c r="W605" s="6"/>
      <c r="X605" s="6"/>
      <c r="Y605" s="6"/>
      <c r="Z605" s="6"/>
      <c r="AA605" s="6"/>
      <c r="AB605" s="6"/>
      <c r="AC605" s="6"/>
      <c r="AD605" s="6"/>
      <c r="AE605" s="6"/>
    </row>
    <row r="606">
      <c r="A606" s="7" t="str">
        <f t="shared" si="2"/>
        <v/>
      </c>
      <c r="B606" s="6"/>
      <c r="C606" s="6"/>
      <c r="D606" s="113"/>
      <c r="E606" s="6"/>
      <c r="F606" s="6"/>
      <c r="G606" s="6"/>
      <c r="H606" s="6"/>
      <c r="I606" s="6"/>
      <c r="J606" s="6"/>
      <c r="K606" s="6"/>
      <c r="L606" s="6"/>
      <c r="M606" s="6"/>
      <c r="N606" s="6"/>
      <c r="O606" s="6"/>
      <c r="P606" s="35"/>
      <c r="Q606" s="35"/>
      <c r="R606" s="6"/>
      <c r="S606" s="6"/>
      <c r="T606" s="6"/>
      <c r="U606" s="6"/>
      <c r="V606" s="6"/>
      <c r="W606" s="6"/>
      <c r="X606" s="6"/>
      <c r="Y606" s="6"/>
      <c r="Z606" s="6"/>
      <c r="AA606" s="6"/>
      <c r="AB606" s="6"/>
      <c r="AC606" s="6"/>
      <c r="AD606" s="6"/>
      <c r="AE606" s="6"/>
    </row>
    <row r="607">
      <c r="A607" s="7" t="str">
        <f t="shared" si="2"/>
        <v/>
      </c>
      <c r="B607" s="6"/>
      <c r="C607" s="6"/>
      <c r="D607" s="113"/>
      <c r="E607" s="6"/>
      <c r="F607" s="6"/>
      <c r="G607" s="6"/>
      <c r="H607" s="6"/>
      <c r="I607" s="6"/>
      <c r="J607" s="6"/>
      <c r="K607" s="6"/>
      <c r="L607" s="6"/>
      <c r="M607" s="6"/>
      <c r="N607" s="6"/>
      <c r="O607" s="6"/>
      <c r="P607" s="35"/>
      <c r="Q607" s="35"/>
      <c r="R607" s="6"/>
      <c r="S607" s="6"/>
      <c r="T607" s="6"/>
      <c r="U607" s="6"/>
      <c r="V607" s="6"/>
      <c r="W607" s="6"/>
      <c r="X607" s="6"/>
      <c r="Y607" s="6"/>
      <c r="Z607" s="6"/>
      <c r="AA607" s="6"/>
      <c r="AB607" s="6"/>
      <c r="AC607" s="6"/>
      <c r="AD607" s="6"/>
      <c r="AE607" s="6"/>
    </row>
    <row r="608">
      <c r="A608" s="7" t="str">
        <f t="shared" si="2"/>
        <v/>
      </c>
      <c r="B608" s="6"/>
      <c r="C608" s="6"/>
      <c r="D608" s="113"/>
      <c r="E608" s="6"/>
      <c r="F608" s="6"/>
      <c r="G608" s="6"/>
      <c r="H608" s="6"/>
      <c r="I608" s="6"/>
      <c r="J608" s="6"/>
      <c r="K608" s="6"/>
      <c r="L608" s="6"/>
      <c r="M608" s="6"/>
      <c r="N608" s="6"/>
      <c r="O608" s="6"/>
      <c r="P608" s="35"/>
      <c r="Q608" s="35"/>
      <c r="R608" s="6"/>
      <c r="S608" s="6"/>
      <c r="T608" s="6"/>
      <c r="U608" s="6"/>
      <c r="V608" s="6"/>
      <c r="W608" s="6"/>
      <c r="X608" s="6"/>
      <c r="Y608" s="6"/>
      <c r="Z608" s="6"/>
      <c r="AA608" s="6"/>
      <c r="AB608" s="6"/>
      <c r="AC608" s="6"/>
      <c r="AD608" s="6"/>
      <c r="AE608" s="6"/>
    </row>
    <row r="609">
      <c r="A609" s="7" t="str">
        <f t="shared" si="2"/>
        <v/>
      </c>
      <c r="B609" s="6"/>
      <c r="C609" s="6"/>
      <c r="D609" s="113"/>
      <c r="E609" s="6"/>
      <c r="F609" s="6"/>
      <c r="G609" s="6"/>
      <c r="H609" s="6"/>
      <c r="I609" s="6"/>
      <c r="J609" s="6"/>
      <c r="K609" s="6"/>
      <c r="L609" s="6"/>
      <c r="M609" s="6"/>
      <c r="N609" s="6"/>
      <c r="O609" s="6"/>
      <c r="P609" s="35"/>
      <c r="Q609" s="35"/>
      <c r="R609" s="6"/>
      <c r="S609" s="6"/>
      <c r="T609" s="6"/>
      <c r="U609" s="6"/>
      <c r="V609" s="6"/>
      <c r="W609" s="6"/>
      <c r="X609" s="6"/>
      <c r="Y609" s="6"/>
      <c r="Z609" s="6"/>
      <c r="AA609" s="6"/>
      <c r="AB609" s="6"/>
      <c r="AC609" s="6"/>
      <c r="AD609" s="6"/>
      <c r="AE609" s="6"/>
    </row>
    <row r="610">
      <c r="A610" s="7" t="str">
        <f t="shared" si="2"/>
        <v/>
      </c>
      <c r="B610" s="6"/>
      <c r="C610" s="6"/>
      <c r="D610" s="113"/>
      <c r="E610" s="6"/>
      <c r="F610" s="6"/>
      <c r="G610" s="6"/>
      <c r="H610" s="6"/>
      <c r="I610" s="6"/>
      <c r="J610" s="6"/>
      <c r="K610" s="6"/>
      <c r="L610" s="6"/>
      <c r="M610" s="6"/>
      <c r="N610" s="6"/>
      <c r="O610" s="6"/>
      <c r="P610" s="35"/>
      <c r="Q610" s="35"/>
      <c r="R610" s="6"/>
      <c r="S610" s="6"/>
      <c r="T610" s="6"/>
      <c r="U610" s="6"/>
      <c r="V610" s="6"/>
      <c r="W610" s="6"/>
      <c r="X610" s="6"/>
      <c r="Y610" s="6"/>
      <c r="Z610" s="6"/>
      <c r="AA610" s="6"/>
      <c r="AB610" s="6"/>
      <c r="AC610" s="6"/>
      <c r="AD610" s="6"/>
      <c r="AE610" s="6"/>
    </row>
    <row r="611">
      <c r="A611" s="7" t="str">
        <f t="shared" si="2"/>
        <v/>
      </c>
      <c r="B611" s="6"/>
      <c r="C611" s="6"/>
      <c r="D611" s="113"/>
      <c r="E611" s="6"/>
      <c r="F611" s="6"/>
      <c r="G611" s="6"/>
      <c r="H611" s="6"/>
      <c r="I611" s="6"/>
      <c r="J611" s="6"/>
      <c r="K611" s="6"/>
      <c r="L611" s="6"/>
      <c r="M611" s="6"/>
      <c r="N611" s="6"/>
      <c r="O611" s="6"/>
      <c r="P611" s="35"/>
      <c r="Q611" s="35"/>
      <c r="R611" s="6"/>
      <c r="S611" s="6"/>
      <c r="T611" s="6"/>
      <c r="U611" s="6"/>
      <c r="V611" s="6"/>
      <c r="W611" s="6"/>
      <c r="X611" s="6"/>
      <c r="Y611" s="6"/>
      <c r="Z611" s="6"/>
      <c r="AA611" s="6"/>
      <c r="AB611" s="6"/>
      <c r="AC611" s="6"/>
      <c r="AD611" s="6"/>
      <c r="AE611" s="6"/>
    </row>
    <row r="612">
      <c r="A612" s="7" t="str">
        <f t="shared" si="2"/>
        <v/>
      </c>
      <c r="B612" s="6"/>
      <c r="C612" s="6"/>
      <c r="D612" s="113"/>
      <c r="E612" s="6"/>
      <c r="F612" s="6"/>
      <c r="G612" s="6"/>
      <c r="H612" s="6"/>
      <c r="I612" s="6"/>
      <c r="J612" s="6"/>
      <c r="K612" s="6"/>
      <c r="L612" s="6"/>
      <c r="M612" s="6"/>
      <c r="N612" s="6"/>
      <c r="O612" s="6"/>
      <c r="P612" s="35"/>
      <c r="Q612" s="35"/>
      <c r="R612" s="6"/>
      <c r="S612" s="6"/>
      <c r="T612" s="6"/>
      <c r="U612" s="6"/>
      <c r="V612" s="6"/>
      <c r="W612" s="6"/>
      <c r="X612" s="6"/>
      <c r="Y612" s="6"/>
      <c r="Z612" s="6"/>
      <c r="AA612" s="6"/>
      <c r="AB612" s="6"/>
      <c r="AC612" s="6"/>
      <c r="AD612" s="6"/>
      <c r="AE612" s="6"/>
    </row>
    <row r="613">
      <c r="A613" s="7" t="str">
        <f t="shared" si="2"/>
        <v/>
      </c>
      <c r="B613" s="6"/>
      <c r="C613" s="6"/>
      <c r="D613" s="113"/>
      <c r="E613" s="6"/>
      <c r="F613" s="6"/>
      <c r="G613" s="6"/>
      <c r="H613" s="6"/>
      <c r="I613" s="6"/>
      <c r="J613" s="6"/>
      <c r="K613" s="6"/>
      <c r="L613" s="6"/>
      <c r="M613" s="6"/>
      <c r="N613" s="6"/>
      <c r="O613" s="6"/>
      <c r="P613" s="35"/>
      <c r="Q613" s="35"/>
      <c r="R613" s="6"/>
      <c r="S613" s="6"/>
      <c r="T613" s="6"/>
      <c r="U613" s="6"/>
      <c r="V613" s="6"/>
      <c r="W613" s="6"/>
      <c r="X613" s="6"/>
      <c r="Y613" s="6"/>
      <c r="Z613" s="6"/>
      <c r="AA613" s="6"/>
      <c r="AB613" s="6"/>
      <c r="AC613" s="6"/>
      <c r="AD613" s="6"/>
      <c r="AE613" s="6"/>
    </row>
    <row r="614">
      <c r="A614" s="7" t="str">
        <f t="shared" si="2"/>
        <v/>
      </c>
      <c r="B614" s="6"/>
      <c r="C614" s="6"/>
      <c r="D614" s="113"/>
      <c r="E614" s="6"/>
      <c r="F614" s="6"/>
      <c r="G614" s="6"/>
      <c r="H614" s="6"/>
      <c r="I614" s="6"/>
      <c r="J614" s="6"/>
      <c r="K614" s="6"/>
      <c r="L614" s="6"/>
      <c r="M614" s="6"/>
      <c r="N614" s="6"/>
      <c r="O614" s="6"/>
      <c r="P614" s="35"/>
      <c r="Q614" s="35"/>
      <c r="R614" s="6"/>
      <c r="S614" s="6"/>
      <c r="T614" s="6"/>
      <c r="U614" s="6"/>
      <c r="V614" s="6"/>
      <c r="W614" s="6"/>
      <c r="X614" s="6"/>
      <c r="Y614" s="6"/>
      <c r="Z614" s="6"/>
      <c r="AA614" s="6"/>
      <c r="AB614" s="6"/>
      <c r="AC614" s="6"/>
      <c r="AD614" s="6"/>
      <c r="AE614" s="6"/>
    </row>
    <row r="615">
      <c r="A615" s="7" t="str">
        <f t="shared" si="2"/>
        <v/>
      </c>
      <c r="B615" s="6"/>
      <c r="C615" s="6"/>
      <c r="D615" s="113"/>
      <c r="E615" s="6"/>
      <c r="F615" s="6"/>
      <c r="G615" s="6"/>
      <c r="H615" s="6"/>
      <c r="I615" s="6"/>
      <c r="J615" s="6"/>
      <c r="K615" s="6"/>
      <c r="L615" s="6"/>
      <c r="M615" s="6"/>
      <c r="N615" s="6"/>
      <c r="O615" s="6"/>
      <c r="P615" s="35"/>
      <c r="Q615" s="35"/>
      <c r="R615" s="6"/>
      <c r="S615" s="6"/>
      <c r="T615" s="6"/>
      <c r="U615" s="6"/>
      <c r="V615" s="6"/>
      <c r="W615" s="6"/>
      <c r="X615" s="6"/>
      <c r="Y615" s="6"/>
      <c r="Z615" s="6"/>
      <c r="AA615" s="6"/>
      <c r="AB615" s="6"/>
      <c r="AC615" s="6"/>
      <c r="AD615" s="6"/>
      <c r="AE615" s="6"/>
    </row>
    <row r="616">
      <c r="A616" s="7" t="str">
        <f t="shared" si="2"/>
        <v/>
      </c>
      <c r="B616" s="6"/>
      <c r="C616" s="6"/>
      <c r="D616" s="113"/>
      <c r="E616" s="6"/>
      <c r="F616" s="6"/>
      <c r="G616" s="6"/>
      <c r="H616" s="6"/>
      <c r="I616" s="6"/>
      <c r="J616" s="6"/>
      <c r="K616" s="6"/>
      <c r="L616" s="6"/>
      <c r="M616" s="6"/>
      <c r="N616" s="6"/>
      <c r="O616" s="6"/>
      <c r="P616" s="35"/>
      <c r="Q616" s="35"/>
      <c r="R616" s="6"/>
      <c r="S616" s="6"/>
      <c r="T616" s="6"/>
      <c r="U616" s="6"/>
      <c r="V616" s="6"/>
      <c r="W616" s="6"/>
      <c r="X616" s="6"/>
      <c r="Y616" s="6"/>
      <c r="Z616" s="6"/>
      <c r="AA616" s="6"/>
      <c r="AB616" s="6"/>
      <c r="AC616" s="6"/>
      <c r="AD616" s="6"/>
      <c r="AE616" s="6"/>
    </row>
    <row r="617">
      <c r="A617" s="7" t="str">
        <f t="shared" si="2"/>
        <v/>
      </c>
      <c r="B617" s="6"/>
      <c r="C617" s="6"/>
      <c r="D617" s="113"/>
      <c r="E617" s="6"/>
      <c r="F617" s="6"/>
      <c r="G617" s="6"/>
      <c r="H617" s="6"/>
      <c r="I617" s="6"/>
      <c r="J617" s="6"/>
      <c r="K617" s="6"/>
      <c r="L617" s="6"/>
      <c r="M617" s="6"/>
      <c r="N617" s="6"/>
      <c r="O617" s="6"/>
      <c r="P617" s="35"/>
      <c r="Q617" s="35"/>
      <c r="R617" s="6"/>
      <c r="S617" s="6"/>
      <c r="T617" s="6"/>
      <c r="U617" s="6"/>
      <c r="V617" s="6"/>
      <c r="W617" s="6"/>
      <c r="X617" s="6"/>
      <c r="Y617" s="6"/>
      <c r="Z617" s="6"/>
      <c r="AA617" s="6"/>
      <c r="AB617" s="6"/>
      <c r="AC617" s="6"/>
      <c r="AD617" s="6"/>
      <c r="AE617" s="6"/>
    </row>
    <row r="618">
      <c r="A618" s="7" t="str">
        <f t="shared" si="2"/>
        <v/>
      </c>
      <c r="B618" s="6"/>
      <c r="C618" s="6"/>
      <c r="D618" s="113"/>
      <c r="E618" s="6"/>
      <c r="F618" s="6"/>
      <c r="G618" s="6"/>
      <c r="H618" s="6"/>
      <c r="I618" s="6"/>
      <c r="J618" s="6"/>
      <c r="K618" s="6"/>
      <c r="L618" s="6"/>
      <c r="M618" s="6"/>
      <c r="N618" s="6"/>
      <c r="O618" s="6"/>
      <c r="P618" s="35"/>
      <c r="Q618" s="35"/>
      <c r="R618" s="6"/>
      <c r="S618" s="6"/>
      <c r="T618" s="6"/>
      <c r="U618" s="6"/>
      <c r="V618" s="6"/>
      <c r="W618" s="6"/>
      <c r="X618" s="6"/>
      <c r="Y618" s="6"/>
      <c r="Z618" s="6"/>
      <c r="AA618" s="6"/>
      <c r="AB618" s="6"/>
      <c r="AC618" s="6"/>
      <c r="AD618" s="6"/>
      <c r="AE618" s="6"/>
    </row>
    <row r="619">
      <c r="A619" s="7" t="str">
        <f t="shared" si="2"/>
        <v/>
      </c>
      <c r="B619" s="6"/>
      <c r="C619" s="6"/>
      <c r="D619" s="113"/>
      <c r="E619" s="6"/>
      <c r="F619" s="6"/>
      <c r="G619" s="6"/>
      <c r="H619" s="6"/>
      <c r="I619" s="6"/>
      <c r="J619" s="6"/>
      <c r="K619" s="6"/>
      <c r="L619" s="6"/>
      <c r="M619" s="6"/>
      <c r="N619" s="6"/>
      <c r="O619" s="6"/>
      <c r="P619" s="35"/>
      <c r="Q619" s="35"/>
      <c r="R619" s="6"/>
      <c r="S619" s="6"/>
      <c r="T619" s="6"/>
      <c r="U619" s="6"/>
      <c r="V619" s="6"/>
      <c r="W619" s="6"/>
      <c r="X619" s="6"/>
      <c r="Y619" s="6"/>
      <c r="Z619" s="6"/>
      <c r="AA619" s="6"/>
      <c r="AB619" s="6"/>
      <c r="AC619" s="6"/>
      <c r="AD619" s="6"/>
      <c r="AE619" s="6"/>
    </row>
    <row r="620">
      <c r="A620" s="7" t="str">
        <f t="shared" si="2"/>
        <v/>
      </c>
      <c r="B620" s="6"/>
      <c r="C620" s="6"/>
      <c r="D620" s="113"/>
      <c r="E620" s="6"/>
      <c r="F620" s="6"/>
      <c r="G620" s="6"/>
      <c r="H620" s="6"/>
      <c r="I620" s="6"/>
      <c r="J620" s="6"/>
      <c r="K620" s="6"/>
      <c r="L620" s="6"/>
      <c r="M620" s="6"/>
      <c r="N620" s="6"/>
      <c r="O620" s="6"/>
      <c r="P620" s="35"/>
      <c r="Q620" s="35"/>
      <c r="R620" s="6"/>
      <c r="S620" s="6"/>
      <c r="T620" s="6"/>
      <c r="U620" s="6"/>
      <c r="V620" s="6"/>
      <c r="W620" s="6"/>
      <c r="X620" s="6"/>
      <c r="Y620" s="6"/>
      <c r="Z620" s="6"/>
      <c r="AA620" s="6"/>
      <c r="AB620" s="6"/>
      <c r="AC620" s="6"/>
      <c r="AD620" s="6"/>
      <c r="AE620" s="6"/>
    </row>
    <row r="621">
      <c r="A621" s="7" t="str">
        <f t="shared" si="2"/>
        <v/>
      </c>
      <c r="B621" s="6"/>
      <c r="C621" s="6"/>
      <c r="D621" s="113"/>
      <c r="E621" s="6"/>
      <c r="F621" s="6"/>
      <c r="G621" s="6"/>
      <c r="H621" s="6"/>
      <c r="I621" s="6"/>
      <c r="J621" s="6"/>
      <c r="K621" s="6"/>
      <c r="L621" s="6"/>
      <c r="M621" s="6"/>
      <c r="N621" s="6"/>
      <c r="O621" s="6"/>
      <c r="P621" s="35"/>
      <c r="Q621" s="35"/>
      <c r="R621" s="6"/>
      <c r="S621" s="6"/>
      <c r="T621" s="6"/>
      <c r="U621" s="6"/>
      <c r="V621" s="6"/>
      <c r="W621" s="6"/>
      <c r="X621" s="6"/>
      <c r="Y621" s="6"/>
      <c r="Z621" s="6"/>
      <c r="AA621" s="6"/>
      <c r="AB621" s="6"/>
      <c r="AC621" s="6"/>
      <c r="AD621" s="6"/>
      <c r="AE621" s="6"/>
    </row>
    <row r="622">
      <c r="A622" s="7" t="str">
        <f t="shared" si="2"/>
        <v/>
      </c>
      <c r="B622" s="6"/>
      <c r="C622" s="6"/>
      <c r="D622" s="113"/>
      <c r="E622" s="6"/>
      <c r="F622" s="6"/>
      <c r="G622" s="6"/>
      <c r="H622" s="6"/>
      <c r="I622" s="6"/>
      <c r="J622" s="6"/>
      <c r="K622" s="6"/>
      <c r="L622" s="6"/>
      <c r="M622" s="6"/>
      <c r="N622" s="6"/>
      <c r="O622" s="6"/>
      <c r="P622" s="35"/>
      <c r="Q622" s="35"/>
      <c r="R622" s="6"/>
      <c r="S622" s="6"/>
      <c r="T622" s="6"/>
      <c r="U622" s="6"/>
      <c r="V622" s="6"/>
      <c r="W622" s="6"/>
      <c r="X622" s="6"/>
      <c r="Y622" s="6"/>
      <c r="Z622" s="6"/>
      <c r="AA622" s="6"/>
      <c r="AB622" s="6"/>
      <c r="AC622" s="6"/>
      <c r="AD622" s="6"/>
      <c r="AE622" s="6"/>
    </row>
    <row r="623">
      <c r="A623" s="7" t="str">
        <f t="shared" si="2"/>
        <v/>
      </c>
      <c r="B623" s="6"/>
      <c r="C623" s="6"/>
      <c r="D623" s="113"/>
      <c r="E623" s="6"/>
      <c r="F623" s="6"/>
      <c r="G623" s="6"/>
      <c r="H623" s="6"/>
      <c r="I623" s="6"/>
      <c r="J623" s="6"/>
      <c r="K623" s="6"/>
      <c r="L623" s="6"/>
      <c r="M623" s="6"/>
      <c r="N623" s="6"/>
      <c r="O623" s="6"/>
      <c r="P623" s="35"/>
      <c r="Q623" s="35"/>
      <c r="R623" s="6"/>
      <c r="S623" s="6"/>
      <c r="T623" s="6"/>
      <c r="U623" s="6"/>
      <c r="V623" s="6"/>
      <c r="W623" s="6"/>
      <c r="X623" s="6"/>
      <c r="Y623" s="6"/>
      <c r="Z623" s="6"/>
      <c r="AA623" s="6"/>
      <c r="AB623" s="6"/>
      <c r="AC623" s="6"/>
      <c r="AD623" s="6"/>
      <c r="AE623" s="6"/>
    </row>
    <row r="624">
      <c r="A624" s="7" t="str">
        <f t="shared" si="2"/>
        <v/>
      </c>
      <c r="B624" s="6"/>
      <c r="C624" s="6"/>
      <c r="D624" s="113"/>
      <c r="E624" s="6"/>
      <c r="F624" s="6"/>
      <c r="G624" s="6"/>
      <c r="H624" s="6"/>
      <c r="I624" s="6"/>
      <c r="J624" s="6"/>
      <c r="K624" s="6"/>
      <c r="L624" s="6"/>
      <c r="M624" s="6"/>
      <c r="N624" s="6"/>
      <c r="O624" s="6"/>
      <c r="P624" s="35"/>
      <c r="Q624" s="35"/>
      <c r="R624" s="6"/>
      <c r="S624" s="6"/>
      <c r="T624" s="6"/>
      <c r="U624" s="6"/>
      <c r="V624" s="6"/>
      <c r="W624" s="6"/>
      <c r="X624" s="6"/>
      <c r="Y624" s="6"/>
      <c r="Z624" s="6"/>
      <c r="AA624" s="6"/>
      <c r="AB624" s="6"/>
      <c r="AC624" s="6"/>
      <c r="AD624" s="6"/>
      <c r="AE624" s="6"/>
    </row>
    <row r="625">
      <c r="A625" s="7" t="str">
        <f t="shared" si="2"/>
        <v/>
      </c>
      <c r="B625" s="6"/>
      <c r="C625" s="6"/>
      <c r="D625" s="113"/>
      <c r="E625" s="6"/>
      <c r="F625" s="6"/>
      <c r="G625" s="6"/>
      <c r="H625" s="6"/>
      <c r="I625" s="6"/>
      <c r="J625" s="6"/>
      <c r="K625" s="6"/>
      <c r="L625" s="6"/>
      <c r="M625" s="6"/>
      <c r="N625" s="6"/>
      <c r="O625" s="6"/>
      <c r="P625" s="35"/>
      <c r="Q625" s="35"/>
      <c r="R625" s="6"/>
      <c r="S625" s="6"/>
      <c r="T625" s="6"/>
      <c r="U625" s="6"/>
      <c r="V625" s="6"/>
      <c r="W625" s="6"/>
      <c r="X625" s="6"/>
      <c r="Y625" s="6"/>
      <c r="Z625" s="6"/>
      <c r="AA625" s="6"/>
      <c r="AB625" s="6"/>
      <c r="AC625" s="6"/>
      <c r="AD625" s="6"/>
      <c r="AE625" s="6"/>
    </row>
    <row r="626">
      <c r="A626" s="7" t="str">
        <f t="shared" si="2"/>
        <v/>
      </c>
      <c r="B626" s="6"/>
      <c r="C626" s="6"/>
      <c r="D626" s="113"/>
      <c r="E626" s="6"/>
      <c r="F626" s="6"/>
      <c r="G626" s="6"/>
      <c r="H626" s="6"/>
      <c r="I626" s="6"/>
      <c r="J626" s="6"/>
      <c r="K626" s="6"/>
      <c r="L626" s="6"/>
      <c r="M626" s="6"/>
      <c r="N626" s="6"/>
      <c r="O626" s="6"/>
      <c r="P626" s="35"/>
      <c r="Q626" s="35"/>
      <c r="R626" s="6"/>
      <c r="S626" s="6"/>
      <c r="T626" s="6"/>
      <c r="U626" s="6"/>
      <c r="V626" s="6"/>
      <c r="W626" s="6"/>
      <c r="X626" s="6"/>
      <c r="Y626" s="6"/>
      <c r="Z626" s="6"/>
      <c r="AA626" s="6"/>
      <c r="AB626" s="6"/>
      <c r="AC626" s="6"/>
      <c r="AD626" s="6"/>
      <c r="AE626" s="6"/>
    </row>
    <row r="627">
      <c r="A627" s="7" t="str">
        <f t="shared" si="2"/>
        <v/>
      </c>
      <c r="B627" s="6"/>
      <c r="C627" s="6"/>
      <c r="D627" s="113"/>
      <c r="E627" s="6"/>
      <c r="F627" s="6"/>
      <c r="G627" s="6"/>
      <c r="H627" s="6"/>
      <c r="I627" s="6"/>
      <c r="J627" s="6"/>
      <c r="K627" s="6"/>
      <c r="L627" s="6"/>
      <c r="M627" s="6"/>
      <c r="N627" s="6"/>
      <c r="O627" s="6"/>
      <c r="P627" s="35"/>
      <c r="Q627" s="35"/>
      <c r="R627" s="6"/>
      <c r="S627" s="6"/>
      <c r="T627" s="6"/>
      <c r="U627" s="6"/>
      <c r="V627" s="6"/>
      <c r="W627" s="6"/>
      <c r="X627" s="6"/>
      <c r="Y627" s="6"/>
      <c r="Z627" s="6"/>
      <c r="AA627" s="6"/>
      <c r="AB627" s="6"/>
      <c r="AC627" s="6"/>
      <c r="AD627" s="6"/>
      <c r="AE627" s="6"/>
    </row>
    <row r="628">
      <c r="A628" s="7" t="str">
        <f t="shared" si="2"/>
        <v/>
      </c>
      <c r="B628" s="6"/>
      <c r="C628" s="6"/>
      <c r="D628" s="113"/>
      <c r="E628" s="6"/>
      <c r="F628" s="6"/>
      <c r="G628" s="6"/>
      <c r="H628" s="6"/>
      <c r="I628" s="6"/>
      <c r="J628" s="6"/>
      <c r="K628" s="6"/>
      <c r="L628" s="6"/>
      <c r="M628" s="6"/>
      <c r="N628" s="6"/>
      <c r="O628" s="6"/>
      <c r="P628" s="35"/>
      <c r="Q628" s="35"/>
      <c r="R628" s="6"/>
      <c r="S628" s="6"/>
      <c r="T628" s="6"/>
      <c r="U628" s="6"/>
      <c r="V628" s="6"/>
      <c r="W628" s="6"/>
      <c r="X628" s="6"/>
      <c r="Y628" s="6"/>
      <c r="Z628" s="6"/>
      <c r="AA628" s="6"/>
      <c r="AB628" s="6"/>
      <c r="AC628" s="6"/>
      <c r="AD628" s="6"/>
      <c r="AE628" s="6"/>
    </row>
    <row r="629">
      <c r="A629" s="7" t="str">
        <f t="shared" si="2"/>
        <v/>
      </c>
      <c r="B629" s="6"/>
      <c r="C629" s="6"/>
      <c r="D629" s="113"/>
      <c r="E629" s="6"/>
      <c r="F629" s="6"/>
      <c r="G629" s="6"/>
      <c r="H629" s="6"/>
      <c r="I629" s="6"/>
      <c r="J629" s="6"/>
      <c r="K629" s="6"/>
      <c r="L629" s="6"/>
      <c r="M629" s="6"/>
      <c r="N629" s="6"/>
      <c r="O629" s="6"/>
      <c r="P629" s="35"/>
      <c r="Q629" s="35"/>
      <c r="R629" s="6"/>
      <c r="S629" s="6"/>
      <c r="T629" s="6"/>
      <c r="U629" s="6"/>
      <c r="V629" s="6"/>
      <c r="W629" s="6"/>
      <c r="X629" s="6"/>
      <c r="Y629" s="6"/>
      <c r="Z629" s="6"/>
      <c r="AA629" s="6"/>
      <c r="AB629" s="6"/>
      <c r="AC629" s="6"/>
      <c r="AD629" s="6"/>
      <c r="AE629" s="6"/>
    </row>
    <row r="630">
      <c r="A630" s="7" t="str">
        <f t="shared" si="2"/>
        <v/>
      </c>
      <c r="B630" s="6"/>
      <c r="C630" s="6"/>
      <c r="D630" s="113"/>
      <c r="E630" s="6"/>
      <c r="F630" s="6"/>
      <c r="G630" s="6"/>
      <c r="H630" s="6"/>
      <c r="I630" s="6"/>
      <c r="J630" s="6"/>
      <c r="K630" s="6"/>
      <c r="L630" s="6"/>
      <c r="M630" s="6"/>
      <c r="N630" s="6"/>
      <c r="O630" s="6"/>
      <c r="P630" s="35"/>
      <c r="Q630" s="35"/>
      <c r="R630" s="6"/>
      <c r="S630" s="6"/>
      <c r="T630" s="6"/>
      <c r="U630" s="6"/>
      <c r="V630" s="6"/>
      <c r="W630" s="6"/>
      <c r="X630" s="6"/>
      <c r="Y630" s="6"/>
      <c r="Z630" s="6"/>
      <c r="AA630" s="6"/>
      <c r="AB630" s="6"/>
      <c r="AC630" s="6"/>
      <c r="AD630" s="6"/>
      <c r="AE630" s="6"/>
    </row>
    <row r="631">
      <c r="A631" s="7" t="str">
        <f t="shared" si="2"/>
        <v/>
      </c>
      <c r="B631" s="6"/>
      <c r="C631" s="6"/>
      <c r="D631" s="113"/>
      <c r="E631" s="6"/>
      <c r="F631" s="6"/>
      <c r="G631" s="6"/>
      <c r="H631" s="6"/>
      <c r="I631" s="6"/>
      <c r="J631" s="6"/>
      <c r="K631" s="6"/>
      <c r="L631" s="6"/>
      <c r="M631" s="6"/>
      <c r="N631" s="6"/>
      <c r="O631" s="6"/>
      <c r="P631" s="35"/>
      <c r="Q631" s="35"/>
      <c r="R631" s="6"/>
      <c r="S631" s="6"/>
      <c r="T631" s="6"/>
      <c r="U631" s="6"/>
      <c r="V631" s="6"/>
      <c r="W631" s="6"/>
      <c r="X631" s="6"/>
      <c r="Y631" s="6"/>
      <c r="Z631" s="6"/>
      <c r="AA631" s="6"/>
      <c r="AB631" s="6"/>
      <c r="AC631" s="6"/>
      <c r="AD631" s="6"/>
      <c r="AE631" s="6"/>
    </row>
    <row r="632">
      <c r="A632" s="7" t="str">
        <f t="shared" si="2"/>
        <v/>
      </c>
      <c r="B632" s="6"/>
      <c r="C632" s="6"/>
      <c r="D632" s="113"/>
      <c r="E632" s="6"/>
      <c r="F632" s="6"/>
      <c r="G632" s="6"/>
      <c r="H632" s="6"/>
      <c r="I632" s="6"/>
      <c r="J632" s="6"/>
      <c r="K632" s="6"/>
      <c r="L632" s="6"/>
      <c r="M632" s="6"/>
      <c r="N632" s="6"/>
      <c r="O632" s="6"/>
      <c r="P632" s="35"/>
      <c r="Q632" s="35"/>
      <c r="R632" s="6"/>
      <c r="S632" s="6"/>
      <c r="T632" s="6"/>
      <c r="U632" s="6"/>
      <c r="V632" s="6"/>
      <c r="W632" s="6"/>
      <c r="X632" s="6"/>
      <c r="Y632" s="6"/>
      <c r="Z632" s="6"/>
      <c r="AA632" s="6"/>
      <c r="AB632" s="6"/>
      <c r="AC632" s="6"/>
      <c r="AD632" s="6"/>
      <c r="AE632" s="6"/>
    </row>
    <row r="633">
      <c r="A633" s="7" t="str">
        <f t="shared" si="2"/>
        <v/>
      </c>
      <c r="B633" s="6"/>
      <c r="C633" s="6"/>
      <c r="D633" s="113"/>
      <c r="E633" s="6"/>
      <c r="F633" s="6"/>
      <c r="G633" s="6"/>
      <c r="H633" s="6"/>
      <c r="I633" s="6"/>
      <c r="J633" s="6"/>
      <c r="K633" s="6"/>
      <c r="L633" s="6"/>
      <c r="M633" s="6"/>
      <c r="N633" s="6"/>
      <c r="O633" s="6"/>
      <c r="P633" s="35"/>
      <c r="Q633" s="35"/>
      <c r="R633" s="6"/>
      <c r="S633" s="6"/>
      <c r="T633" s="6"/>
      <c r="U633" s="6"/>
      <c r="V633" s="6"/>
      <c r="W633" s="6"/>
      <c r="X633" s="6"/>
      <c r="Y633" s="6"/>
      <c r="Z633" s="6"/>
      <c r="AA633" s="6"/>
      <c r="AB633" s="6"/>
      <c r="AC633" s="6"/>
      <c r="AD633" s="6"/>
      <c r="AE633" s="6"/>
    </row>
    <row r="634">
      <c r="A634" s="7" t="str">
        <f t="shared" si="2"/>
        <v/>
      </c>
      <c r="B634" s="6"/>
      <c r="C634" s="6"/>
      <c r="D634" s="113"/>
      <c r="E634" s="6"/>
      <c r="F634" s="6"/>
      <c r="G634" s="6"/>
      <c r="H634" s="6"/>
      <c r="I634" s="6"/>
      <c r="J634" s="6"/>
      <c r="K634" s="6"/>
      <c r="L634" s="6"/>
      <c r="M634" s="6"/>
      <c r="N634" s="6"/>
      <c r="O634" s="6"/>
      <c r="P634" s="35"/>
      <c r="Q634" s="35"/>
      <c r="R634" s="6"/>
      <c r="S634" s="6"/>
      <c r="T634" s="6"/>
      <c r="U634" s="6"/>
      <c r="V634" s="6"/>
      <c r="W634" s="6"/>
      <c r="X634" s="6"/>
      <c r="Y634" s="6"/>
      <c r="Z634" s="6"/>
      <c r="AA634" s="6"/>
      <c r="AB634" s="6"/>
      <c r="AC634" s="6"/>
      <c r="AD634" s="6"/>
      <c r="AE634" s="6"/>
    </row>
    <row r="635">
      <c r="A635" s="7" t="str">
        <f t="shared" si="2"/>
        <v/>
      </c>
      <c r="B635" s="6"/>
      <c r="C635" s="6"/>
      <c r="D635" s="113"/>
      <c r="E635" s="6"/>
      <c r="F635" s="6"/>
      <c r="G635" s="6"/>
      <c r="H635" s="6"/>
      <c r="I635" s="6"/>
      <c r="J635" s="6"/>
      <c r="K635" s="6"/>
      <c r="L635" s="6"/>
      <c r="M635" s="6"/>
      <c r="N635" s="6"/>
      <c r="O635" s="6"/>
      <c r="P635" s="35"/>
      <c r="Q635" s="35"/>
      <c r="R635" s="6"/>
      <c r="S635" s="6"/>
      <c r="T635" s="6"/>
      <c r="U635" s="6"/>
      <c r="V635" s="6"/>
      <c r="W635" s="6"/>
      <c r="X635" s="6"/>
      <c r="Y635" s="6"/>
      <c r="Z635" s="6"/>
      <c r="AA635" s="6"/>
      <c r="AB635" s="6"/>
      <c r="AC635" s="6"/>
      <c r="AD635" s="6"/>
      <c r="AE635" s="6"/>
    </row>
    <row r="636">
      <c r="A636" s="7" t="str">
        <f t="shared" si="2"/>
        <v/>
      </c>
      <c r="B636" s="6"/>
      <c r="C636" s="6"/>
      <c r="D636" s="113"/>
      <c r="E636" s="6"/>
      <c r="F636" s="6"/>
      <c r="G636" s="6"/>
      <c r="H636" s="6"/>
      <c r="I636" s="6"/>
      <c r="J636" s="6"/>
      <c r="K636" s="6"/>
      <c r="L636" s="6"/>
      <c r="M636" s="6"/>
      <c r="N636" s="6"/>
      <c r="O636" s="6"/>
      <c r="P636" s="35"/>
      <c r="Q636" s="35"/>
      <c r="R636" s="6"/>
      <c r="S636" s="6"/>
      <c r="T636" s="6"/>
      <c r="U636" s="6"/>
      <c r="V636" s="6"/>
      <c r="W636" s="6"/>
      <c r="X636" s="6"/>
      <c r="Y636" s="6"/>
      <c r="Z636" s="6"/>
      <c r="AA636" s="6"/>
      <c r="AB636" s="6"/>
      <c r="AC636" s="6"/>
      <c r="AD636" s="6"/>
      <c r="AE636" s="6"/>
    </row>
    <row r="637">
      <c r="A637" s="7" t="str">
        <f t="shared" si="2"/>
        <v/>
      </c>
      <c r="B637" s="6"/>
      <c r="C637" s="6"/>
      <c r="D637" s="113"/>
      <c r="E637" s="6"/>
      <c r="F637" s="6"/>
      <c r="G637" s="6"/>
      <c r="H637" s="6"/>
      <c r="I637" s="6"/>
      <c r="J637" s="6"/>
      <c r="K637" s="6"/>
      <c r="L637" s="6"/>
      <c r="M637" s="6"/>
      <c r="N637" s="6"/>
      <c r="O637" s="6"/>
      <c r="P637" s="35"/>
      <c r="Q637" s="35"/>
      <c r="R637" s="6"/>
      <c r="S637" s="6"/>
      <c r="T637" s="6"/>
      <c r="U637" s="6"/>
      <c r="V637" s="6"/>
      <c r="W637" s="6"/>
      <c r="X637" s="6"/>
      <c r="Y637" s="6"/>
      <c r="Z637" s="6"/>
      <c r="AA637" s="6"/>
      <c r="AB637" s="6"/>
      <c r="AC637" s="6"/>
      <c r="AD637" s="6"/>
      <c r="AE637" s="6"/>
    </row>
    <row r="638">
      <c r="A638" s="7" t="str">
        <f t="shared" si="2"/>
        <v/>
      </c>
      <c r="B638" s="6"/>
      <c r="C638" s="6"/>
      <c r="D638" s="113"/>
      <c r="E638" s="6"/>
      <c r="F638" s="6"/>
      <c r="G638" s="6"/>
      <c r="H638" s="6"/>
      <c r="I638" s="6"/>
      <c r="J638" s="6"/>
      <c r="K638" s="6"/>
      <c r="L638" s="6"/>
      <c r="M638" s="6"/>
      <c r="N638" s="6"/>
      <c r="O638" s="6"/>
      <c r="P638" s="35"/>
      <c r="Q638" s="35"/>
      <c r="R638" s="6"/>
      <c r="S638" s="6"/>
      <c r="T638" s="6"/>
      <c r="U638" s="6"/>
      <c r="V638" s="6"/>
      <c r="W638" s="6"/>
      <c r="X638" s="6"/>
      <c r="Y638" s="6"/>
      <c r="Z638" s="6"/>
      <c r="AA638" s="6"/>
      <c r="AB638" s="6"/>
      <c r="AC638" s="6"/>
      <c r="AD638" s="6"/>
      <c r="AE638" s="6"/>
    </row>
    <row r="639">
      <c r="A639" s="7" t="str">
        <f t="shared" si="2"/>
        <v/>
      </c>
      <c r="B639" s="6"/>
      <c r="C639" s="6"/>
      <c r="D639" s="113"/>
      <c r="E639" s="6"/>
      <c r="F639" s="6"/>
      <c r="G639" s="6"/>
      <c r="H639" s="6"/>
      <c r="I639" s="6"/>
      <c r="J639" s="6"/>
      <c r="K639" s="6"/>
      <c r="L639" s="6"/>
      <c r="M639" s="6"/>
      <c r="N639" s="6"/>
      <c r="O639" s="6"/>
      <c r="P639" s="35"/>
      <c r="Q639" s="35"/>
      <c r="R639" s="6"/>
      <c r="S639" s="6"/>
      <c r="T639" s="6"/>
      <c r="U639" s="6"/>
      <c r="V639" s="6"/>
      <c r="W639" s="6"/>
      <c r="X639" s="6"/>
      <c r="Y639" s="6"/>
      <c r="Z639" s="6"/>
      <c r="AA639" s="6"/>
      <c r="AB639" s="6"/>
      <c r="AC639" s="6"/>
      <c r="AD639" s="6"/>
      <c r="AE639" s="6"/>
    </row>
    <row r="640">
      <c r="A640" s="7" t="str">
        <f t="shared" si="2"/>
        <v/>
      </c>
      <c r="B640" s="6"/>
      <c r="C640" s="6"/>
      <c r="D640" s="113"/>
      <c r="E640" s="6"/>
      <c r="F640" s="6"/>
      <c r="G640" s="6"/>
      <c r="H640" s="6"/>
      <c r="I640" s="6"/>
      <c r="J640" s="6"/>
      <c r="K640" s="6"/>
      <c r="L640" s="6"/>
      <c r="M640" s="6"/>
      <c r="N640" s="6"/>
      <c r="O640" s="6"/>
      <c r="P640" s="35"/>
      <c r="Q640" s="35"/>
      <c r="R640" s="6"/>
      <c r="S640" s="6"/>
      <c r="T640" s="6"/>
      <c r="U640" s="6"/>
      <c r="V640" s="6"/>
      <c r="W640" s="6"/>
      <c r="X640" s="6"/>
      <c r="Y640" s="6"/>
      <c r="Z640" s="6"/>
      <c r="AA640" s="6"/>
      <c r="AB640" s="6"/>
      <c r="AC640" s="6"/>
      <c r="AD640" s="6"/>
      <c r="AE640" s="6"/>
    </row>
    <row r="641">
      <c r="A641" s="7" t="str">
        <f t="shared" si="2"/>
        <v/>
      </c>
      <c r="B641" s="6"/>
      <c r="C641" s="6"/>
      <c r="D641" s="113"/>
      <c r="E641" s="6"/>
      <c r="F641" s="6"/>
      <c r="G641" s="6"/>
      <c r="H641" s="6"/>
      <c r="I641" s="6"/>
      <c r="J641" s="6"/>
      <c r="K641" s="6"/>
      <c r="L641" s="6"/>
      <c r="M641" s="6"/>
      <c r="N641" s="6"/>
      <c r="O641" s="6"/>
      <c r="P641" s="35"/>
      <c r="Q641" s="35"/>
      <c r="R641" s="6"/>
      <c r="S641" s="6"/>
      <c r="T641" s="6"/>
      <c r="U641" s="6"/>
      <c r="V641" s="6"/>
      <c r="W641" s="6"/>
      <c r="X641" s="6"/>
      <c r="Y641" s="6"/>
      <c r="Z641" s="6"/>
      <c r="AA641" s="6"/>
      <c r="AB641" s="6"/>
      <c r="AC641" s="6"/>
      <c r="AD641" s="6"/>
      <c r="AE641" s="6"/>
    </row>
    <row r="642">
      <c r="A642" s="7" t="str">
        <f t="shared" si="2"/>
        <v/>
      </c>
      <c r="B642" s="6"/>
      <c r="C642" s="6"/>
      <c r="D642" s="113"/>
      <c r="E642" s="6"/>
      <c r="F642" s="6"/>
      <c r="G642" s="6"/>
      <c r="H642" s="6"/>
      <c r="I642" s="6"/>
      <c r="J642" s="6"/>
      <c r="K642" s="6"/>
      <c r="L642" s="6"/>
      <c r="M642" s="6"/>
      <c r="N642" s="6"/>
      <c r="O642" s="6"/>
      <c r="P642" s="35"/>
      <c r="Q642" s="35"/>
      <c r="R642" s="6"/>
      <c r="S642" s="6"/>
      <c r="T642" s="6"/>
      <c r="U642" s="6"/>
      <c r="V642" s="6"/>
      <c r="W642" s="6"/>
      <c r="X642" s="6"/>
      <c r="Y642" s="6"/>
      <c r="Z642" s="6"/>
      <c r="AA642" s="6"/>
      <c r="AB642" s="6"/>
      <c r="AC642" s="6"/>
      <c r="AD642" s="6"/>
      <c r="AE642" s="6"/>
    </row>
    <row r="643">
      <c r="A643" s="7" t="str">
        <f t="shared" si="2"/>
        <v/>
      </c>
      <c r="B643" s="6"/>
      <c r="C643" s="6"/>
      <c r="D643" s="113"/>
      <c r="E643" s="6"/>
      <c r="F643" s="6"/>
      <c r="G643" s="6"/>
      <c r="H643" s="6"/>
      <c r="I643" s="6"/>
      <c r="J643" s="6"/>
      <c r="K643" s="6"/>
      <c r="L643" s="6"/>
      <c r="M643" s="6"/>
      <c r="N643" s="6"/>
      <c r="O643" s="6"/>
      <c r="P643" s="35"/>
      <c r="Q643" s="35"/>
      <c r="R643" s="6"/>
      <c r="S643" s="6"/>
      <c r="T643" s="6"/>
      <c r="U643" s="6"/>
      <c r="V643" s="6"/>
      <c r="W643" s="6"/>
      <c r="X643" s="6"/>
      <c r="Y643" s="6"/>
      <c r="Z643" s="6"/>
      <c r="AA643" s="6"/>
      <c r="AB643" s="6"/>
      <c r="AC643" s="6"/>
      <c r="AD643" s="6"/>
      <c r="AE643" s="6"/>
    </row>
    <row r="644">
      <c r="A644" s="7" t="str">
        <f t="shared" si="2"/>
        <v/>
      </c>
      <c r="B644" s="6"/>
      <c r="C644" s="6"/>
      <c r="D644" s="113"/>
      <c r="E644" s="6"/>
      <c r="F644" s="6"/>
      <c r="G644" s="6"/>
      <c r="H644" s="6"/>
      <c r="I644" s="6"/>
      <c r="J644" s="6"/>
      <c r="K644" s="6"/>
      <c r="L644" s="6"/>
      <c r="M644" s="6"/>
      <c r="N644" s="6"/>
      <c r="O644" s="6"/>
      <c r="P644" s="35"/>
      <c r="Q644" s="35"/>
      <c r="R644" s="6"/>
      <c r="S644" s="6"/>
      <c r="T644" s="6"/>
      <c r="U644" s="6"/>
      <c r="V644" s="6"/>
      <c r="W644" s="6"/>
      <c r="X644" s="6"/>
      <c r="Y644" s="6"/>
      <c r="Z644" s="6"/>
      <c r="AA644" s="6"/>
      <c r="AB644" s="6"/>
      <c r="AC644" s="6"/>
      <c r="AD644" s="6"/>
      <c r="AE644" s="6"/>
    </row>
    <row r="645">
      <c r="A645" s="7" t="str">
        <f t="shared" si="2"/>
        <v/>
      </c>
      <c r="B645" s="6"/>
      <c r="C645" s="6"/>
      <c r="D645" s="113"/>
      <c r="E645" s="6"/>
      <c r="F645" s="6"/>
      <c r="G645" s="6"/>
      <c r="H645" s="6"/>
      <c r="I645" s="6"/>
      <c r="J645" s="6"/>
      <c r="K645" s="6"/>
      <c r="L645" s="6"/>
      <c r="M645" s="6"/>
      <c r="N645" s="6"/>
      <c r="O645" s="6"/>
      <c r="P645" s="35"/>
      <c r="Q645" s="35"/>
      <c r="R645" s="6"/>
      <c r="S645" s="6"/>
      <c r="T645" s="6"/>
      <c r="U645" s="6"/>
      <c r="V645" s="6"/>
      <c r="W645" s="6"/>
      <c r="X645" s="6"/>
      <c r="Y645" s="6"/>
      <c r="Z645" s="6"/>
      <c r="AA645" s="6"/>
      <c r="AB645" s="6"/>
      <c r="AC645" s="6"/>
      <c r="AD645" s="6"/>
      <c r="AE645" s="6"/>
    </row>
    <row r="646">
      <c r="A646" s="7" t="str">
        <f t="shared" si="2"/>
        <v/>
      </c>
      <c r="B646" s="6"/>
      <c r="C646" s="6"/>
      <c r="D646" s="113"/>
      <c r="E646" s="6"/>
      <c r="F646" s="6"/>
      <c r="G646" s="6"/>
      <c r="H646" s="6"/>
      <c r="I646" s="6"/>
      <c r="J646" s="6"/>
      <c r="K646" s="6"/>
      <c r="L646" s="6"/>
      <c r="M646" s="6"/>
      <c r="N646" s="6"/>
      <c r="O646" s="6"/>
      <c r="P646" s="35"/>
      <c r="Q646" s="35"/>
      <c r="R646" s="6"/>
      <c r="S646" s="6"/>
      <c r="T646" s="6"/>
      <c r="U646" s="6"/>
      <c r="V646" s="6"/>
      <c r="W646" s="6"/>
      <c r="X646" s="6"/>
      <c r="Y646" s="6"/>
      <c r="Z646" s="6"/>
      <c r="AA646" s="6"/>
      <c r="AB646" s="6"/>
      <c r="AC646" s="6"/>
      <c r="AD646" s="6"/>
      <c r="AE646" s="6"/>
    </row>
    <row r="647">
      <c r="A647" s="7" t="str">
        <f t="shared" si="2"/>
        <v/>
      </c>
      <c r="B647" s="6"/>
      <c r="C647" s="6"/>
      <c r="D647" s="113"/>
      <c r="E647" s="6"/>
      <c r="F647" s="6"/>
      <c r="G647" s="6"/>
      <c r="H647" s="6"/>
      <c r="I647" s="6"/>
      <c r="J647" s="6"/>
      <c r="K647" s="6"/>
      <c r="L647" s="6"/>
      <c r="M647" s="6"/>
      <c r="N647" s="6"/>
      <c r="O647" s="6"/>
      <c r="P647" s="35"/>
      <c r="Q647" s="35"/>
      <c r="R647" s="6"/>
      <c r="S647" s="6"/>
      <c r="T647" s="6"/>
      <c r="U647" s="6"/>
      <c r="V647" s="6"/>
      <c r="W647" s="6"/>
      <c r="X647" s="6"/>
      <c r="Y647" s="6"/>
      <c r="Z647" s="6"/>
      <c r="AA647" s="6"/>
      <c r="AB647" s="6"/>
      <c r="AC647" s="6"/>
      <c r="AD647" s="6"/>
      <c r="AE647" s="6"/>
    </row>
    <row r="648">
      <c r="A648" s="7" t="str">
        <f t="shared" si="2"/>
        <v/>
      </c>
      <c r="B648" s="6"/>
      <c r="C648" s="6"/>
      <c r="D648" s="113"/>
      <c r="E648" s="6"/>
      <c r="F648" s="6"/>
      <c r="G648" s="6"/>
      <c r="H648" s="6"/>
      <c r="I648" s="6"/>
      <c r="J648" s="6"/>
      <c r="K648" s="6"/>
      <c r="L648" s="6"/>
      <c r="M648" s="6"/>
      <c r="N648" s="6"/>
      <c r="O648" s="6"/>
      <c r="P648" s="35"/>
      <c r="Q648" s="35"/>
      <c r="R648" s="6"/>
      <c r="S648" s="6"/>
      <c r="T648" s="6"/>
      <c r="U648" s="6"/>
      <c r="V648" s="6"/>
      <c r="W648" s="6"/>
      <c r="X648" s="6"/>
      <c r="Y648" s="6"/>
      <c r="Z648" s="6"/>
      <c r="AA648" s="6"/>
      <c r="AB648" s="6"/>
      <c r="AC648" s="6"/>
      <c r="AD648" s="6"/>
      <c r="AE648" s="6"/>
    </row>
    <row r="649">
      <c r="A649" s="7" t="str">
        <f t="shared" si="2"/>
        <v/>
      </c>
      <c r="B649" s="6"/>
      <c r="C649" s="6"/>
      <c r="D649" s="113"/>
      <c r="E649" s="6"/>
      <c r="F649" s="6"/>
      <c r="G649" s="6"/>
      <c r="H649" s="6"/>
      <c r="I649" s="6"/>
      <c r="J649" s="6"/>
      <c r="K649" s="6"/>
      <c r="L649" s="6"/>
      <c r="M649" s="6"/>
      <c r="N649" s="6"/>
      <c r="O649" s="6"/>
      <c r="P649" s="35"/>
      <c r="Q649" s="35"/>
      <c r="R649" s="6"/>
      <c r="S649" s="6"/>
      <c r="T649" s="6"/>
      <c r="U649" s="6"/>
      <c r="V649" s="6"/>
      <c r="W649" s="6"/>
      <c r="X649" s="6"/>
      <c r="Y649" s="6"/>
      <c r="Z649" s="6"/>
      <c r="AA649" s="6"/>
      <c r="AB649" s="6"/>
      <c r="AC649" s="6"/>
      <c r="AD649" s="6"/>
      <c r="AE649" s="6"/>
    </row>
    <row r="650">
      <c r="A650" s="7" t="str">
        <f t="shared" si="2"/>
        <v/>
      </c>
      <c r="B650" s="6"/>
      <c r="C650" s="6"/>
      <c r="D650" s="113"/>
      <c r="E650" s="6"/>
      <c r="F650" s="6"/>
      <c r="G650" s="6"/>
      <c r="H650" s="6"/>
      <c r="I650" s="6"/>
      <c r="J650" s="6"/>
      <c r="K650" s="6"/>
      <c r="L650" s="6"/>
      <c r="M650" s="6"/>
      <c r="N650" s="6"/>
      <c r="O650" s="6"/>
      <c r="P650" s="35"/>
      <c r="Q650" s="35"/>
      <c r="R650" s="6"/>
      <c r="S650" s="6"/>
      <c r="T650" s="6"/>
      <c r="U650" s="6"/>
      <c r="V650" s="6"/>
      <c r="W650" s="6"/>
      <c r="X650" s="6"/>
      <c r="Y650" s="6"/>
      <c r="Z650" s="6"/>
      <c r="AA650" s="6"/>
      <c r="AB650" s="6"/>
      <c r="AC650" s="6"/>
      <c r="AD650" s="6"/>
      <c r="AE650" s="6"/>
    </row>
    <row r="651">
      <c r="A651" s="7" t="str">
        <f t="shared" si="2"/>
        <v/>
      </c>
      <c r="B651" s="6"/>
      <c r="C651" s="6"/>
      <c r="D651" s="113"/>
      <c r="E651" s="6"/>
      <c r="F651" s="6"/>
      <c r="G651" s="6"/>
      <c r="H651" s="6"/>
      <c r="I651" s="6"/>
      <c r="J651" s="6"/>
      <c r="K651" s="6"/>
      <c r="L651" s="6"/>
      <c r="M651" s="6"/>
      <c r="N651" s="6"/>
      <c r="O651" s="6"/>
      <c r="P651" s="35"/>
      <c r="Q651" s="35"/>
      <c r="R651" s="6"/>
      <c r="S651" s="6"/>
      <c r="T651" s="6"/>
      <c r="U651" s="6"/>
      <c r="V651" s="6"/>
      <c r="W651" s="6"/>
      <c r="X651" s="6"/>
      <c r="Y651" s="6"/>
      <c r="Z651" s="6"/>
      <c r="AA651" s="6"/>
      <c r="AB651" s="6"/>
      <c r="AC651" s="6"/>
      <c r="AD651" s="6"/>
      <c r="AE651" s="6"/>
    </row>
    <row r="652">
      <c r="A652" s="7" t="str">
        <f t="shared" si="2"/>
        <v/>
      </c>
      <c r="B652" s="6"/>
      <c r="C652" s="6"/>
      <c r="D652" s="113"/>
      <c r="E652" s="6"/>
      <c r="F652" s="6"/>
      <c r="G652" s="6"/>
      <c r="H652" s="6"/>
      <c r="I652" s="6"/>
      <c r="J652" s="6"/>
      <c r="K652" s="6"/>
      <c r="L652" s="6"/>
      <c r="M652" s="6"/>
      <c r="N652" s="6"/>
      <c r="O652" s="6"/>
      <c r="P652" s="35"/>
      <c r="Q652" s="35"/>
      <c r="R652" s="6"/>
      <c r="S652" s="6"/>
      <c r="T652" s="6"/>
      <c r="U652" s="6"/>
      <c r="V652" s="6"/>
      <c r="W652" s="6"/>
      <c r="X652" s="6"/>
      <c r="Y652" s="6"/>
      <c r="Z652" s="6"/>
      <c r="AA652" s="6"/>
      <c r="AB652" s="6"/>
      <c r="AC652" s="6"/>
      <c r="AD652" s="6"/>
      <c r="AE652" s="6"/>
    </row>
    <row r="653">
      <c r="A653" s="7" t="str">
        <f t="shared" si="2"/>
        <v/>
      </c>
      <c r="B653" s="6"/>
      <c r="C653" s="6"/>
      <c r="D653" s="113"/>
      <c r="E653" s="6"/>
      <c r="F653" s="6"/>
      <c r="G653" s="6"/>
      <c r="H653" s="6"/>
      <c r="I653" s="6"/>
      <c r="J653" s="6"/>
      <c r="K653" s="6"/>
      <c r="L653" s="6"/>
      <c r="M653" s="6"/>
      <c r="N653" s="6"/>
      <c r="O653" s="6"/>
      <c r="P653" s="35"/>
      <c r="Q653" s="35"/>
      <c r="R653" s="6"/>
      <c r="S653" s="6"/>
      <c r="T653" s="6"/>
      <c r="U653" s="6"/>
      <c r="V653" s="6"/>
      <c r="W653" s="6"/>
      <c r="X653" s="6"/>
      <c r="Y653" s="6"/>
      <c r="Z653" s="6"/>
      <c r="AA653" s="6"/>
      <c r="AB653" s="6"/>
      <c r="AC653" s="6"/>
      <c r="AD653" s="6"/>
      <c r="AE653" s="6"/>
    </row>
    <row r="654">
      <c r="A654" s="7" t="str">
        <f t="shared" si="2"/>
        <v/>
      </c>
      <c r="B654" s="6"/>
      <c r="C654" s="6"/>
      <c r="D654" s="113"/>
      <c r="E654" s="6"/>
      <c r="F654" s="6"/>
      <c r="G654" s="6"/>
      <c r="H654" s="6"/>
      <c r="I654" s="6"/>
      <c r="J654" s="6"/>
      <c r="K654" s="6"/>
      <c r="L654" s="6"/>
      <c r="M654" s="6"/>
      <c r="N654" s="6"/>
      <c r="O654" s="6"/>
      <c r="P654" s="35"/>
      <c r="Q654" s="35"/>
      <c r="R654" s="6"/>
      <c r="S654" s="6"/>
      <c r="T654" s="6"/>
      <c r="U654" s="6"/>
      <c r="V654" s="6"/>
      <c r="W654" s="6"/>
      <c r="X654" s="6"/>
      <c r="Y654" s="6"/>
      <c r="Z654" s="6"/>
      <c r="AA654" s="6"/>
      <c r="AB654" s="6"/>
      <c r="AC654" s="6"/>
      <c r="AD654" s="6"/>
      <c r="AE654" s="6"/>
    </row>
    <row r="655">
      <c r="A655" s="7" t="str">
        <f t="shared" si="2"/>
        <v/>
      </c>
      <c r="B655" s="6"/>
      <c r="C655" s="6"/>
      <c r="D655" s="113"/>
      <c r="E655" s="6"/>
      <c r="F655" s="6"/>
      <c r="G655" s="6"/>
      <c r="H655" s="6"/>
      <c r="I655" s="6"/>
      <c r="J655" s="6"/>
      <c r="K655" s="6"/>
      <c r="L655" s="6"/>
      <c r="M655" s="6"/>
      <c r="N655" s="6"/>
      <c r="O655" s="6"/>
      <c r="P655" s="35"/>
      <c r="Q655" s="35"/>
      <c r="R655" s="6"/>
      <c r="S655" s="6"/>
      <c r="T655" s="6"/>
      <c r="U655" s="6"/>
      <c r="V655" s="6"/>
      <c r="W655" s="6"/>
      <c r="X655" s="6"/>
      <c r="Y655" s="6"/>
      <c r="Z655" s="6"/>
      <c r="AA655" s="6"/>
      <c r="AB655" s="6"/>
      <c r="AC655" s="6"/>
      <c r="AD655" s="6"/>
      <c r="AE655" s="6"/>
    </row>
    <row r="656">
      <c r="A656" s="7" t="str">
        <f t="shared" si="2"/>
        <v/>
      </c>
      <c r="B656" s="6"/>
      <c r="C656" s="6"/>
      <c r="D656" s="113"/>
      <c r="E656" s="6"/>
      <c r="F656" s="6"/>
      <c r="G656" s="6"/>
      <c r="H656" s="6"/>
      <c r="I656" s="6"/>
      <c r="J656" s="6"/>
      <c r="K656" s="6"/>
      <c r="L656" s="6"/>
      <c r="M656" s="6"/>
      <c r="N656" s="6"/>
      <c r="O656" s="6"/>
      <c r="P656" s="35"/>
      <c r="Q656" s="35"/>
      <c r="R656" s="6"/>
      <c r="S656" s="6"/>
      <c r="T656" s="6"/>
      <c r="U656" s="6"/>
      <c r="V656" s="6"/>
      <c r="W656" s="6"/>
      <c r="X656" s="6"/>
      <c r="Y656" s="6"/>
      <c r="Z656" s="6"/>
      <c r="AA656" s="6"/>
      <c r="AB656" s="6"/>
      <c r="AC656" s="6"/>
      <c r="AD656" s="6"/>
      <c r="AE656" s="6"/>
    </row>
    <row r="657">
      <c r="A657" s="7" t="str">
        <f t="shared" si="2"/>
        <v/>
      </c>
      <c r="B657" s="6"/>
      <c r="C657" s="6"/>
      <c r="D657" s="113"/>
      <c r="E657" s="6"/>
      <c r="F657" s="6"/>
      <c r="G657" s="6"/>
      <c r="H657" s="6"/>
      <c r="I657" s="6"/>
      <c r="J657" s="6"/>
      <c r="K657" s="6"/>
      <c r="L657" s="6"/>
      <c r="M657" s="6"/>
      <c r="N657" s="6"/>
      <c r="O657" s="6"/>
      <c r="P657" s="35"/>
      <c r="Q657" s="35"/>
      <c r="R657" s="6"/>
      <c r="S657" s="6"/>
      <c r="T657" s="6"/>
      <c r="U657" s="6"/>
      <c r="V657" s="6"/>
      <c r="W657" s="6"/>
      <c r="X657" s="6"/>
      <c r="Y657" s="6"/>
      <c r="Z657" s="6"/>
      <c r="AA657" s="6"/>
      <c r="AB657" s="6"/>
      <c r="AC657" s="6"/>
      <c r="AD657" s="6"/>
      <c r="AE657" s="6"/>
    </row>
    <row r="658">
      <c r="A658" s="7" t="str">
        <f t="shared" si="2"/>
        <v/>
      </c>
      <c r="B658" s="6"/>
      <c r="C658" s="6"/>
      <c r="D658" s="113"/>
      <c r="E658" s="6"/>
      <c r="F658" s="6"/>
      <c r="G658" s="6"/>
      <c r="H658" s="6"/>
      <c r="I658" s="6"/>
      <c r="J658" s="6"/>
      <c r="K658" s="6"/>
      <c r="L658" s="6"/>
      <c r="M658" s="6"/>
      <c r="N658" s="6"/>
      <c r="O658" s="6"/>
      <c r="P658" s="35"/>
      <c r="Q658" s="35"/>
      <c r="R658" s="6"/>
      <c r="S658" s="6"/>
      <c r="T658" s="6"/>
      <c r="U658" s="6"/>
      <c r="V658" s="6"/>
      <c r="W658" s="6"/>
      <c r="X658" s="6"/>
      <c r="Y658" s="6"/>
      <c r="Z658" s="6"/>
      <c r="AA658" s="6"/>
      <c r="AB658" s="6"/>
      <c r="AC658" s="6"/>
      <c r="AD658" s="6"/>
      <c r="AE658" s="6"/>
    </row>
    <row r="659">
      <c r="A659" s="7" t="str">
        <f t="shared" si="2"/>
        <v/>
      </c>
      <c r="B659" s="6"/>
      <c r="C659" s="6"/>
      <c r="D659" s="113"/>
      <c r="E659" s="6"/>
      <c r="F659" s="6"/>
      <c r="G659" s="6"/>
      <c r="H659" s="6"/>
      <c r="I659" s="6"/>
      <c r="J659" s="6"/>
      <c r="K659" s="6"/>
      <c r="L659" s="6"/>
      <c r="M659" s="6"/>
      <c r="N659" s="6"/>
      <c r="O659" s="6"/>
      <c r="P659" s="35"/>
      <c r="Q659" s="35"/>
      <c r="R659" s="6"/>
      <c r="S659" s="6"/>
      <c r="T659" s="6"/>
      <c r="U659" s="6"/>
      <c r="V659" s="6"/>
      <c r="W659" s="6"/>
      <c r="X659" s="6"/>
      <c r="Y659" s="6"/>
      <c r="Z659" s="6"/>
      <c r="AA659" s="6"/>
      <c r="AB659" s="6"/>
      <c r="AC659" s="6"/>
      <c r="AD659" s="6"/>
      <c r="AE659" s="6"/>
    </row>
    <row r="660">
      <c r="A660" s="7" t="str">
        <f t="shared" si="2"/>
        <v/>
      </c>
      <c r="B660" s="6"/>
      <c r="C660" s="6"/>
      <c r="D660" s="113"/>
      <c r="E660" s="6"/>
      <c r="F660" s="6"/>
      <c r="G660" s="6"/>
      <c r="H660" s="6"/>
      <c r="I660" s="6"/>
      <c r="J660" s="6"/>
      <c r="K660" s="6"/>
      <c r="L660" s="6"/>
      <c r="M660" s="6"/>
      <c r="N660" s="6"/>
      <c r="O660" s="6"/>
      <c r="P660" s="35"/>
      <c r="Q660" s="35"/>
      <c r="R660" s="6"/>
      <c r="S660" s="6"/>
      <c r="T660" s="6"/>
      <c r="U660" s="6"/>
      <c r="V660" s="6"/>
      <c r="W660" s="6"/>
      <c r="X660" s="6"/>
      <c r="Y660" s="6"/>
      <c r="Z660" s="6"/>
      <c r="AA660" s="6"/>
      <c r="AB660" s="6"/>
      <c r="AC660" s="6"/>
      <c r="AD660" s="6"/>
      <c r="AE660" s="6"/>
    </row>
    <row r="661">
      <c r="A661" s="7" t="str">
        <f t="shared" si="2"/>
        <v/>
      </c>
      <c r="B661" s="6"/>
      <c r="C661" s="6"/>
      <c r="D661" s="113"/>
      <c r="E661" s="6"/>
      <c r="F661" s="6"/>
      <c r="G661" s="6"/>
      <c r="H661" s="6"/>
      <c r="I661" s="6"/>
      <c r="J661" s="6"/>
      <c r="K661" s="6"/>
      <c r="L661" s="6"/>
      <c r="M661" s="6"/>
      <c r="N661" s="6"/>
      <c r="O661" s="6"/>
      <c r="P661" s="35"/>
      <c r="Q661" s="35"/>
      <c r="R661" s="6"/>
      <c r="S661" s="6"/>
      <c r="T661" s="6"/>
      <c r="U661" s="6"/>
      <c r="V661" s="6"/>
      <c r="W661" s="6"/>
      <c r="X661" s="6"/>
      <c r="Y661" s="6"/>
      <c r="Z661" s="6"/>
      <c r="AA661" s="6"/>
      <c r="AB661" s="6"/>
      <c r="AC661" s="6"/>
      <c r="AD661" s="6"/>
      <c r="AE661" s="6"/>
    </row>
    <row r="662">
      <c r="A662" s="7" t="str">
        <f t="shared" si="2"/>
        <v/>
      </c>
      <c r="B662" s="6"/>
      <c r="C662" s="6"/>
      <c r="D662" s="113"/>
      <c r="E662" s="6"/>
      <c r="F662" s="6"/>
      <c r="G662" s="6"/>
      <c r="H662" s="6"/>
      <c r="I662" s="6"/>
      <c r="J662" s="6"/>
      <c r="K662" s="6"/>
      <c r="L662" s="6"/>
      <c r="M662" s="6"/>
      <c r="N662" s="6"/>
      <c r="O662" s="6"/>
      <c r="P662" s="35"/>
      <c r="Q662" s="35"/>
      <c r="R662" s="6"/>
      <c r="S662" s="6"/>
      <c r="T662" s="6"/>
      <c r="U662" s="6"/>
      <c r="V662" s="6"/>
      <c r="W662" s="6"/>
      <c r="X662" s="6"/>
      <c r="Y662" s="6"/>
      <c r="Z662" s="6"/>
      <c r="AA662" s="6"/>
      <c r="AB662" s="6"/>
      <c r="AC662" s="6"/>
      <c r="AD662" s="6"/>
      <c r="AE662" s="6"/>
    </row>
    <row r="663">
      <c r="A663" s="7" t="str">
        <f t="shared" si="2"/>
        <v/>
      </c>
      <c r="B663" s="6"/>
      <c r="C663" s="6"/>
      <c r="D663" s="113"/>
      <c r="E663" s="6"/>
      <c r="F663" s="6"/>
      <c r="G663" s="6"/>
      <c r="H663" s="6"/>
      <c r="I663" s="6"/>
      <c r="J663" s="6"/>
      <c r="K663" s="6"/>
      <c r="L663" s="6"/>
      <c r="M663" s="6"/>
      <c r="N663" s="6"/>
      <c r="O663" s="6"/>
      <c r="P663" s="35"/>
      <c r="Q663" s="35"/>
      <c r="R663" s="6"/>
      <c r="S663" s="6"/>
      <c r="T663" s="6"/>
      <c r="U663" s="6"/>
      <c r="V663" s="6"/>
      <c r="W663" s="6"/>
      <c r="X663" s="6"/>
      <c r="Y663" s="6"/>
      <c r="Z663" s="6"/>
      <c r="AA663" s="6"/>
      <c r="AB663" s="6"/>
      <c r="AC663" s="6"/>
      <c r="AD663" s="6"/>
      <c r="AE663" s="6"/>
    </row>
    <row r="664">
      <c r="A664" s="7" t="str">
        <f t="shared" si="2"/>
        <v/>
      </c>
      <c r="B664" s="6"/>
      <c r="C664" s="6"/>
      <c r="D664" s="113"/>
      <c r="E664" s="6"/>
      <c r="F664" s="6"/>
      <c r="G664" s="6"/>
      <c r="H664" s="6"/>
      <c r="I664" s="6"/>
      <c r="J664" s="6"/>
      <c r="K664" s="6"/>
      <c r="L664" s="6"/>
      <c r="M664" s="6"/>
      <c r="N664" s="6"/>
      <c r="O664" s="6"/>
      <c r="P664" s="35"/>
      <c r="Q664" s="35"/>
      <c r="R664" s="6"/>
      <c r="S664" s="6"/>
      <c r="T664" s="6"/>
      <c r="U664" s="6"/>
      <c r="V664" s="6"/>
      <c r="W664" s="6"/>
      <c r="X664" s="6"/>
      <c r="Y664" s="6"/>
      <c r="Z664" s="6"/>
      <c r="AA664" s="6"/>
      <c r="AB664" s="6"/>
      <c r="AC664" s="6"/>
      <c r="AD664" s="6"/>
      <c r="AE664" s="6"/>
    </row>
    <row r="665">
      <c r="A665" s="7" t="str">
        <f t="shared" si="2"/>
        <v/>
      </c>
      <c r="B665" s="6"/>
      <c r="C665" s="6"/>
      <c r="D665" s="113"/>
      <c r="E665" s="6"/>
      <c r="F665" s="6"/>
      <c r="G665" s="6"/>
      <c r="H665" s="6"/>
      <c r="I665" s="6"/>
      <c r="J665" s="6"/>
      <c r="K665" s="6"/>
      <c r="L665" s="6"/>
      <c r="M665" s="6"/>
      <c r="N665" s="6"/>
      <c r="O665" s="6"/>
      <c r="P665" s="35"/>
      <c r="Q665" s="35"/>
      <c r="R665" s="6"/>
      <c r="S665" s="6"/>
      <c r="T665" s="6"/>
      <c r="U665" s="6"/>
      <c r="V665" s="6"/>
      <c r="W665" s="6"/>
      <c r="X665" s="6"/>
      <c r="Y665" s="6"/>
      <c r="Z665" s="6"/>
      <c r="AA665" s="6"/>
      <c r="AB665" s="6"/>
      <c r="AC665" s="6"/>
      <c r="AD665" s="6"/>
      <c r="AE665" s="6"/>
    </row>
    <row r="666">
      <c r="A666" s="7" t="str">
        <f t="shared" si="2"/>
        <v/>
      </c>
      <c r="B666" s="6"/>
      <c r="C666" s="6"/>
      <c r="D666" s="113"/>
      <c r="E666" s="6"/>
      <c r="F666" s="6"/>
      <c r="G666" s="6"/>
      <c r="H666" s="6"/>
      <c r="I666" s="6"/>
      <c r="J666" s="6"/>
      <c r="K666" s="6"/>
      <c r="L666" s="6"/>
      <c r="M666" s="6"/>
      <c r="N666" s="6"/>
      <c r="O666" s="6"/>
      <c r="P666" s="35"/>
      <c r="Q666" s="35"/>
      <c r="R666" s="6"/>
      <c r="S666" s="6"/>
      <c r="T666" s="6"/>
      <c r="U666" s="6"/>
      <c r="V666" s="6"/>
      <c r="W666" s="6"/>
      <c r="X666" s="6"/>
      <c r="Y666" s="6"/>
      <c r="Z666" s="6"/>
      <c r="AA666" s="6"/>
      <c r="AB666" s="6"/>
      <c r="AC666" s="6"/>
      <c r="AD666" s="6"/>
      <c r="AE666" s="6"/>
    </row>
    <row r="667">
      <c r="A667" s="7" t="str">
        <f t="shared" si="2"/>
        <v/>
      </c>
      <c r="B667" s="6"/>
      <c r="C667" s="6"/>
      <c r="D667" s="113"/>
      <c r="E667" s="6"/>
      <c r="F667" s="6"/>
      <c r="G667" s="6"/>
      <c r="H667" s="6"/>
      <c r="I667" s="6"/>
      <c r="J667" s="6"/>
      <c r="K667" s="6"/>
      <c r="L667" s="6"/>
      <c r="M667" s="6"/>
      <c r="N667" s="6"/>
      <c r="O667" s="6"/>
      <c r="P667" s="35"/>
      <c r="Q667" s="35"/>
      <c r="R667" s="6"/>
      <c r="S667" s="6"/>
      <c r="T667" s="6"/>
      <c r="U667" s="6"/>
      <c r="V667" s="6"/>
      <c r="W667" s="6"/>
      <c r="X667" s="6"/>
      <c r="Y667" s="6"/>
      <c r="Z667" s="6"/>
      <c r="AA667" s="6"/>
      <c r="AB667" s="6"/>
      <c r="AC667" s="6"/>
      <c r="AD667" s="6"/>
      <c r="AE667" s="6"/>
    </row>
    <row r="668">
      <c r="A668" s="7" t="str">
        <f t="shared" si="2"/>
        <v/>
      </c>
      <c r="B668" s="6"/>
      <c r="C668" s="6"/>
      <c r="D668" s="113"/>
      <c r="E668" s="6"/>
      <c r="F668" s="6"/>
      <c r="G668" s="6"/>
      <c r="H668" s="6"/>
      <c r="I668" s="6"/>
      <c r="J668" s="6"/>
      <c r="K668" s="6"/>
      <c r="L668" s="6"/>
      <c r="M668" s="6"/>
      <c r="N668" s="6"/>
      <c r="O668" s="6"/>
      <c r="P668" s="35"/>
      <c r="Q668" s="35"/>
      <c r="R668" s="6"/>
      <c r="S668" s="6"/>
      <c r="T668" s="6"/>
      <c r="U668" s="6"/>
      <c r="V668" s="6"/>
      <c r="W668" s="6"/>
      <c r="X668" s="6"/>
      <c r="Y668" s="6"/>
      <c r="Z668" s="6"/>
      <c r="AA668" s="6"/>
      <c r="AB668" s="6"/>
      <c r="AC668" s="6"/>
      <c r="AD668" s="6"/>
      <c r="AE668" s="6"/>
    </row>
    <row r="669">
      <c r="A669" s="7" t="str">
        <f t="shared" si="2"/>
        <v/>
      </c>
      <c r="B669" s="6"/>
      <c r="C669" s="6"/>
      <c r="D669" s="113"/>
      <c r="E669" s="6"/>
      <c r="F669" s="6"/>
      <c r="G669" s="6"/>
      <c r="H669" s="6"/>
      <c r="I669" s="6"/>
      <c r="J669" s="6"/>
      <c r="K669" s="6"/>
      <c r="L669" s="6"/>
      <c r="M669" s="6"/>
      <c r="N669" s="6"/>
      <c r="O669" s="6"/>
      <c r="P669" s="35"/>
      <c r="Q669" s="35"/>
      <c r="R669" s="6"/>
      <c r="S669" s="6"/>
      <c r="T669" s="6"/>
      <c r="U669" s="6"/>
      <c r="V669" s="6"/>
      <c r="W669" s="6"/>
      <c r="X669" s="6"/>
      <c r="Y669" s="6"/>
      <c r="Z669" s="6"/>
      <c r="AA669" s="6"/>
      <c r="AB669" s="6"/>
      <c r="AC669" s="6"/>
      <c r="AD669" s="6"/>
      <c r="AE669" s="6"/>
    </row>
    <row r="670">
      <c r="A670" s="7" t="str">
        <f t="shared" si="2"/>
        <v/>
      </c>
      <c r="B670" s="6"/>
      <c r="C670" s="6"/>
      <c r="D670" s="113"/>
      <c r="E670" s="6"/>
      <c r="F670" s="6"/>
      <c r="G670" s="6"/>
      <c r="H670" s="6"/>
      <c r="I670" s="6"/>
      <c r="J670" s="6"/>
      <c r="K670" s="6"/>
      <c r="L670" s="6"/>
      <c r="M670" s="6"/>
      <c r="N670" s="6"/>
      <c r="O670" s="6"/>
      <c r="P670" s="35"/>
      <c r="Q670" s="35"/>
      <c r="R670" s="6"/>
      <c r="S670" s="6"/>
      <c r="T670" s="6"/>
      <c r="U670" s="6"/>
      <c r="V670" s="6"/>
      <c r="W670" s="6"/>
      <c r="X670" s="6"/>
      <c r="Y670" s="6"/>
      <c r="Z670" s="6"/>
      <c r="AA670" s="6"/>
      <c r="AB670" s="6"/>
      <c r="AC670" s="6"/>
      <c r="AD670" s="6"/>
      <c r="AE670" s="6"/>
    </row>
    <row r="671">
      <c r="A671" s="7" t="str">
        <f t="shared" si="2"/>
        <v/>
      </c>
      <c r="B671" s="6"/>
      <c r="C671" s="6"/>
      <c r="D671" s="113"/>
      <c r="E671" s="6"/>
      <c r="F671" s="6"/>
      <c r="G671" s="6"/>
      <c r="H671" s="6"/>
      <c r="I671" s="6"/>
      <c r="J671" s="6"/>
      <c r="K671" s="6"/>
      <c r="L671" s="6"/>
      <c r="M671" s="6"/>
      <c r="N671" s="6"/>
      <c r="O671" s="6"/>
      <c r="P671" s="35"/>
      <c r="Q671" s="35"/>
      <c r="R671" s="6"/>
      <c r="S671" s="6"/>
      <c r="T671" s="6"/>
      <c r="U671" s="6"/>
      <c r="V671" s="6"/>
      <c r="W671" s="6"/>
      <c r="X671" s="6"/>
      <c r="Y671" s="6"/>
      <c r="Z671" s="6"/>
      <c r="AA671" s="6"/>
      <c r="AB671" s="6"/>
      <c r="AC671" s="6"/>
      <c r="AD671" s="6"/>
      <c r="AE671" s="6"/>
    </row>
    <row r="672">
      <c r="A672" s="7" t="str">
        <f t="shared" si="2"/>
        <v/>
      </c>
      <c r="B672" s="6"/>
      <c r="C672" s="6"/>
      <c r="D672" s="113"/>
      <c r="E672" s="6"/>
      <c r="F672" s="6"/>
      <c r="G672" s="6"/>
      <c r="H672" s="6"/>
      <c r="I672" s="6"/>
      <c r="J672" s="6"/>
      <c r="K672" s="6"/>
      <c r="L672" s="6"/>
      <c r="M672" s="6"/>
      <c r="N672" s="6"/>
      <c r="O672" s="6"/>
      <c r="P672" s="35"/>
      <c r="Q672" s="35"/>
      <c r="R672" s="6"/>
      <c r="S672" s="6"/>
      <c r="T672" s="6"/>
      <c r="U672" s="6"/>
      <c r="V672" s="6"/>
      <c r="W672" s="6"/>
      <c r="X672" s="6"/>
      <c r="Y672" s="6"/>
      <c r="Z672" s="6"/>
      <c r="AA672" s="6"/>
      <c r="AB672" s="6"/>
      <c r="AC672" s="6"/>
      <c r="AD672" s="6"/>
      <c r="AE672" s="6"/>
    </row>
    <row r="673">
      <c r="A673" s="7" t="str">
        <f t="shared" si="2"/>
        <v/>
      </c>
      <c r="B673" s="6"/>
      <c r="C673" s="6"/>
      <c r="D673" s="113"/>
      <c r="E673" s="6"/>
      <c r="F673" s="6"/>
      <c r="G673" s="6"/>
      <c r="H673" s="6"/>
      <c r="I673" s="6"/>
      <c r="J673" s="6"/>
      <c r="K673" s="6"/>
      <c r="L673" s="6"/>
      <c r="M673" s="6"/>
      <c r="N673" s="6"/>
      <c r="O673" s="6"/>
      <c r="P673" s="35"/>
      <c r="Q673" s="35"/>
      <c r="R673" s="6"/>
      <c r="S673" s="6"/>
      <c r="T673" s="6"/>
      <c r="U673" s="6"/>
      <c r="V673" s="6"/>
      <c r="W673" s="6"/>
      <c r="X673" s="6"/>
      <c r="Y673" s="6"/>
      <c r="Z673" s="6"/>
      <c r="AA673" s="6"/>
      <c r="AB673" s="6"/>
      <c r="AC673" s="6"/>
      <c r="AD673" s="6"/>
      <c r="AE673" s="6"/>
    </row>
    <row r="674">
      <c r="A674" s="7" t="str">
        <f t="shared" si="2"/>
        <v/>
      </c>
      <c r="B674" s="6"/>
      <c r="C674" s="6"/>
      <c r="D674" s="113"/>
      <c r="E674" s="6"/>
      <c r="F674" s="6"/>
      <c r="G674" s="6"/>
      <c r="H674" s="6"/>
      <c r="I674" s="6"/>
      <c r="J674" s="6"/>
      <c r="K674" s="6"/>
      <c r="L674" s="6"/>
      <c r="M674" s="6"/>
      <c r="N674" s="6"/>
      <c r="O674" s="6"/>
      <c r="P674" s="35"/>
      <c r="Q674" s="35"/>
      <c r="R674" s="6"/>
      <c r="S674" s="6"/>
      <c r="T674" s="6"/>
      <c r="U674" s="6"/>
      <c r="V674" s="6"/>
      <c r="W674" s="6"/>
      <c r="X674" s="6"/>
      <c r="Y674" s="6"/>
      <c r="Z674" s="6"/>
      <c r="AA674" s="6"/>
      <c r="AB674" s="6"/>
      <c r="AC674" s="6"/>
      <c r="AD674" s="6"/>
      <c r="AE674" s="6"/>
    </row>
    <row r="675">
      <c r="A675" s="7" t="str">
        <f t="shared" si="2"/>
        <v/>
      </c>
      <c r="B675" s="6"/>
      <c r="C675" s="6"/>
      <c r="D675" s="113"/>
      <c r="E675" s="6"/>
      <c r="F675" s="6"/>
      <c r="G675" s="6"/>
      <c r="H675" s="6"/>
      <c r="I675" s="6"/>
      <c r="J675" s="6"/>
      <c r="K675" s="6"/>
      <c r="L675" s="6"/>
      <c r="M675" s="6"/>
      <c r="N675" s="6"/>
      <c r="O675" s="6"/>
      <c r="P675" s="35"/>
      <c r="Q675" s="35"/>
      <c r="R675" s="6"/>
      <c r="S675" s="6"/>
      <c r="T675" s="6"/>
      <c r="U675" s="6"/>
      <c r="V675" s="6"/>
      <c r="W675" s="6"/>
      <c r="X675" s="6"/>
      <c r="Y675" s="6"/>
      <c r="Z675" s="6"/>
      <c r="AA675" s="6"/>
      <c r="AB675" s="6"/>
      <c r="AC675" s="6"/>
      <c r="AD675" s="6"/>
      <c r="AE675" s="6"/>
    </row>
    <row r="676">
      <c r="A676" s="7" t="str">
        <f t="shared" si="2"/>
        <v/>
      </c>
      <c r="B676" s="6"/>
      <c r="C676" s="6"/>
      <c r="D676" s="113"/>
      <c r="E676" s="6"/>
      <c r="F676" s="6"/>
      <c r="G676" s="6"/>
      <c r="H676" s="6"/>
      <c r="I676" s="6"/>
      <c r="J676" s="6"/>
      <c r="K676" s="6"/>
      <c r="L676" s="6"/>
      <c r="M676" s="6"/>
      <c r="N676" s="6"/>
      <c r="O676" s="6"/>
      <c r="P676" s="35"/>
      <c r="Q676" s="35"/>
      <c r="R676" s="6"/>
      <c r="S676" s="6"/>
      <c r="T676" s="6"/>
      <c r="U676" s="6"/>
      <c r="V676" s="6"/>
      <c r="W676" s="6"/>
      <c r="X676" s="6"/>
      <c r="Y676" s="6"/>
      <c r="Z676" s="6"/>
      <c r="AA676" s="6"/>
      <c r="AB676" s="6"/>
      <c r="AC676" s="6"/>
      <c r="AD676" s="6"/>
      <c r="AE676" s="6"/>
    </row>
    <row r="677">
      <c r="A677" s="7" t="str">
        <f t="shared" si="2"/>
        <v/>
      </c>
      <c r="B677" s="6"/>
      <c r="C677" s="6"/>
      <c r="D677" s="113"/>
      <c r="E677" s="6"/>
      <c r="F677" s="6"/>
      <c r="G677" s="6"/>
      <c r="H677" s="6"/>
      <c r="I677" s="6"/>
      <c r="J677" s="6"/>
      <c r="K677" s="6"/>
      <c r="L677" s="6"/>
      <c r="M677" s="6"/>
      <c r="N677" s="6"/>
      <c r="O677" s="6"/>
      <c r="P677" s="35"/>
      <c r="Q677" s="35"/>
      <c r="R677" s="6"/>
      <c r="S677" s="6"/>
      <c r="T677" s="6"/>
      <c r="U677" s="6"/>
      <c r="V677" s="6"/>
      <c r="W677" s="6"/>
      <c r="X677" s="6"/>
      <c r="Y677" s="6"/>
      <c r="Z677" s="6"/>
      <c r="AA677" s="6"/>
      <c r="AB677" s="6"/>
      <c r="AC677" s="6"/>
      <c r="AD677" s="6"/>
      <c r="AE677" s="6"/>
    </row>
    <row r="678">
      <c r="A678" s="7" t="str">
        <f t="shared" si="2"/>
        <v/>
      </c>
      <c r="B678" s="6"/>
      <c r="C678" s="6"/>
      <c r="D678" s="113"/>
      <c r="E678" s="6"/>
      <c r="F678" s="6"/>
      <c r="G678" s="6"/>
      <c r="H678" s="6"/>
      <c r="I678" s="6"/>
      <c r="J678" s="6"/>
      <c r="K678" s="6"/>
      <c r="L678" s="6"/>
      <c r="M678" s="6"/>
      <c r="N678" s="6"/>
      <c r="O678" s="6"/>
      <c r="P678" s="35"/>
      <c r="Q678" s="35"/>
      <c r="R678" s="6"/>
      <c r="S678" s="6"/>
      <c r="T678" s="6"/>
      <c r="U678" s="6"/>
      <c r="V678" s="6"/>
      <c r="W678" s="6"/>
      <c r="X678" s="6"/>
      <c r="Y678" s="6"/>
      <c r="Z678" s="6"/>
      <c r="AA678" s="6"/>
      <c r="AB678" s="6"/>
      <c r="AC678" s="6"/>
      <c r="AD678" s="6"/>
      <c r="AE678" s="6"/>
    </row>
    <row r="679">
      <c r="A679" s="7" t="str">
        <f t="shared" si="2"/>
        <v/>
      </c>
      <c r="B679" s="6"/>
      <c r="C679" s="6"/>
      <c r="D679" s="113"/>
      <c r="E679" s="6"/>
      <c r="F679" s="6"/>
      <c r="G679" s="6"/>
      <c r="H679" s="6"/>
      <c r="I679" s="6"/>
      <c r="J679" s="6"/>
      <c r="K679" s="6"/>
      <c r="L679" s="6"/>
      <c r="M679" s="6"/>
      <c r="N679" s="6"/>
      <c r="O679" s="6"/>
      <c r="P679" s="35"/>
      <c r="Q679" s="35"/>
      <c r="R679" s="6"/>
      <c r="S679" s="6"/>
      <c r="T679" s="6"/>
      <c r="U679" s="6"/>
      <c r="V679" s="6"/>
      <c r="W679" s="6"/>
      <c r="X679" s="6"/>
      <c r="Y679" s="6"/>
      <c r="Z679" s="6"/>
      <c r="AA679" s="6"/>
      <c r="AB679" s="6"/>
      <c r="AC679" s="6"/>
      <c r="AD679" s="6"/>
      <c r="AE679" s="6"/>
    </row>
    <row r="680">
      <c r="A680" s="7" t="str">
        <f t="shared" si="2"/>
        <v/>
      </c>
      <c r="B680" s="6"/>
      <c r="C680" s="6"/>
      <c r="D680" s="113"/>
      <c r="E680" s="6"/>
      <c r="F680" s="6"/>
      <c r="G680" s="6"/>
      <c r="H680" s="6"/>
      <c r="I680" s="6"/>
      <c r="J680" s="6"/>
      <c r="K680" s="6"/>
      <c r="L680" s="6"/>
      <c r="M680" s="6"/>
      <c r="N680" s="6"/>
      <c r="O680" s="6"/>
      <c r="P680" s="35"/>
      <c r="Q680" s="35"/>
      <c r="R680" s="6"/>
      <c r="S680" s="6"/>
      <c r="T680" s="6"/>
      <c r="U680" s="6"/>
      <c r="V680" s="6"/>
      <c r="W680" s="6"/>
      <c r="X680" s="6"/>
      <c r="Y680" s="6"/>
      <c r="Z680" s="6"/>
      <c r="AA680" s="6"/>
      <c r="AB680" s="6"/>
      <c r="AC680" s="6"/>
      <c r="AD680" s="6"/>
      <c r="AE680" s="6"/>
    </row>
    <row r="681">
      <c r="A681" s="7" t="str">
        <f t="shared" si="2"/>
        <v/>
      </c>
      <c r="B681" s="6"/>
      <c r="C681" s="6"/>
      <c r="D681" s="113"/>
      <c r="E681" s="6"/>
      <c r="F681" s="6"/>
      <c r="G681" s="6"/>
      <c r="H681" s="6"/>
      <c r="I681" s="6"/>
      <c r="J681" s="6"/>
      <c r="K681" s="6"/>
      <c r="L681" s="6"/>
      <c r="M681" s="6"/>
      <c r="N681" s="6"/>
      <c r="O681" s="6"/>
      <c r="P681" s="35"/>
      <c r="Q681" s="35"/>
      <c r="R681" s="6"/>
      <c r="S681" s="6"/>
      <c r="T681" s="6"/>
      <c r="U681" s="6"/>
      <c r="V681" s="6"/>
      <c r="W681" s="6"/>
      <c r="X681" s="6"/>
      <c r="Y681" s="6"/>
      <c r="Z681" s="6"/>
      <c r="AA681" s="6"/>
      <c r="AB681" s="6"/>
      <c r="AC681" s="6"/>
      <c r="AD681" s="6"/>
      <c r="AE681" s="6"/>
    </row>
    <row r="682">
      <c r="A682" s="7" t="str">
        <f t="shared" si="2"/>
        <v/>
      </c>
      <c r="B682" s="6"/>
      <c r="C682" s="6"/>
      <c r="D682" s="113"/>
      <c r="E682" s="6"/>
      <c r="F682" s="6"/>
      <c r="G682" s="6"/>
      <c r="H682" s="6"/>
      <c r="I682" s="6"/>
      <c r="J682" s="6"/>
      <c r="K682" s="6"/>
      <c r="L682" s="6"/>
      <c r="M682" s="6"/>
      <c r="N682" s="6"/>
      <c r="O682" s="6"/>
      <c r="P682" s="35"/>
      <c r="Q682" s="35"/>
      <c r="R682" s="6"/>
      <c r="S682" s="6"/>
      <c r="T682" s="6"/>
      <c r="U682" s="6"/>
      <c r="V682" s="6"/>
      <c r="W682" s="6"/>
      <c r="X682" s="6"/>
      <c r="Y682" s="6"/>
      <c r="Z682" s="6"/>
      <c r="AA682" s="6"/>
      <c r="AB682" s="6"/>
      <c r="AC682" s="6"/>
      <c r="AD682" s="6"/>
      <c r="AE682" s="6"/>
    </row>
    <row r="683">
      <c r="A683" s="7" t="str">
        <f t="shared" si="2"/>
        <v/>
      </c>
      <c r="B683" s="6"/>
      <c r="C683" s="6"/>
      <c r="D683" s="113"/>
      <c r="E683" s="6"/>
      <c r="F683" s="6"/>
      <c r="G683" s="6"/>
      <c r="H683" s="6"/>
      <c r="I683" s="6"/>
      <c r="J683" s="6"/>
      <c r="K683" s="6"/>
      <c r="L683" s="6"/>
      <c r="M683" s="6"/>
      <c r="N683" s="6"/>
      <c r="O683" s="6"/>
      <c r="P683" s="35"/>
      <c r="Q683" s="35"/>
      <c r="R683" s="6"/>
      <c r="S683" s="6"/>
      <c r="T683" s="6"/>
      <c r="U683" s="6"/>
      <c r="V683" s="6"/>
      <c r="W683" s="6"/>
      <c r="X683" s="6"/>
      <c r="Y683" s="6"/>
      <c r="Z683" s="6"/>
      <c r="AA683" s="6"/>
      <c r="AB683" s="6"/>
      <c r="AC683" s="6"/>
      <c r="AD683" s="6"/>
      <c r="AE683" s="6"/>
    </row>
    <row r="684">
      <c r="A684" s="7" t="str">
        <f t="shared" si="2"/>
        <v/>
      </c>
      <c r="B684" s="6"/>
      <c r="C684" s="6"/>
      <c r="D684" s="113"/>
      <c r="E684" s="6"/>
      <c r="F684" s="6"/>
      <c r="G684" s="6"/>
      <c r="H684" s="6"/>
      <c r="I684" s="6"/>
      <c r="J684" s="6"/>
      <c r="K684" s="6"/>
      <c r="L684" s="6"/>
      <c r="M684" s="6"/>
      <c r="N684" s="6"/>
      <c r="O684" s="6"/>
      <c r="P684" s="35"/>
      <c r="Q684" s="35"/>
      <c r="R684" s="6"/>
      <c r="S684" s="6"/>
      <c r="T684" s="6"/>
      <c r="U684" s="6"/>
      <c r="V684" s="6"/>
      <c r="W684" s="6"/>
      <c r="X684" s="6"/>
      <c r="Y684" s="6"/>
      <c r="Z684" s="6"/>
      <c r="AA684" s="6"/>
      <c r="AB684" s="6"/>
      <c r="AC684" s="6"/>
      <c r="AD684" s="6"/>
      <c r="AE684" s="6"/>
    </row>
    <row r="685">
      <c r="A685" s="7" t="str">
        <f t="shared" si="2"/>
        <v/>
      </c>
      <c r="B685" s="6"/>
      <c r="C685" s="6"/>
      <c r="D685" s="113"/>
      <c r="E685" s="6"/>
      <c r="F685" s="6"/>
      <c r="G685" s="6"/>
      <c r="H685" s="6"/>
      <c r="I685" s="6"/>
      <c r="J685" s="6"/>
      <c r="K685" s="6"/>
      <c r="L685" s="6"/>
      <c r="M685" s="6"/>
      <c r="N685" s="6"/>
      <c r="O685" s="6"/>
      <c r="P685" s="35"/>
      <c r="Q685" s="35"/>
      <c r="R685" s="6"/>
      <c r="S685" s="6"/>
      <c r="T685" s="6"/>
      <c r="U685" s="6"/>
      <c r="V685" s="6"/>
      <c r="W685" s="6"/>
      <c r="X685" s="6"/>
      <c r="Y685" s="6"/>
      <c r="Z685" s="6"/>
      <c r="AA685" s="6"/>
      <c r="AB685" s="6"/>
      <c r="AC685" s="6"/>
      <c r="AD685" s="6"/>
      <c r="AE685" s="6"/>
    </row>
    <row r="686">
      <c r="A686" s="7" t="str">
        <f t="shared" si="2"/>
        <v/>
      </c>
      <c r="B686" s="6"/>
      <c r="C686" s="6"/>
      <c r="D686" s="113"/>
      <c r="E686" s="6"/>
      <c r="F686" s="6"/>
      <c r="G686" s="6"/>
      <c r="H686" s="6"/>
      <c r="I686" s="6"/>
      <c r="J686" s="6"/>
      <c r="K686" s="6"/>
      <c r="L686" s="6"/>
      <c r="M686" s="6"/>
      <c r="N686" s="6"/>
      <c r="O686" s="6"/>
      <c r="P686" s="35"/>
      <c r="Q686" s="35"/>
      <c r="R686" s="6"/>
      <c r="S686" s="6"/>
      <c r="T686" s="6"/>
      <c r="U686" s="6"/>
      <c r="V686" s="6"/>
      <c r="W686" s="6"/>
      <c r="X686" s="6"/>
      <c r="Y686" s="6"/>
      <c r="Z686" s="6"/>
      <c r="AA686" s="6"/>
      <c r="AB686" s="6"/>
      <c r="AC686" s="6"/>
      <c r="AD686" s="6"/>
      <c r="AE686" s="6"/>
    </row>
    <row r="687">
      <c r="A687" s="7" t="str">
        <f t="shared" si="2"/>
        <v/>
      </c>
      <c r="B687" s="6"/>
      <c r="C687" s="6"/>
      <c r="D687" s="113"/>
      <c r="E687" s="6"/>
      <c r="F687" s="6"/>
      <c r="G687" s="6"/>
      <c r="H687" s="6"/>
      <c r="I687" s="6"/>
      <c r="J687" s="6"/>
      <c r="K687" s="6"/>
      <c r="L687" s="6"/>
      <c r="M687" s="6"/>
      <c r="N687" s="6"/>
      <c r="O687" s="6"/>
      <c r="P687" s="35"/>
      <c r="Q687" s="35"/>
      <c r="R687" s="6"/>
      <c r="S687" s="6"/>
      <c r="T687" s="6"/>
      <c r="U687" s="6"/>
      <c r="V687" s="6"/>
      <c r="W687" s="6"/>
      <c r="X687" s="6"/>
      <c r="Y687" s="6"/>
      <c r="Z687" s="6"/>
      <c r="AA687" s="6"/>
      <c r="AB687" s="6"/>
      <c r="AC687" s="6"/>
      <c r="AD687" s="6"/>
      <c r="AE687" s="6"/>
    </row>
    <row r="688">
      <c r="A688" s="7" t="str">
        <f t="shared" si="2"/>
        <v/>
      </c>
      <c r="B688" s="6"/>
      <c r="C688" s="6"/>
      <c r="D688" s="113"/>
      <c r="E688" s="6"/>
      <c r="F688" s="6"/>
      <c r="G688" s="6"/>
      <c r="H688" s="6"/>
      <c r="I688" s="6"/>
      <c r="J688" s="6"/>
      <c r="K688" s="6"/>
      <c r="L688" s="6"/>
      <c r="M688" s="6"/>
      <c r="N688" s="6"/>
      <c r="O688" s="6"/>
      <c r="P688" s="35"/>
      <c r="Q688" s="35"/>
      <c r="R688" s="6"/>
      <c r="S688" s="6"/>
      <c r="T688" s="6"/>
      <c r="U688" s="6"/>
      <c r="V688" s="6"/>
      <c r="W688" s="6"/>
      <c r="X688" s="6"/>
      <c r="Y688" s="6"/>
      <c r="Z688" s="6"/>
      <c r="AA688" s="6"/>
      <c r="AB688" s="6"/>
      <c r="AC688" s="6"/>
      <c r="AD688" s="6"/>
      <c r="AE688" s="6"/>
    </row>
    <row r="689">
      <c r="A689" s="7" t="str">
        <f t="shared" si="2"/>
        <v/>
      </c>
      <c r="B689" s="6"/>
      <c r="C689" s="6"/>
      <c r="D689" s="113"/>
      <c r="E689" s="6"/>
      <c r="F689" s="6"/>
      <c r="G689" s="6"/>
      <c r="H689" s="6"/>
      <c r="I689" s="6"/>
      <c r="J689" s="6"/>
      <c r="K689" s="6"/>
      <c r="L689" s="6"/>
      <c r="M689" s="6"/>
      <c r="N689" s="6"/>
      <c r="O689" s="6"/>
      <c r="P689" s="35"/>
      <c r="Q689" s="35"/>
      <c r="R689" s="6"/>
      <c r="S689" s="6"/>
      <c r="T689" s="6"/>
      <c r="U689" s="6"/>
      <c r="V689" s="6"/>
      <c r="W689" s="6"/>
      <c r="X689" s="6"/>
      <c r="Y689" s="6"/>
      <c r="Z689" s="6"/>
      <c r="AA689" s="6"/>
      <c r="AB689" s="6"/>
      <c r="AC689" s="6"/>
      <c r="AD689" s="6"/>
      <c r="AE689" s="6"/>
    </row>
    <row r="690">
      <c r="A690" s="7" t="str">
        <f t="shared" si="2"/>
        <v/>
      </c>
      <c r="B690" s="6"/>
      <c r="C690" s="6"/>
      <c r="D690" s="113"/>
      <c r="E690" s="6"/>
      <c r="F690" s="6"/>
      <c r="G690" s="6"/>
      <c r="H690" s="6"/>
      <c r="I690" s="6"/>
      <c r="J690" s="6"/>
      <c r="K690" s="6"/>
      <c r="L690" s="6"/>
      <c r="M690" s="6"/>
      <c r="N690" s="6"/>
      <c r="O690" s="6"/>
      <c r="P690" s="35"/>
      <c r="Q690" s="35"/>
      <c r="R690" s="6"/>
      <c r="S690" s="6"/>
      <c r="T690" s="6"/>
      <c r="U690" s="6"/>
      <c r="V690" s="6"/>
      <c r="W690" s="6"/>
      <c r="X690" s="6"/>
      <c r="Y690" s="6"/>
      <c r="Z690" s="6"/>
      <c r="AA690" s="6"/>
      <c r="AB690" s="6"/>
      <c r="AC690" s="6"/>
      <c r="AD690" s="6"/>
      <c r="AE690" s="6"/>
    </row>
    <row r="691">
      <c r="A691" s="7" t="str">
        <f t="shared" si="2"/>
        <v/>
      </c>
      <c r="B691" s="6"/>
      <c r="C691" s="6"/>
      <c r="D691" s="113"/>
      <c r="E691" s="6"/>
      <c r="F691" s="6"/>
      <c r="G691" s="6"/>
      <c r="H691" s="6"/>
      <c r="I691" s="6"/>
      <c r="J691" s="6"/>
      <c r="K691" s="6"/>
      <c r="L691" s="6"/>
      <c r="M691" s="6"/>
      <c r="N691" s="6"/>
      <c r="O691" s="6"/>
      <c r="P691" s="35"/>
      <c r="Q691" s="35"/>
      <c r="R691" s="6"/>
      <c r="S691" s="6"/>
      <c r="T691" s="6"/>
      <c r="U691" s="6"/>
      <c r="V691" s="6"/>
      <c r="W691" s="6"/>
      <c r="X691" s="6"/>
      <c r="Y691" s="6"/>
      <c r="Z691" s="6"/>
      <c r="AA691" s="6"/>
      <c r="AB691" s="6"/>
      <c r="AC691" s="6"/>
      <c r="AD691" s="6"/>
      <c r="AE691" s="6"/>
    </row>
    <row r="692">
      <c r="A692" s="7" t="str">
        <f t="shared" si="2"/>
        <v/>
      </c>
      <c r="B692" s="6"/>
      <c r="C692" s="6"/>
      <c r="D692" s="113"/>
      <c r="E692" s="6"/>
      <c r="F692" s="6"/>
      <c r="G692" s="6"/>
      <c r="H692" s="6"/>
      <c r="I692" s="6"/>
      <c r="J692" s="6"/>
      <c r="K692" s="6"/>
      <c r="L692" s="6"/>
      <c r="M692" s="6"/>
      <c r="N692" s="6"/>
      <c r="O692" s="6"/>
      <c r="P692" s="35"/>
      <c r="Q692" s="35"/>
      <c r="R692" s="6"/>
      <c r="S692" s="6"/>
      <c r="T692" s="6"/>
      <c r="U692" s="6"/>
      <c r="V692" s="6"/>
      <c r="W692" s="6"/>
      <c r="X692" s="6"/>
      <c r="Y692" s="6"/>
      <c r="Z692" s="6"/>
      <c r="AA692" s="6"/>
      <c r="AB692" s="6"/>
      <c r="AC692" s="6"/>
      <c r="AD692" s="6"/>
      <c r="AE692" s="6"/>
    </row>
    <row r="693">
      <c r="A693" s="7" t="str">
        <f t="shared" si="2"/>
        <v/>
      </c>
      <c r="B693" s="6"/>
      <c r="C693" s="6"/>
      <c r="D693" s="113"/>
      <c r="E693" s="6"/>
      <c r="F693" s="6"/>
      <c r="G693" s="6"/>
      <c r="H693" s="6"/>
      <c r="I693" s="6"/>
      <c r="J693" s="6"/>
      <c r="K693" s="6"/>
      <c r="L693" s="6"/>
      <c r="M693" s="6"/>
      <c r="N693" s="6"/>
      <c r="O693" s="6"/>
      <c r="P693" s="35"/>
      <c r="Q693" s="35"/>
      <c r="R693" s="6"/>
      <c r="S693" s="6"/>
      <c r="T693" s="6"/>
      <c r="U693" s="6"/>
      <c r="V693" s="6"/>
      <c r="W693" s="6"/>
      <c r="X693" s="6"/>
      <c r="Y693" s="6"/>
      <c r="Z693" s="6"/>
      <c r="AA693" s="6"/>
      <c r="AB693" s="6"/>
      <c r="AC693" s="6"/>
      <c r="AD693" s="6"/>
      <c r="AE693" s="6"/>
    </row>
    <row r="694">
      <c r="A694" s="7" t="str">
        <f t="shared" si="2"/>
        <v/>
      </c>
      <c r="B694" s="6"/>
      <c r="C694" s="6"/>
      <c r="D694" s="113"/>
      <c r="E694" s="6"/>
      <c r="F694" s="6"/>
      <c r="G694" s="6"/>
      <c r="H694" s="6"/>
      <c r="I694" s="6"/>
      <c r="J694" s="6"/>
      <c r="K694" s="6"/>
      <c r="L694" s="6"/>
      <c r="M694" s="6"/>
      <c r="N694" s="6"/>
      <c r="O694" s="6"/>
      <c r="P694" s="35"/>
      <c r="Q694" s="35"/>
      <c r="R694" s="6"/>
      <c r="S694" s="6"/>
      <c r="T694" s="6"/>
      <c r="U694" s="6"/>
      <c r="V694" s="6"/>
      <c r="W694" s="6"/>
      <c r="X694" s="6"/>
      <c r="Y694" s="6"/>
      <c r="Z694" s="6"/>
      <c r="AA694" s="6"/>
      <c r="AB694" s="6"/>
      <c r="AC694" s="6"/>
      <c r="AD694" s="6"/>
      <c r="AE694" s="6"/>
    </row>
    <row r="695">
      <c r="A695" s="7" t="str">
        <f t="shared" si="2"/>
        <v/>
      </c>
      <c r="B695" s="6"/>
      <c r="C695" s="6"/>
      <c r="D695" s="113"/>
      <c r="E695" s="6"/>
      <c r="F695" s="6"/>
      <c r="G695" s="6"/>
      <c r="H695" s="6"/>
      <c r="I695" s="6"/>
      <c r="J695" s="6"/>
      <c r="K695" s="6"/>
      <c r="L695" s="6"/>
      <c r="M695" s="6"/>
      <c r="N695" s="6"/>
      <c r="O695" s="6"/>
      <c r="P695" s="35"/>
      <c r="Q695" s="35"/>
      <c r="R695" s="6"/>
      <c r="S695" s="6"/>
      <c r="T695" s="6"/>
      <c r="U695" s="6"/>
      <c r="V695" s="6"/>
      <c r="W695" s="6"/>
      <c r="X695" s="6"/>
      <c r="Y695" s="6"/>
      <c r="Z695" s="6"/>
      <c r="AA695" s="6"/>
      <c r="AB695" s="6"/>
      <c r="AC695" s="6"/>
      <c r="AD695" s="6"/>
      <c r="AE695" s="6"/>
    </row>
    <row r="696">
      <c r="A696" s="7" t="str">
        <f t="shared" si="2"/>
        <v/>
      </c>
      <c r="B696" s="6"/>
      <c r="C696" s="6"/>
      <c r="D696" s="113"/>
      <c r="E696" s="6"/>
      <c r="F696" s="6"/>
      <c r="G696" s="6"/>
      <c r="H696" s="6"/>
      <c r="I696" s="6"/>
      <c r="J696" s="6"/>
      <c r="K696" s="6"/>
      <c r="L696" s="6"/>
      <c r="M696" s="6"/>
      <c r="N696" s="6"/>
      <c r="O696" s="6"/>
      <c r="P696" s="35"/>
      <c r="Q696" s="35"/>
      <c r="R696" s="6"/>
      <c r="S696" s="6"/>
      <c r="T696" s="6"/>
      <c r="U696" s="6"/>
      <c r="V696" s="6"/>
      <c r="W696" s="6"/>
      <c r="X696" s="6"/>
      <c r="Y696" s="6"/>
      <c r="Z696" s="6"/>
      <c r="AA696" s="6"/>
      <c r="AB696" s="6"/>
      <c r="AC696" s="6"/>
      <c r="AD696" s="6"/>
      <c r="AE696" s="6"/>
    </row>
    <row r="697">
      <c r="A697" s="7" t="str">
        <f t="shared" si="2"/>
        <v/>
      </c>
      <c r="B697" s="6"/>
      <c r="C697" s="6"/>
      <c r="D697" s="113"/>
      <c r="E697" s="6"/>
      <c r="F697" s="6"/>
      <c r="G697" s="6"/>
      <c r="H697" s="6"/>
      <c r="I697" s="6"/>
      <c r="J697" s="6"/>
      <c r="K697" s="6"/>
      <c r="L697" s="6"/>
      <c r="M697" s="6"/>
      <c r="N697" s="6"/>
      <c r="O697" s="6"/>
      <c r="P697" s="35"/>
      <c r="Q697" s="35"/>
      <c r="R697" s="6"/>
      <c r="S697" s="6"/>
      <c r="T697" s="6"/>
      <c r="U697" s="6"/>
      <c r="V697" s="6"/>
      <c r="W697" s="6"/>
      <c r="X697" s="6"/>
      <c r="Y697" s="6"/>
      <c r="Z697" s="6"/>
      <c r="AA697" s="6"/>
      <c r="AB697" s="6"/>
      <c r="AC697" s="6"/>
      <c r="AD697" s="6"/>
      <c r="AE697" s="6"/>
    </row>
    <row r="698">
      <c r="A698" s="7" t="str">
        <f t="shared" si="2"/>
        <v/>
      </c>
      <c r="B698" s="6"/>
      <c r="C698" s="6"/>
      <c r="D698" s="113"/>
      <c r="E698" s="6"/>
      <c r="F698" s="6"/>
      <c r="G698" s="6"/>
      <c r="H698" s="6"/>
      <c r="I698" s="6"/>
      <c r="J698" s="6"/>
      <c r="K698" s="6"/>
      <c r="L698" s="6"/>
      <c r="M698" s="6"/>
      <c r="N698" s="6"/>
      <c r="O698" s="6"/>
      <c r="P698" s="35"/>
      <c r="Q698" s="35"/>
      <c r="R698" s="6"/>
      <c r="S698" s="6"/>
      <c r="T698" s="6"/>
      <c r="U698" s="6"/>
      <c r="V698" s="6"/>
      <c r="W698" s="6"/>
      <c r="X698" s="6"/>
      <c r="Y698" s="6"/>
      <c r="Z698" s="6"/>
      <c r="AA698" s="6"/>
      <c r="AB698" s="6"/>
      <c r="AC698" s="6"/>
      <c r="AD698" s="6"/>
      <c r="AE698" s="6"/>
    </row>
    <row r="699">
      <c r="A699" s="7" t="str">
        <f t="shared" si="2"/>
        <v/>
      </c>
      <c r="B699" s="6"/>
      <c r="C699" s="6"/>
      <c r="D699" s="113"/>
      <c r="E699" s="6"/>
      <c r="F699" s="6"/>
      <c r="G699" s="6"/>
      <c r="H699" s="6"/>
      <c r="I699" s="6"/>
      <c r="J699" s="6"/>
      <c r="K699" s="6"/>
      <c r="L699" s="6"/>
      <c r="M699" s="6"/>
      <c r="N699" s="6"/>
      <c r="O699" s="6"/>
      <c r="P699" s="35"/>
      <c r="Q699" s="35"/>
      <c r="R699" s="6"/>
      <c r="S699" s="6"/>
      <c r="T699" s="6"/>
      <c r="U699" s="6"/>
      <c r="V699" s="6"/>
      <c r="W699" s="6"/>
      <c r="X699" s="6"/>
      <c r="Y699" s="6"/>
      <c r="Z699" s="6"/>
      <c r="AA699" s="6"/>
      <c r="AB699" s="6"/>
      <c r="AC699" s="6"/>
      <c r="AD699" s="6"/>
      <c r="AE699" s="6"/>
    </row>
    <row r="700">
      <c r="A700" s="7" t="str">
        <f t="shared" si="2"/>
        <v/>
      </c>
      <c r="B700" s="6"/>
      <c r="C700" s="6"/>
      <c r="D700" s="113"/>
      <c r="E700" s="6"/>
      <c r="F700" s="6"/>
      <c r="G700" s="6"/>
      <c r="H700" s="6"/>
      <c r="I700" s="6"/>
      <c r="J700" s="6"/>
      <c r="K700" s="6"/>
      <c r="L700" s="6"/>
      <c r="M700" s="6"/>
      <c r="N700" s="6"/>
      <c r="O700" s="6"/>
      <c r="P700" s="35"/>
      <c r="Q700" s="35"/>
      <c r="R700" s="6"/>
      <c r="S700" s="6"/>
      <c r="T700" s="6"/>
      <c r="U700" s="6"/>
      <c r="V700" s="6"/>
      <c r="W700" s="6"/>
      <c r="X700" s="6"/>
      <c r="Y700" s="6"/>
      <c r="Z700" s="6"/>
      <c r="AA700" s="6"/>
      <c r="AB700" s="6"/>
      <c r="AC700" s="6"/>
      <c r="AD700" s="6"/>
      <c r="AE700" s="6"/>
    </row>
    <row r="701">
      <c r="A701" s="7" t="str">
        <f t="shared" si="2"/>
        <v/>
      </c>
      <c r="B701" s="6"/>
      <c r="C701" s="6"/>
      <c r="D701" s="113"/>
      <c r="E701" s="6"/>
      <c r="F701" s="6"/>
      <c r="G701" s="6"/>
      <c r="H701" s="6"/>
      <c r="I701" s="6"/>
      <c r="J701" s="6"/>
      <c r="K701" s="6"/>
      <c r="L701" s="6"/>
      <c r="M701" s="6"/>
      <c r="N701" s="6"/>
      <c r="O701" s="6"/>
      <c r="P701" s="35"/>
      <c r="Q701" s="35"/>
      <c r="R701" s="6"/>
      <c r="S701" s="6"/>
      <c r="T701" s="6"/>
      <c r="U701" s="6"/>
      <c r="V701" s="6"/>
      <c r="W701" s="6"/>
      <c r="X701" s="6"/>
      <c r="Y701" s="6"/>
      <c r="Z701" s="6"/>
      <c r="AA701" s="6"/>
      <c r="AB701" s="6"/>
      <c r="AC701" s="6"/>
      <c r="AD701" s="6"/>
      <c r="AE701" s="6"/>
    </row>
    <row r="702">
      <c r="A702" s="7" t="str">
        <f t="shared" si="2"/>
        <v/>
      </c>
      <c r="B702" s="6"/>
      <c r="C702" s="6"/>
      <c r="D702" s="113"/>
      <c r="E702" s="6"/>
      <c r="F702" s="6"/>
      <c r="G702" s="6"/>
      <c r="H702" s="6"/>
      <c r="I702" s="6"/>
      <c r="J702" s="6"/>
      <c r="K702" s="6"/>
      <c r="L702" s="6"/>
      <c r="M702" s="6"/>
      <c r="N702" s="6"/>
      <c r="O702" s="6"/>
      <c r="P702" s="35"/>
      <c r="Q702" s="35"/>
      <c r="R702" s="6"/>
      <c r="S702" s="6"/>
      <c r="T702" s="6"/>
      <c r="U702" s="6"/>
      <c r="V702" s="6"/>
      <c r="W702" s="6"/>
      <c r="X702" s="6"/>
      <c r="Y702" s="6"/>
      <c r="Z702" s="6"/>
      <c r="AA702" s="6"/>
      <c r="AB702" s="6"/>
      <c r="AC702" s="6"/>
      <c r="AD702" s="6"/>
      <c r="AE702" s="6"/>
    </row>
    <row r="703">
      <c r="A703" s="7" t="str">
        <f t="shared" si="2"/>
        <v/>
      </c>
      <c r="B703" s="6"/>
      <c r="C703" s="6"/>
      <c r="D703" s="113"/>
      <c r="E703" s="6"/>
      <c r="F703" s="6"/>
      <c r="G703" s="6"/>
      <c r="H703" s="6"/>
      <c r="I703" s="6"/>
      <c r="J703" s="6"/>
      <c r="K703" s="6"/>
      <c r="L703" s="6"/>
      <c r="M703" s="6"/>
      <c r="N703" s="6"/>
      <c r="O703" s="6"/>
      <c r="P703" s="35"/>
      <c r="Q703" s="35"/>
      <c r="R703" s="6"/>
      <c r="S703" s="6"/>
      <c r="T703" s="6"/>
      <c r="U703" s="6"/>
      <c r="V703" s="6"/>
      <c r="W703" s="6"/>
      <c r="X703" s="6"/>
      <c r="Y703" s="6"/>
      <c r="Z703" s="6"/>
      <c r="AA703" s="6"/>
      <c r="AB703" s="6"/>
      <c r="AC703" s="6"/>
      <c r="AD703" s="6"/>
      <c r="AE703" s="6"/>
    </row>
    <row r="704">
      <c r="A704" s="7" t="str">
        <f t="shared" si="2"/>
        <v/>
      </c>
      <c r="B704" s="6"/>
      <c r="C704" s="6"/>
      <c r="D704" s="113"/>
      <c r="E704" s="6"/>
      <c r="F704" s="6"/>
      <c r="G704" s="6"/>
      <c r="H704" s="6"/>
      <c r="I704" s="6"/>
      <c r="J704" s="6"/>
      <c r="K704" s="6"/>
      <c r="L704" s="6"/>
      <c r="M704" s="6"/>
      <c r="N704" s="6"/>
      <c r="O704" s="6"/>
      <c r="P704" s="35"/>
      <c r="Q704" s="35"/>
      <c r="R704" s="6"/>
      <c r="S704" s="6"/>
      <c r="T704" s="6"/>
      <c r="U704" s="6"/>
      <c r="V704" s="6"/>
      <c r="W704" s="6"/>
      <c r="X704" s="6"/>
      <c r="Y704" s="6"/>
      <c r="Z704" s="6"/>
      <c r="AA704" s="6"/>
      <c r="AB704" s="6"/>
      <c r="AC704" s="6"/>
      <c r="AD704" s="6"/>
      <c r="AE704" s="6"/>
    </row>
    <row r="705">
      <c r="A705" s="7" t="str">
        <f t="shared" si="2"/>
        <v/>
      </c>
      <c r="B705" s="6"/>
      <c r="C705" s="6"/>
      <c r="D705" s="113"/>
      <c r="E705" s="6"/>
      <c r="F705" s="6"/>
      <c r="G705" s="6"/>
      <c r="H705" s="6"/>
      <c r="I705" s="6"/>
      <c r="J705" s="6"/>
      <c r="K705" s="6"/>
      <c r="L705" s="6"/>
      <c r="M705" s="6"/>
      <c r="N705" s="6"/>
      <c r="O705" s="6"/>
      <c r="P705" s="35"/>
      <c r="Q705" s="35"/>
      <c r="R705" s="6"/>
      <c r="S705" s="6"/>
      <c r="T705" s="6"/>
      <c r="U705" s="6"/>
      <c r="V705" s="6"/>
      <c r="W705" s="6"/>
      <c r="X705" s="6"/>
      <c r="Y705" s="6"/>
      <c r="Z705" s="6"/>
      <c r="AA705" s="6"/>
      <c r="AB705" s="6"/>
      <c r="AC705" s="6"/>
      <c r="AD705" s="6"/>
      <c r="AE705" s="6"/>
    </row>
    <row r="706">
      <c r="A706" s="7" t="str">
        <f t="shared" si="2"/>
        <v/>
      </c>
      <c r="B706" s="6"/>
      <c r="C706" s="6"/>
      <c r="D706" s="113"/>
      <c r="E706" s="6"/>
      <c r="F706" s="6"/>
      <c r="G706" s="6"/>
      <c r="H706" s="6"/>
      <c r="I706" s="6"/>
      <c r="J706" s="6"/>
      <c r="K706" s="6"/>
      <c r="L706" s="6"/>
      <c r="M706" s="6"/>
      <c r="N706" s="6"/>
      <c r="O706" s="6"/>
      <c r="P706" s="35"/>
      <c r="Q706" s="35"/>
      <c r="R706" s="6"/>
      <c r="S706" s="6"/>
      <c r="T706" s="6"/>
      <c r="U706" s="6"/>
      <c r="V706" s="6"/>
      <c r="W706" s="6"/>
      <c r="X706" s="6"/>
      <c r="Y706" s="6"/>
      <c r="Z706" s="6"/>
      <c r="AA706" s="6"/>
      <c r="AB706" s="6"/>
      <c r="AC706" s="6"/>
      <c r="AD706" s="6"/>
      <c r="AE706" s="6"/>
    </row>
    <row r="707">
      <c r="A707" s="7" t="str">
        <f t="shared" si="2"/>
        <v/>
      </c>
      <c r="B707" s="6"/>
      <c r="C707" s="6"/>
      <c r="D707" s="113"/>
      <c r="E707" s="6"/>
      <c r="F707" s="6"/>
      <c r="G707" s="6"/>
      <c r="H707" s="6"/>
      <c r="I707" s="6"/>
      <c r="J707" s="6"/>
      <c r="K707" s="6"/>
      <c r="L707" s="6"/>
      <c r="M707" s="6"/>
      <c r="N707" s="6"/>
      <c r="O707" s="6"/>
      <c r="P707" s="35"/>
      <c r="Q707" s="35"/>
      <c r="R707" s="6"/>
      <c r="S707" s="6"/>
      <c r="T707" s="6"/>
      <c r="U707" s="6"/>
      <c r="V707" s="6"/>
      <c r="W707" s="6"/>
      <c r="X707" s="6"/>
      <c r="Y707" s="6"/>
      <c r="Z707" s="6"/>
      <c r="AA707" s="6"/>
      <c r="AB707" s="6"/>
      <c r="AC707" s="6"/>
      <c r="AD707" s="6"/>
      <c r="AE707" s="6"/>
    </row>
    <row r="708">
      <c r="A708" s="7" t="str">
        <f t="shared" si="2"/>
        <v/>
      </c>
      <c r="B708" s="6"/>
      <c r="C708" s="6"/>
      <c r="D708" s="113"/>
      <c r="E708" s="6"/>
      <c r="F708" s="6"/>
      <c r="G708" s="6"/>
      <c r="H708" s="6"/>
      <c r="I708" s="6"/>
      <c r="J708" s="6"/>
      <c r="K708" s="6"/>
      <c r="L708" s="6"/>
      <c r="M708" s="6"/>
      <c r="N708" s="6"/>
      <c r="O708" s="6"/>
      <c r="P708" s="35"/>
      <c r="Q708" s="35"/>
      <c r="R708" s="6"/>
      <c r="S708" s="6"/>
      <c r="T708" s="6"/>
      <c r="U708" s="6"/>
      <c r="V708" s="6"/>
      <c r="W708" s="6"/>
      <c r="X708" s="6"/>
      <c r="Y708" s="6"/>
      <c r="Z708" s="6"/>
      <c r="AA708" s="6"/>
      <c r="AB708" s="6"/>
      <c r="AC708" s="6"/>
      <c r="AD708" s="6"/>
      <c r="AE708" s="6"/>
    </row>
    <row r="709">
      <c r="A709" s="7" t="str">
        <f t="shared" si="2"/>
        <v/>
      </c>
      <c r="B709" s="6"/>
      <c r="C709" s="6"/>
      <c r="D709" s="113"/>
      <c r="E709" s="6"/>
      <c r="F709" s="6"/>
      <c r="G709" s="6"/>
      <c r="H709" s="6"/>
      <c r="I709" s="6"/>
      <c r="J709" s="6"/>
      <c r="K709" s="6"/>
      <c r="L709" s="6"/>
      <c r="M709" s="6"/>
      <c r="N709" s="6"/>
      <c r="O709" s="6"/>
      <c r="P709" s="35"/>
      <c r="Q709" s="35"/>
      <c r="R709" s="6"/>
      <c r="S709" s="6"/>
      <c r="T709" s="6"/>
      <c r="U709" s="6"/>
      <c r="V709" s="6"/>
      <c r="W709" s="6"/>
      <c r="X709" s="6"/>
      <c r="Y709" s="6"/>
      <c r="Z709" s="6"/>
      <c r="AA709" s="6"/>
      <c r="AB709" s="6"/>
      <c r="AC709" s="6"/>
      <c r="AD709" s="6"/>
      <c r="AE709" s="6"/>
    </row>
    <row r="710">
      <c r="A710" s="7" t="str">
        <f t="shared" si="2"/>
        <v/>
      </c>
      <c r="B710" s="6"/>
      <c r="C710" s="6"/>
      <c r="D710" s="113"/>
      <c r="E710" s="6"/>
      <c r="F710" s="6"/>
      <c r="G710" s="6"/>
      <c r="H710" s="6"/>
      <c r="I710" s="6"/>
      <c r="J710" s="6"/>
      <c r="K710" s="6"/>
      <c r="L710" s="6"/>
      <c r="M710" s="6"/>
      <c r="N710" s="6"/>
      <c r="O710" s="6"/>
      <c r="P710" s="35"/>
      <c r="Q710" s="35"/>
      <c r="R710" s="6"/>
      <c r="S710" s="6"/>
      <c r="T710" s="6"/>
      <c r="U710" s="6"/>
      <c r="V710" s="6"/>
      <c r="W710" s="6"/>
      <c r="X710" s="6"/>
      <c r="Y710" s="6"/>
      <c r="Z710" s="6"/>
      <c r="AA710" s="6"/>
      <c r="AB710" s="6"/>
      <c r="AC710" s="6"/>
      <c r="AD710" s="6"/>
      <c r="AE710" s="6"/>
    </row>
    <row r="711">
      <c r="A711" s="7" t="str">
        <f t="shared" si="2"/>
        <v/>
      </c>
      <c r="B711" s="6"/>
      <c r="C711" s="6"/>
      <c r="D711" s="113"/>
      <c r="E711" s="6"/>
      <c r="F711" s="6"/>
      <c r="G711" s="6"/>
      <c r="H711" s="6"/>
      <c r="I711" s="6"/>
      <c r="J711" s="6"/>
      <c r="K711" s="6"/>
      <c r="L711" s="6"/>
      <c r="M711" s="6"/>
      <c r="N711" s="6"/>
      <c r="O711" s="6"/>
      <c r="P711" s="35"/>
      <c r="Q711" s="35"/>
      <c r="R711" s="6"/>
      <c r="S711" s="6"/>
      <c r="T711" s="6"/>
      <c r="U711" s="6"/>
      <c r="V711" s="6"/>
      <c r="W711" s="6"/>
      <c r="X711" s="6"/>
      <c r="Y711" s="6"/>
      <c r="Z711" s="6"/>
      <c r="AA711" s="6"/>
      <c r="AB711" s="6"/>
      <c r="AC711" s="6"/>
      <c r="AD711" s="6"/>
      <c r="AE711" s="6"/>
    </row>
    <row r="712">
      <c r="A712" s="7" t="str">
        <f t="shared" si="2"/>
        <v/>
      </c>
      <c r="B712" s="6"/>
      <c r="C712" s="6"/>
      <c r="D712" s="113"/>
      <c r="E712" s="6"/>
      <c r="F712" s="6"/>
      <c r="G712" s="6"/>
      <c r="H712" s="6"/>
      <c r="I712" s="6"/>
      <c r="J712" s="6"/>
      <c r="K712" s="6"/>
      <c r="L712" s="6"/>
      <c r="M712" s="6"/>
      <c r="N712" s="6"/>
      <c r="O712" s="6"/>
      <c r="P712" s="35"/>
      <c r="Q712" s="35"/>
      <c r="R712" s="6"/>
      <c r="S712" s="6"/>
      <c r="T712" s="6"/>
      <c r="U712" s="6"/>
      <c r="V712" s="6"/>
      <c r="W712" s="6"/>
      <c r="X712" s="6"/>
      <c r="Y712" s="6"/>
      <c r="Z712" s="6"/>
      <c r="AA712" s="6"/>
      <c r="AB712" s="6"/>
      <c r="AC712" s="6"/>
      <c r="AD712" s="6"/>
      <c r="AE712" s="6"/>
    </row>
    <row r="713">
      <c r="A713" s="7" t="str">
        <f t="shared" si="2"/>
        <v/>
      </c>
      <c r="B713" s="6"/>
      <c r="C713" s="6"/>
      <c r="D713" s="113"/>
      <c r="E713" s="6"/>
      <c r="F713" s="6"/>
      <c r="G713" s="6"/>
      <c r="H713" s="6"/>
      <c r="I713" s="6"/>
      <c r="J713" s="6"/>
      <c r="K713" s="6"/>
      <c r="L713" s="6"/>
      <c r="M713" s="6"/>
      <c r="N713" s="6"/>
      <c r="O713" s="6"/>
      <c r="P713" s="35"/>
      <c r="Q713" s="35"/>
      <c r="R713" s="6"/>
      <c r="S713" s="6"/>
      <c r="T713" s="6"/>
      <c r="U713" s="6"/>
      <c r="V713" s="6"/>
      <c r="W713" s="6"/>
      <c r="X713" s="6"/>
      <c r="Y713" s="6"/>
      <c r="Z713" s="6"/>
      <c r="AA713" s="6"/>
      <c r="AB713" s="6"/>
      <c r="AC713" s="6"/>
      <c r="AD713" s="6"/>
      <c r="AE713" s="6"/>
    </row>
    <row r="714">
      <c r="A714" s="7" t="str">
        <f t="shared" si="2"/>
        <v/>
      </c>
      <c r="B714" s="6"/>
      <c r="C714" s="6"/>
      <c r="D714" s="113"/>
      <c r="E714" s="6"/>
      <c r="F714" s="6"/>
      <c r="G714" s="6"/>
      <c r="H714" s="6"/>
      <c r="I714" s="6"/>
      <c r="J714" s="6"/>
      <c r="K714" s="6"/>
      <c r="L714" s="6"/>
      <c r="M714" s="6"/>
      <c r="N714" s="6"/>
      <c r="O714" s="6"/>
      <c r="P714" s="35"/>
      <c r="Q714" s="35"/>
      <c r="R714" s="6"/>
      <c r="S714" s="6"/>
      <c r="T714" s="6"/>
      <c r="U714" s="6"/>
      <c r="V714" s="6"/>
      <c r="W714" s="6"/>
      <c r="X714" s="6"/>
      <c r="Y714" s="6"/>
      <c r="Z714" s="6"/>
      <c r="AA714" s="6"/>
      <c r="AB714" s="6"/>
      <c r="AC714" s="6"/>
      <c r="AD714" s="6"/>
      <c r="AE714" s="6"/>
    </row>
    <row r="715">
      <c r="A715" s="7" t="str">
        <f t="shared" si="2"/>
        <v/>
      </c>
      <c r="B715" s="6"/>
      <c r="C715" s="6"/>
      <c r="D715" s="113"/>
      <c r="E715" s="6"/>
      <c r="F715" s="6"/>
      <c r="G715" s="6"/>
      <c r="H715" s="6"/>
      <c r="I715" s="6"/>
      <c r="J715" s="6"/>
      <c r="K715" s="6"/>
      <c r="L715" s="6"/>
      <c r="M715" s="6"/>
      <c r="N715" s="6"/>
      <c r="O715" s="6"/>
      <c r="P715" s="35"/>
      <c r="Q715" s="35"/>
      <c r="R715" s="6"/>
      <c r="S715" s="6"/>
      <c r="T715" s="6"/>
      <c r="U715" s="6"/>
      <c r="V715" s="6"/>
      <c r="W715" s="6"/>
      <c r="X715" s="6"/>
      <c r="Y715" s="6"/>
      <c r="Z715" s="6"/>
      <c r="AA715" s="6"/>
      <c r="AB715" s="6"/>
      <c r="AC715" s="6"/>
      <c r="AD715" s="6"/>
      <c r="AE715" s="6"/>
    </row>
    <row r="716">
      <c r="A716" s="7" t="str">
        <f t="shared" si="2"/>
        <v/>
      </c>
      <c r="B716" s="6"/>
      <c r="C716" s="6"/>
      <c r="D716" s="113"/>
      <c r="E716" s="6"/>
      <c r="F716" s="6"/>
      <c r="G716" s="6"/>
      <c r="H716" s="6"/>
      <c r="I716" s="6"/>
      <c r="J716" s="6"/>
      <c r="K716" s="6"/>
      <c r="L716" s="6"/>
      <c r="M716" s="6"/>
      <c r="N716" s="6"/>
      <c r="O716" s="6"/>
      <c r="P716" s="35"/>
      <c r="Q716" s="35"/>
      <c r="R716" s="6"/>
      <c r="S716" s="6"/>
      <c r="T716" s="6"/>
      <c r="U716" s="6"/>
      <c r="V716" s="6"/>
      <c r="W716" s="6"/>
      <c r="X716" s="6"/>
      <c r="Y716" s="6"/>
      <c r="Z716" s="6"/>
      <c r="AA716" s="6"/>
      <c r="AB716" s="6"/>
      <c r="AC716" s="6"/>
      <c r="AD716" s="6"/>
      <c r="AE716" s="6"/>
    </row>
    <row r="717">
      <c r="A717" s="7" t="str">
        <f t="shared" si="2"/>
        <v/>
      </c>
      <c r="B717" s="6"/>
      <c r="C717" s="6"/>
      <c r="D717" s="113"/>
      <c r="E717" s="6"/>
      <c r="F717" s="6"/>
      <c r="G717" s="6"/>
      <c r="H717" s="6"/>
      <c r="I717" s="6"/>
      <c r="J717" s="6"/>
      <c r="K717" s="6"/>
      <c r="L717" s="6"/>
      <c r="M717" s="6"/>
      <c r="N717" s="6"/>
      <c r="O717" s="6"/>
      <c r="P717" s="35"/>
      <c r="Q717" s="35"/>
      <c r="R717" s="6"/>
      <c r="S717" s="6"/>
      <c r="T717" s="6"/>
      <c r="U717" s="6"/>
      <c r="V717" s="6"/>
      <c r="W717" s="6"/>
      <c r="X717" s="6"/>
      <c r="Y717" s="6"/>
      <c r="Z717" s="6"/>
      <c r="AA717" s="6"/>
      <c r="AB717" s="6"/>
      <c r="AC717" s="6"/>
      <c r="AD717" s="6"/>
      <c r="AE717" s="6"/>
    </row>
    <row r="718">
      <c r="A718" s="7" t="str">
        <f t="shared" si="2"/>
        <v/>
      </c>
      <c r="B718" s="6"/>
      <c r="C718" s="6"/>
      <c r="D718" s="113"/>
      <c r="E718" s="6"/>
      <c r="F718" s="6"/>
      <c r="G718" s="6"/>
      <c r="H718" s="6"/>
      <c r="I718" s="6"/>
      <c r="J718" s="6"/>
      <c r="K718" s="6"/>
      <c r="L718" s="6"/>
      <c r="M718" s="6"/>
      <c r="N718" s="6"/>
      <c r="O718" s="6"/>
      <c r="P718" s="35"/>
      <c r="Q718" s="35"/>
      <c r="R718" s="6"/>
      <c r="S718" s="6"/>
      <c r="T718" s="6"/>
      <c r="U718" s="6"/>
      <c r="V718" s="6"/>
      <c r="W718" s="6"/>
      <c r="X718" s="6"/>
      <c r="Y718" s="6"/>
      <c r="Z718" s="6"/>
      <c r="AA718" s="6"/>
      <c r="AB718" s="6"/>
      <c r="AC718" s="6"/>
      <c r="AD718" s="6"/>
      <c r="AE718" s="6"/>
    </row>
    <row r="719">
      <c r="A719" s="7" t="str">
        <f t="shared" si="2"/>
        <v/>
      </c>
      <c r="B719" s="6"/>
      <c r="C719" s="6"/>
      <c r="D719" s="113"/>
      <c r="E719" s="6"/>
      <c r="F719" s="6"/>
      <c r="G719" s="6"/>
      <c r="H719" s="6"/>
      <c r="I719" s="6"/>
      <c r="J719" s="6"/>
      <c r="K719" s="6"/>
      <c r="L719" s="6"/>
      <c r="M719" s="6"/>
      <c r="N719" s="6"/>
      <c r="O719" s="6"/>
      <c r="P719" s="35"/>
      <c r="Q719" s="35"/>
      <c r="R719" s="6"/>
      <c r="S719" s="6"/>
      <c r="T719" s="6"/>
      <c r="U719" s="6"/>
      <c r="V719" s="6"/>
      <c r="W719" s="6"/>
      <c r="X719" s="6"/>
      <c r="Y719" s="6"/>
      <c r="Z719" s="6"/>
      <c r="AA719" s="6"/>
      <c r="AB719" s="6"/>
      <c r="AC719" s="6"/>
      <c r="AD719" s="6"/>
      <c r="AE719" s="6"/>
    </row>
    <row r="720">
      <c r="A720" s="7" t="str">
        <f t="shared" si="2"/>
        <v/>
      </c>
      <c r="B720" s="6"/>
      <c r="C720" s="6"/>
      <c r="D720" s="113"/>
      <c r="E720" s="6"/>
      <c r="F720" s="6"/>
      <c r="G720" s="6"/>
      <c r="H720" s="6"/>
      <c r="I720" s="6"/>
      <c r="J720" s="6"/>
      <c r="K720" s="6"/>
      <c r="L720" s="6"/>
      <c r="M720" s="6"/>
      <c r="N720" s="6"/>
      <c r="O720" s="6"/>
      <c r="P720" s="35"/>
      <c r="Q720" s="35"/>
      <c r="R720" s="6"/>
      <c r="S720" s="6"/>
      <c r="T720" s="6"/>
      <c r="U720" s="6"/>
      <c r="V720" s="6"/>
      <c r="W720" s="6"/>
      <c r="X720" s="6"/>
      <c r="Y720" s="6"/>
      <c r="Z720" s="6"/>
      <c r="AA720" s="6"/>
      <c r="AB720" s="6"/>
      <c r="AC720" s="6"/>
      <c r="AD720" s="6"/>
      <c r="AE720" s="6"/>
    </row>
    <row r="721">
      <c r="A721" s="7" t="str">
        <f t="shared" si="2"/>
        <v/>
      </c>
      <c r="B721" s="6"/>
      <c r="C721" s="6"/>
      <c r="D721" s="113"/>
      <c r="E721" s="6"/>
      <c r="F721" s="6"/>
      <c r="G721" s="6"/>
      <c r="H721" s="6"/>
      <c r="I721" s="6"/>
      <c r="J721" s="6"/>
      <c r="K721" s="6"/>
      <c r="L721" s="6"/>
      <c r="M721" s="6"/>
      <c r="N721" s="6"/>
      <c r="O721" s="6"/>
      <c r="P721" s="35"/>
      <c r="Q721" s="35"/>
      <c r="R721" s="6"/>
      <c r="S721" s="6"/>
      <c r="T721" s="6"/>
      <c r="U721" s="6"/>
      <c r="V721" s="6"/>
      <c r="W721" s="6"/>
      <c r="X721" s="6"/>
      <c r="Y721" s="6"/>
      <c r="Z721" s="6"/>
      <c r="AA721" s="6"/>
      <c r="AB721" s="6"/>
      <c r="AC721" s="6"/>
      <c r="AD721" s="6"/>
      <c r="AE721" s="6"/>
    </row>
    <row r="722">
      <c r="A722" s="7" t="str">
        <f t="shared" si="2"/>
        <v/>
      </c>
      <c r="B722" s="6"/>
      <c r="C722" s="6"/>
      <c r="D722" s="113"/>
      <c r="E722" s="6"/>
      <c r="F722" s="6"/>
      <c r="G722" s="6"/>
      <c r="H722" s="6"/>
      <c r="I722" s="6"/>
      <c r="J722" s="6"/>
      <c r="K722" s="6"/>
      <c r="L722" s="6"/>
      <c r="M722" s="6"/>
      <c r="N722" s="6"/>
      <c r="O722" s="6"/>
      <c r="P722" s="35"/>
      <c r="Q722" s="35"/>
      <c r="R722" s="6"/>
      <c r="S722" s="6"/>
      <c r="T722" s="6"/>
      <c r="U722" s="6"/>
      <c r="V722" s="6"/>
      <c r="W722" s="6"/>
      <c r="X722" s="6"/>
      <c r="Y722" s="6"/>
      <c r="Z722" s="6"/>
      <c r="AA722" s="6"/>
      <c r="AB722" s="6"/>
      <c r="AC722" s="6"/>
      <c r="AD722" s="6"/>
      <c r="AE722" s="6"/>
    </row>
    <row r="723">
      <c r="A723" s="7" t="str">
        <f t="shared" si="2"/>
        <v/>
      </c>
      <c r="B723" s="6"/>
      <c r="C723" s="6"/>
      <c r="D723" s="113"/>
      <c r="E723" s="6"/>
      <c r="F723" s="6"/>
      <c r="G723" s="6"/>
      <c r="H723" s="6"/>
      <c r="I723" s="6"/>
      <c r="J723" s="6"/>
      <c r="K723" s="6"/>
      <c r="L723" s="6"/>
      <c r="M723" s="6"/>
      <c r="N723" s="6"/>
      <c r="O723" s="6"/>
      <c r="P723" s="35"/>
      <c r="Q723" s="35"/>
      <c r="R723" s="6"/>
      <c r="S723" s="6"/>
      <c r="T723" s="6"/>
      <c r="U723" s="6"/>
      <c r="V723" s="6"/>
      <c r="W723" s="6"/>
      <c r="X723" s="6"/>
      <c r="Y723" s="6"/>
      <c r="Z723" s="6"/>
      <c r="AA723" s="6"/>
      <c r="AB723" s="6"/>
      <c r="AC723" s="6"/>
      <c r="AD723" s="6"/>
      <c r="AE723" s="6"/>
    </row>
    <row r="724">
      <c r="A724" s="7" t="str">
        <f t="shared" si="2"/>
        <v/>
      </c>
      <c r="B724" s="6"/>
      <c r="C724" s="6"/>
      <c r="D724" s="113"/>
      <c r="E724" s="6"/>
      <c r="F724" s="6"/>
      <c r="G724" s="6"/>
      <c r="H724" s="6"/>
      <c r="I724" s="6"/>
      <c r="J724" s="6"/>
      <c r="K724" s="6"/>
      <c r="L724" s="6"/>
      <c r="M724" s="6"/>
      <c r="N724" s="6"/>
      <c r="O724" s="6"/>
      <c r="P724" s="35"/>
      <c r="Q724" s="35"/>
      <c r="R724" s="6"/>
      <c r="S724" s="6"/>
      <c r="T724" s="6"/>
      <c r="U724" s="6"/>
      <c r="V724" s="6"/>
      <c r="W724" s="6"/>
      <c r="X724" s="6"/>
      <c r="Y724" s="6"/>
      <c r="Z724" s="6"/>
      <c r="AA724" s="6"/>
      <c r="AB724" s="6"/>
      <c r="AC724" s="6"/>
      <c r="AD724" s="6"/>
      <c r="AE724" s="6"/>
    </row>
    <row r="725">
      <c r="A725" s="7" t="str">
        <f t="shared" si="2"/>
        <v/>
      </c>
      <c r="B725" s="6"/>
      <c r="C725" s="6"/>
      <c r="D725" s="113"/>
      <c r="E725" s="6"/>
      <c r="F725" s="6"/>
      <c r="G725" s="6"/>
      <c r="H725" s="6"/>
      <c r="I725" s="6"/>
      <c r="J725" s="6"/>
      <c r="K725" s="6"/>
      <c r="L725" s="6"/>
      <c r="M725" s="6"/>
      <c r="N725" s="6"/>
      <c r="O725" s="6"/>
      <c r="P725" s="35"/>
      <c r="Q725" s="35"/>
      <c r="R725" s="6"/>
      <c r="S725" s="6"/>
      <c r="T725" s="6"/>
      <c r="U725" s="6"/>
      <c r="V725" s="6"/>
      <c r="W725" s="6"/>
      <c r="X725" s="6"/>
      <c r="Y725" s="6"/>
      <c r="Z725" s="6"/>
      <c r="AA725" s="6"/>
      <c r="AB725" s="6"/>
      <c r="AC725" s="6"/>
      <c r="AD725" s="6"/>
      <c r="AE725" s="6"/>
    </row>
    <row r="726">
      <c r="A726" s="7" t="str">
        <f t="shared" si="2"/>
        <v/>
      </c>
      <c r="B726" s="6"/>
      <c r="C726" s="6"/>
      <c r="D726" s="113"/>
      <c r="E726" s="6"/>
      <c r="F726" s="6"/>
      <c r="G726" s="6"/>
      <c r="H726" s="6"/>
      <c r="I726" s="6"/>
      <c r="J726" s="6"/>
      <c r="K726" s="6"/>
      <c r="L726" s="6"/>
      <c r="M726" s="6"/>
      <c r="N726" s="6"/>
      <c r="O726" s="6"/>
      <c r="P726" s="35"/>
      <c r="Q726" s="35"/>
      <c r="R726" s="6"/>
      <c r="S726" s="6"/>
      <c r="T726" s="6"/>
      <c r="U726" s="6"/>
      <c r="V726" s="6"/>
      <c r="W726" s="6"/>
      <c r="X726" s="6"/>
      <c r="Y726" s="6"/>
      <c r="Z726" s="6"/>
      <c r="AA726" s="6"/>
      <c r="AB726" s="6"/>
      <c r="AC726" s="6"/>
      <c r="AD726" s="6"/>
      <c r="AE726" s="6"/>
    </row>
    <row r="727">
      <c r="A727" s="7" t="str">
        <f t="shared" si="2"/>
        <v/>
      </c>
      <c r="B727" s="6"/>
      <c r="C727" s="6"/>
      <c r="D727" s="113"/>
      <c r="E727" s="6"/>
      <c r="F727" s="6"/>
      <c r="G727" s="6"/>
      <c r="H727" s="6"/>
      <c r="I727" s="6"/>
      <c r="J727" s="6"/>
      <c r="K727" s="6"/>
      <c r="L727" s="6"/>
      <c r="M727" s="6"/>
      <c r="N727" s="6"/>
      <c r="O727" s="6"/>
      <c r="P727" s="35"/>
      <c r="Q727" s="35"/>
      <c r="R727" s="6"/>
      <c r="S727" s="6"/>
      <c r="T727" s="6"/>
      <c r="U727" s="6"/>
      <c r="V727" s="6"/>
      <c r="W727" s="6"/>
      <c r="X727" s="6"/>
      <c r="Y727" s="6"/>
      <c r="Z727" s="6"/>
      <c r="AA727" s="6"/>
      <c r="AB727" s="6"/>
      <c r="AC727" s="6"/>
      <c r="AD727" s="6"/>
      <c r="AE727" s="6"/>
    </row>
    <row r="728">
      <c r="A728" s="7" t="str">
        <f t="shared" si="2"/>
        <v/>
      </c>
      <c r="B728" s="6"/>
      <c r="C728" s="6"/>
      <c r="D728" s="113"/>
      <c r="E728" s="6"/>
      <c r="F728" s="6"/>
      <c r="G728" s="6"/>
      <c r="H728" s="6"/>
      <c r="I728" s="6"/>
      <c r="J728" s="6"/>
      <c r="K728" s="6"/>
      <c r="L728" s="6"/>
      <c r="M728" s="6"/>
      <c r="N728" s="6"/>
      <c r="O728" s="6"/>
      <c r="P728" s="35"/>
      <c r="Q728" s="35"/>
      <c r="R728" s="6"/>
      <c r="S728" s="6"/>
      <c r="T728" s="6"/>
      <c r="U728" s="6"/>
      <c r="V728" s="6"/>
      <c r="W728" s="6"/>
      <c r="X728" s="6"/>
      <c r="Y728" s="6"/>
      <c r="Z728" s="6"/>
      <c r="AA728" s="6"/>
      <c r="AB728" s="6"/>
      <c r="AC728" s="6"/>
      <c r="AD728" s="6"/>
      <c r="AE728" s="6"/>
    </row>
    <row r="729">
      <c r="A729" s="7" t="str">
        <f t="shared" si="2"/>
        <v/>
      </c>
      <c r="B729" s="6"/>
      <c r="C729" s="6"/>
      <c r="D729" s="113"/>
      <c r="E729" s="6"/>
      <c r="F729" s="6"/>
      <c r="G729" s="6"/>
      <c r="H729" s="6"/>
      <c r="I729" s="6"/>
      <c r="J729" s="6"/>
      <c r="K729" s="6"/>
      <c r="L729" s="6"/>
      <c r="M729" s="6"/>
      <c r="N729" s="6"/>
      <c r="O729" s="6"/>
      <c r="P729" s="35"/>
      <c r="Q729" s="35"/>
      <c r="R729" s="6"/>
      <c r="S729" s="6"/>
      <c r="T729" s="6"/>
      <c r="U729" s="6"/>
      <c r="V729" s="6"/>
      <c r="W729" s="6"/>
      <c r="X729" s="6"/>
      <c r="Y729" s="6"/>
      <c r="Z729" s="6"/>
      <c r="AA729" s="6"/>
      <c r="AB729" s="6"/>
      <c r="AC729" s="6"/>
      <c r="AD729" s="6"/>
      <c r="AE729" s="6"/>
    </row>
    <row r="730">
      <c r="A730" s="7" t="str">
        <f t="shared" si="2"/>
        <v/>
      </c>
      <c r="B730" s="6"/>
      <c r="C730" s="6"/>
      <c r="D730" s="113"/>
      <c r="E730" s="6"/>
      <c r="F730" s="6"/>
      <c r="G730" s="6"/>
      <c r="H730" s="6"/>
      <c r="I730" s="6"/>
      <c r="J730" s="6"/>
      <c r="K730" s="6"/>
      <c r="L730" s="6"/>
      <c r="M730" s="6"/>
      <c r="N730" s="6"/>
      <c r="O730" s="6"/>
      <c r="P730" s="35"/>
      <c r="Q730" s="35"/>
      <c r="R730" s="6"/>
      <c r="S730" s="6"/>
      <c r="T730" s="6"/>
      <c r="U730" s="6"/>
      <c r="V730" s="6"/>
      <c r="W730" s="6"/>
      <c r="X730" s="6"/>
      <c r="Y730" s="6"/>
      <c r="Z730" s="6"/>
      <c r="AA730" s="6"/>
      <c r="AB730" s="6"/>
      <c r="AC730" s="6"/>
      <c r="AD730" s="6"/>
      <c r="AE730" s="6"/>
    </row>
    <row r="731">
      <c r="A731" s="7" t="str">
        <f t="shared" si="2"/>
        <v/>
      </c>
      <c r="B731" s="6"/>
      <c r="C731" s="6"/>
      <c r="D731" s="113"/>
      <c r="E731" s="6"/>
      <c r="F731" s="6"/>
      <c r="G731" s="6"/>
      <c r="H731" s="6"/>
      <c r="I731" s="6"/>
      <c r="J731" s="6"/>
      <c r="K731" s="6"/>
      <c r="L731" s="6"/>
      <c r="M731" s="6"/>
      <c r="N731" s="6"/>
      <c r="O731" s="6"/>
      <c r="P731" s="35"/>
      <c r="Q731" s="35"/>
      <c r="R731" s="6"/>
      <c r="S731" s="6"/>
      <c r="T731" s="6"/>
      <c r="U731" s="6"/>
      <c r="V731" s="6"/>
      <c r="W731" s="6"/>
      <c r="X731" s="6"/>
      <c r="Y731" s="6"/>
      <c r="Z731" s="6"/>
      <c r="AA731" s="6"/>
      <c r="AB731" s="6"/>
      <c r="AC731" s="6"/>
      <c r="AD731" s="6"/>
      <c r="AE731" s="6"/>
    </row>
    <row r="732">
      <c r="A732" s="7" t="str">
        <f t="shared" si="2"/>
        <v/>
      </c>
      <c r="B732" s="6"/>
      <c r="C732" s="6"/>
      <c r="D732" s="113"/>
      <c r="E732" s="6"/>
      <c r="F732" s="6"/>
      <c r="G732" s="6"/>
      <c r="H732" s="6"/>
      <c r="I732" s="6"/>
      <c r="J732" s="6"/>
      <c r="K732" s="6"/>
      <c r="L732" s="6"/>
      <c r="M732" s="6"/>
      <c r="N732" s="6"/>
      <c r="O732" s="6"/>
      <c r="P732" s="35"/>
      <c r="Q732" s="35"/>
      <c r="R732" s="6"/>
      <c r="S732" s="6"/>
      <c r="T732" s="6"/>
      <c r="U732" s="6"/>
      <c r="V732" s="6"/>
      <c r="W732" s="6"/>
      <c r="X732" s="6"/>
      <c r="Y732" s="6"/>
      <c r="Z732" s="6"/>
      <c r="AA732" s="6"/>
      <c r="AB732" s="6"/>
      <c r="AC732" s="6"/>
      <c r="AD732" s="6"/>
      <c r="AE732" s="6"/>
    </row>
    <row r="733">
      <c r="A733" s="7" t="str">
        <f t="shared" si="2"/>
        <v/>
      </c>
      <c r="B733" s="6"/>
      <c r="C733" s="6"/>
      <c r="D733" s="113"/>
      <c r="E733" s="6"/>
      <c r="F733" s="6"/>
      <c r="G733" s="6"/>
      <c r="H733" s="6"/>
      <c r="I733" s="6"/>
      <c r="J733" s="6"/>
      <c r="K733" s="6"/>
      <c r="L733" s="6"/>
      <c r="M733" s="6"/>
      <c r="N733" s="6"/>
      <c r="O733" s="6"/>
      <c r="P733" s="35"/>
      <c r="Q733" s="35"/>
      <c r="R733" s="6"/>
      <c r="S733" s="6"/>
      <c r="T733" s="6"/>
      <c r="U733" s="6"/>
      <c r="V733" s="6"/>
      <c r="W733" s="6"/>
      <c r="X733" s="6"/>
      <c r="Y733" s="6"/>
      <c r="Z733" s="6"/>
      <c r="AA733" s="6"/>
      <c r="AB733" s="6"/>
      <c r="AC733" s="6"/>
      <c r="AD733" s="6"/>
      <c r="AE733" s="6"/>
    </row>
    <row r="734">
      <c r="A734" s="7" t="str">
        <f t="shared" si="2"/>
        <v/>
      </c>
      <c r="B734" s="6"/>
      <c r="C734" s="6"/>
      <c r="D734" s="113"/>
      <c r="E734" s="6"/>
      <c r="F734" s="6"/>
      <c r="G734" s="6"/>
      <c r="H734" s="6"/>
      <c r="I734" s="6"/>
      <c r="J734" s="6"/>
      <c r="K734" s="6"/>
      <c r="L734" s="6"/>
      <c r="M734" s="6"/>
      <c r="N734" s="6"/>
      <c r="O734" s="6"/>
      <c r="P734" s="35"/>
      <c r="Q734" s="35"/>
      <c r="R734" s="6"/>
      <c r="S734" s="6"/>
      <c r="T734" s="6"/>
      <c r="U734" s="6"/>
      <c r="V734" s="6"/>
      <c r="W734" s="6"/>
      <c r="X734" s="6"/>
      <c r="Y734" s="6"/>
      <c r="Z734" s="6"/>
      <c r="AA734" s="6"/>
      <c r="AB734" s="6"/>
      <c r="AC734" s="6"/>
      <c r="AD734" s="6"/>
      <c r="AE734" s="6"/>
    </row>
    <row r="735">
      <c r="A735" s="7" t="str">
        <f t="shared" si="2"/>
        <v/>
      </c>
      <c r="B735" s="6"/>
      <c r="C735" s="6"/>
      <c r="D735" s="113"/>
      <c r="E735" s="6"/>
      <c r="F735" s="6"/>
      <c r="G735" s="6"/>
      <c r="H735" s="6"/>
      <c r="I735" s="6"/>
      <c r="J735" s="6"/>
      <c r="K735" s="6"/>
      <c r="L735" s="6"/>
      <c r="M735" s="6"/>
      <c r="N735" s="6"/>
      <c r="O735" s="6"/>
      <c r="P735" s="35"/>
      <c r="Q735" s="35"/>
      <c r="R735" s="6"/>
      <c r="S735" s="6"/>
      <c r="T735" s="6"/>
      <c r="U735" s="6"/>
      <c r="V735" s="6"/>
      <c r="W735" s="6"/>
      <c r="X735" s="6"/>
      <c r="Y735" s="6"/>
      <c r="Z735" s="6"/>
      <c r="AA735" s="6"/>
      <c r="AB735" s="6"/>
      <c r="AC735" s="6"/>
      <c r="AD735" s="6"/>
      <c r="AE735" s="6"/>
    </row>
    <row r="736">
      <c r="A736" s="7" t="str">
        <f t="shared" si="2"/>
        <v/>
      </c>
      <c r="B736" s="6"/>
      <c r="C736" s="6"/>
      <c r="D736" s="113"/>
      <c r="E736" s="6"/>
      <c r="F736" s="6"/>
      <c r="G736" s="6"/>
      <c r="H736" s="6"/>
      <c r="I736" s="6"/>
      <c r="J736" s="6"/>
      <c r="K736" s="6"/>
      <c r="L736" s="6"/>
      <c r="M736" s="6"/>
      <c r="N736" s="6"/>
      <c r="O736" s="6"/>
      <c r="P736" s="35"/>
      <c r="Q736" s="35"/>
      <c r="R736" s="6"/>
      <c r="S736" s="6"/>
      <c r="T736" s="6"/>
      <c r="U736" s="6"/>
      <c r="V736" s="6"/>
      <c r="W736" s="6"/>
      <c r="X736" s="6"/>
      <c r="Y736" s="6"/>
      <c r="Z736" s="6"/>
      <c r="AA736" s="6"/>
      <c r="AB736" s="6"/>
      <c r="AC736" s="6"/>
      <c r="AD736" s="6"/>
      <c r="AE736" s="6"/>
    </row>
    <row r="737">
      <c r="A737" s="7" t="str">
        <f t="shared" si="2"/>
        <v/>
      </c>
      <c r="B737" s="6"/>
      <c r="C737" s="6"/>
      <c r="D737" s="113"/>
      <c r="E737" s="6"/>
      <c r="F737" s="6"/>
      <c r="G737" s="6"/>
      <c r="H737" s="6"/>
      <c r="I737" s="6"/>
      <c r="J737" s="6"/>
      <c r="K737" s="6"/>
      <c r="L737" s="6"/>
      <c r="M737" s="6"/>
      <c r="N737" s="6"/>
      <c r="O737" s="6"/>
      <c r="P737" s="35"/>
      <c r="Q737" s="35"/>
      <c r="R737" s="6"/>
      <c r="S737" s="6"/>
      <c r="T737" s="6"/>
      <c r="U737" s="6"/>
      <c r="V737" s="6"/>
      <c r="W737" s="6"/>
      <c r="X737" s="6"/>
      <c r="Y737" s="6"/>
      <c r="Z737" s="6"/>
      <c r="AA737" s="6"/>
      <c r="AB737" s="6"/>
      <c r="AC737" s="6"/>
      <c r="AD737" s="6"/>
      <c r="AE737" s="6"/>
    </row>
    <row r="738">
      <c r="A738" s="7" t="str">
        <f t="shared" si="2"/>
        <v/>
      </c>
      <c r="B738" s="6"/>
      <c r="C738" s="6"/>
      <c r="D738" s="113"/>
      <c r="E738" s="6"/>
      <c r="F738" s="6"/>
      <c r="G738" s="6"/>
      <c r="H738" s="6"/>
      <c r="I738" s="6"/>
      <c r="J738" s="6"/>
      <c r="K738" s="6"/>
      <c r="L738" s="6"/>
      <c r="M738" s="6"/>
      <c r="N738" s="6"/>
      <c r="O738" s="6"/>
      <c r="P738" s="35"/>
      <c r="Q738" s="35"/>
      <c r="R738" s="6"/>
      <c r="S738" s="6"/>
      <c r="T738" s="6"/>
      <c r="U738" s="6"/>
      <c r="V738" s="6"/>
      <c r="W738" s="6"/>
      <c r="X738" s="6"/>
      <c r="Y738" s="6"/>
      <c r="Z738" s="6"/>
      <c r="AA738" s="6"/>
      <c r="AB738" s="6"/>
      <c r="AC738" s="6"/>
      <c r="AD738" s="6"/>
      <c r="AE738" s="6"/>
    </row>
    <row r="739">
      <c r="A739" s="7" t="str">
        <f t="shared" si="2"/>
        <v/>
      </c>
      <c r="B739" s="6"/>
      <c r="C739" s="6"/>
      <c r="D739" s="113"/>
      <c r="E739" s="6"/>
      <c r="F739" s="6"/>
      <c r="G739" s="6"/>
      <c r="H739" s="6"/>
      <c r="I739" s="6"/>
      <c r="J739" s="6"/>
      <c r="K739" s="6"/>
      <c r="L739" s="6"/>
      <c r="M739" s="6"/>
      <c r="N739" s="6"/>
      <c r="O739" s="6"/>
      <c r="P739" s="35"/>
      <c r="Q739" s="35"/>
      <c r="R739" s="6"/>
      <c r="S739" s="6"/>
      <c r="T739" s="6"/>
      <c r="U739" s="6"/>
      <c r="V739" s="6"/>
      <c r="W739" s="6"/>
      <c r="X739" s="6"/>
      <c r="Y739" s="6"/>
      <c r="Z739" s="6"/>
      <c r="AA739" s="6"/>
      <c r="AB739" s="6"/>
      <c r="AC739" s="6"/>
      <c r="AD739" s="6"/>
      <c r="AE739" s="6"/>
    </row>
    <row r="740">
      <c r="A740" s="7" t="str">
        <f t="shared" si="2"/>
        <v/>
      </c>
      <c r="B740" s="6"/>
      <c r="C740" s="6"/>
      <c r="D740" s="113"/>
      <c r="E740" s="6"/>
      <c r="F740" s="6"/>
      <c r="G740" s="6"/>
      <c r="H740" s="6"/>
      <c r="I740" s="6"/>
      <c r="J740" s="6"/>
      <c r="K740" s="6"/>
      <c r="L740" s="6"/>
      <c r="M740" s="6"/>
      <c r="N740" s="6"/>
      <c r="O740" s="6"/>
      <c r="P740" s="35"/>
      <c r="Q740" s="35"/>
      <c r="R740" s="6"/>
      <c r="S740" s="6"/>
      <c r="T740" s="6"/>
      <c r="U740" s="6"/>
      <c r="V740" s="6"/>
      <c r="W740" s="6"/>
      <c r="X740" s="6"/>
      <c r="Y740" s="6"/>
      <c r="Z740" s="6"/>
      <c r="AA740" s="6"/>
      <c r="AB740" s="6"/>
      <c r="AC740" s="6"/>
      <c r="AD740" s="6"/>
      <c r="AE740" s="6"/>
    </row>
    <row r="741">
      <c r="A741" s="7" t="str">
        <f t="shared" si="2"/>
        <v/>
      </c>
      <c r="B741" s="6"/>
      <c r="C741" s="6"/>
      <c r="D741" s="113"/>
      <c r="E741" s="6"/>
      <c r="F741" s="6"/>
      <c r="G741" s="6"/>
      <c r="H741" s="6"/>
      <c r="I741" s="6"/>
      <c r="J741" s="6"/>
      <c r="K741" s="6"/>
      <c r="L741" s="6"/>
      <c r="M741" s="6"/>
      <c r="N741" s="6"/>
      <c r="O741" s="6"/>
      <c r="P741" s="35"/>
      <c r="Q741" s="35"/>
      <c r="R741" s="6"/>
      <c r="S741" s="6"/>
      <c r="T741" s="6"/>
      <c r="U741" s="6"/>
      <c r="V741" s="6"/>
      <c r="W741" s="6"/>
      <c r="X741" s="6"/>
      <c r="Y741" s="6"/>
      <c r="Z741" s="6"/>
      <c r="AA741" s="6"/>
      <c r="AB741" s="6"/>
      <c r="AC741" s="6"/>
      <c r="AD741" s="6"/>
      <c r="AE741" s="6"/>
    </row>
    <row r="742">
      <c r="A742" s="7" t="str">
        <f t="shared" si="2"/>
        <v/>
      </c>
      <c r="B742" s="6"/>
      <c r="C742" s="6"/>
      <c r="D742" s="113"/>
      <c r="E742" s="6"/>
      <c r="F742" s="6"/>
      <c r="G742" s="6"/>
      <c r="H742" s="6"/>
      <c r="I742" s="6"/>
      <c r="J742" s="6"/>
      <c r="K742" s="6"/>
      <c r="L742" s="6"/>
      <c r="M742" s="6"/>
      <c r="N742" s="6"/>
      <c r="O742" s="6"/>
      <c r="P742" s="35"/>
      <c r="Q742" s="35"/>
      <c r="R742" s="6"/>
      <c r="S742" s="6"/>
      <c r="T742" s="6"/>
      <c r="U742" s="6"/>
      <c r="V742" s="6"/>
      <c r="W742" s="6"/>
      <c r="X742" s="6"/>
      <c r="Y742" s="6"/>
      <c r="Z742" s="6"/>
      <c r="AA742" s="6"/>
      <c r="AB742" s="6"/>
      <c r="AC742" s="6"/>
      <c r="AD742" s="6"/>
      <c r="AE742" s="6"/>
    </row>
    <row r="743">
      <c r="A743" s="7" t="str">
        <f t="shared" si="2"/>
        <v/>
      </c>
      <c r="B743" s="6"/>
      <c r="C743" s="6"/>
      <c r="D743" s="113"/>
      <c r="E743" s="6"/>
      <c r="F743" s="6"/>
      <c r="G743" s="6"/>
      <c r="H743" s="6"/>
      <c r="I743" s="6"/>
      <c r="J743" s="6"/>
      <c r="K743" s="6"/>
      <c r="L743" s="6"/>
      <c r="M743" s="6"/>
      <c r="N743" s="6"/>
      <c r="O743" s="6"/>
      <c r="P743" s="35"/>
      <c r="Q743" s="35"/>
      <c r="R743" s="6"/>
      <c r="S743" s="6"/>
      <c r="T743" s="6"/>
      <c r="U743" s="6"/>
      <c r="V743" s="6"/>
      <c r="W743" s="6"/>
      <c r="X743" s="6"/>
      <c r="Y743" s="6"/>
      <c r="Z743" s="6"/>
      <c r="AA743" s="6"/>
      <c r="AB743" s="6"/>
      <c r="AC743" s="6"/>
      <c r="AD743" s="6"/>
      <c r="AE743" s="6"/>
    </row>
    <row r="744">
      <c r="A744" s="7" t="str">
        <f t="shared" si="2"/>
        <v/>
      </c>
      <c r="B744" s="6"/>
      <c r="C744" s="6"/>
      <c r="D744" s="113"/>
      <c r="E744" s="6"/>
      <c r="F744" s="6"/>
      <c r="G744" s="6"/>
      <c r="H744" s="6"/>
      <c r="I744" s="6"/>
      <c r="J744" s="6"/>
      <c r="K744" s="6"/>
      <c r="L744" s="6"/>
      <c r="M744" s="6"/>
      <c r="N744" s="6"/>
      <c r="O744" s="6"/>
      <c r="P744" s="35"/>
      <c r="Q744" s="35"/>
      <c r="R744" s="6"/>
      <c r="S744" s="6"/>
      <c r="T744" s="6"/>
      <c r="U744" s="6"/>
      <c r="V744" s="6"/>
      <c r="W744" s="6"/>
      <c r="X744" s="6"/>
      <c r="Y744" s="6"/>
      <c r="Z744" s="6"/>
      <c r="AA744" s="6"/>
      <c r="AB744" s="6"/>
      <c r="AC744" s="6"/>
      <c r="AD744" s="6"/>
      <c r="AE744" s="6"/>
    </row>
    <row r="745">
      <c r="A745" s="7" t="str">
        <f t="shared" si="2"/>
        <v/>
      </c>
      <c r="B745" s="6"/>
      <c r="C745" s="6"/>
      <c r="D745" s="113"/>
      <c r="E745" s="6"/>
      <c r="F745" s="6"/>
      <c r="G745" s="6"/>
      <c r="H745" s="6"/>
      <c r="I745" s="6"/>
      <c r="J745" s="6"/>
      <c r="K745" s="6"/>
      <c r="L745" s="6"/>
      <c r="M745" s="6"/>
      <c r="N745" s="6"/>
      <c r="O745" s="6"/>
      <c r="P745" s="35"/>
      <c r="Q745" s="35"/>
      <c r="R745" s="6"/>
      <c r="S745" s="6"/>
      <c r="T745" s="6"/>
      <c r="U745" s="6"/>
      <c r="V745" s="6"/>
      <c r="W745" s="6"/>
      <c r="X745" s="6"/>
      <c r="Y745" s="6"/>
      <c r="Z745" s="6"/>
      <c r="AA745" s="6"/>
      <c r="AB745" s="6"/>
      <c r="AC745" s="6"/>
      <c r="AD745" s="6"/>
      <c r="AE745" s="6"/>
    </row>
    <row r="746">
      <c r="A746" s="7" t="str">
        <f t="shared" si="2"/>
        <v/>
      </c>
      <c r="B746" s="6"/>
      <c r="C746" s="6"/>
      <c r="D746" s="113"/>
      <c r="E746" s="6"/>
      <c r="F746" s="6"/>
      <c r="G746" s="6"/>
      <c r="H746" s="6"/>
      <c r="I746" s="6"/>
      <c r="J746" s="6"/>
      <c r="K746" s="6"/>
      <c r="L746" s="6"/>
      <c r="M746" s="6"/>
      <c r="N746" s="6"/>
      <c r="O746" s="6"/>
      <c r="P746" s="35"/>
      <c r="Q746" s="35"/>
      <c r="R746" s="6"/>
      <c r="S746" s="6"/>
      <c r="T746" s="6"/>
      <c r="U746" s="6"/>
      <c r="V746" s="6"/>
      <c r="W746" s="6"/>
      <c r="X746" s="6"/>
      <c r="Y746" s="6"/>
      <c r="Z746" s="6"/>
      <c r="AA746" s="6"/>
      <c r="AB746" s="6"/>
      <c r="AC746" s="6"/>
      <c r="AD746" s="6"/>
      <c r="AE746" s="6"/>
    </row>
    <row r="747">
      <c r="A747" s="7" t="str">
        <f t="shared" si="2"/>
        <v/>
      </c>
      <c r="B747" s="6"/>
      <c r="C747" s="6"/>
      <c r="D747" s="113"/>
      <c r="E747" s="6"/>
      <c r="F747" s="6"/>
      <c r="G747" s="6"/>
      <c r="H747" s="6"/>
      <c r="I747" s="6"/>
      <c r="J747" s="6"/>
      <c r="K747" s="6"/>
      <c r="L747" s="6"/>
      <c r="M747" s="6"/>
      <c r="N747" s="6"/>
      <c r="O747" s="6"/>
      <c r="P747" s="35"/>
      <c r="Q747" s="35"/>
      <c r="R747" s="6"/>
      <c r="S747" s="6"/>
      <c r="T747" s="6"/>
      <c r="U747" s="6"/>
      <c r="V747" s="6"/>
      <c r="W747" s="6"/>
      <c r="X747" s="6"/>
      <c r="Y747" s="6"/>
      <c r="Z747" s="6"/>
      <c r="AA747" s="6"/>
      <c r="AB747" s="6"/>
      <c r="AC747" s="6"/>
      <c r="AD747" s="6"/>
      <c r="AE747" s="6"/>
    </row>
    <row r="748">
      <c r="A748" s="7" t="str">
        <f t="shared" si="2"/>
        <v/>
      </c>
      <c r="B748" s="6"/>
      <c r="C748" s="6"/>
      <c r="D748" s="113"/>
      <c r="E748" s="6"/>
      <c r="F748" s="6"/>
      <c r="G748" s="6"/>
      <c r="H748" s="6"/>
      <c r="I748" s="6"/>
      <c r="J748" s="6"/>
      <c r="K748" s="6"/>
      <c r="L748" s="6"/>
      <c r="M748" s="6"/>
      <c r="N748" s="6"/>
      <c r="O748" s="6"/>
      <c r="P748" s="35"/>
      <c r="Q748" s="35"/>
      <c r="R748" s="6"/>
      <c r="S748" s="6"/>
      <c r="T748" s="6"/>
      <c r="U748" s="6"/>
      <c r="V748" s="6"/>
      <c r="W748" s="6"/>
      <c r="X748" s="6"/>
      <c r="Y748" s="6"/>
      <c r="Z748" s="6"/>
      <c r="AA748" s="6"/>
      <c r="AB748" s="6"/>
      <c r="AC748" s="6"/>
      <c r="AD748" s="6"/>
      <c r="AE748" s="6"/>
    </row>
    <row r="749">
      <c r="A749" s="7" t="str">
        <f t="shared" si="2"/>
        <v/>
      </c>
      <c r="B749" s="6"/>
      <c r="C749" s="6"/>
      <c r="D749" s="113"/>
      <c r="E749" s="6"/>
      <c r="F749" s="6"/>
      <c r="G749" s="6"/>
      <c r="H749" s="6"/>
      <c r="I749" s="6"/>
      <c r="J749" s="6"/>
      <c r="K749" s="6"/>
      <c r="L749" s="6"/>
      <c r="M749" s="6"/>
      <c r="N749" s="6"/>
      <c r="O749" s="6"/>
      <c r="P749" s="35"/>
      <c r="Q749" s="35"/>
      <c r="R749" s="6"/>
      <c r="S749" s="6"/>
      <c r="T749" s="6"/>
      <c r="U749" s="6"/>
      <c r="V749" s="6"/>
      <c r="W749" s="6"/>
      <c r="X749" s="6"/>
      <c r="Y749" s="6"/>
      <c r="Z749" s="6"/>
      <c r="AA749" s="6"/>
      <c r="AB749" s="6"/>
      <c r="AC749" s="6"/>
      <c r="AD749" s="6"/>
      <c r="AE749" s="6"/>
    </row>
    <row r="750">
      <c r="A750" s="7" t="str">
        <f t="shared" si="2"/>
        <v/>
      </c>
      <c r="B750" s="6"/>
      <c r="C750" s="6"/>
      <c r="D750" s="113"/>
      <c r="E750" s="6"/>
      <c r="F750" s="6"/>
      <c r="G750" s="6"/>
      <c r="H750" s="6"/>
      <c r="I750" s="6"/>
      <c r="J750" s="6"/>
      <c r="K750" s="6"/>
      <c r="L750" s="6"/>
      <c r="M750" s="6"/>
      <c r="N750" s="6"/>
      <c r="O750" s="6"/>
      <c r="P750" s="35"/>
      <c r="Q750" s="35"/>
      <c r="R750" s="6"/>
      <c r="S750" s="6"/>
      <c r="T750" s="6"/>
      <c r="U750" s="6"/>
      <c r="V750" s="6"/>
      <c r="W750" s="6"/>
      <c r="X750" s="6"/>
      <c r="Y750" s="6"/>
      <c r="Z750" s="6"/>
      <c r="AA750" s="6"/>
      <c r="AB750" s="6"/>
      <c r="AC750" s="6"/>
      <c r="AD750" s="6"/>
      <c r="AE750" s="6"/>
    </row>
    <row r="751">
      <c r="A751" s="7" t="str">
        <f t="shared" si="2"/>
        <v/>
      </c>
      <c r="B751" s="6"/>
      <c r="C751" s="6"/>
      <c r="D751" s="113"/>
      <c r="E751" s="6"/>
      <c r="F751" s="6"/>
      <c r="G751" s="6"/>
      <c r="H751" s="6"/>
      <c r="I751" s="6"/>
      <c r="J751" s="6"/>
      <c r="K751" s="6"/>
      <c r="L751" s="6"/>
      <c r="M751" s="6"/>
      <c r="N751" s="6"/>
      <c r="O751" s="6"/>
      <c r="P751" s="35"/>
      <c r="Q751" s="35"/>
      <c r="R751" s="6"/>
      <c r="S751" s="6"/>
      <c r="T751" s="6"/>
      <c r="U751" s="6"/>
      <c r="V751" s="6"/>
      <c r="W751" s="6"/>
      <c r="X751" s="6"/>
      <c r="Y751" s="6"/>
      <c r="Z751" s="6"/>
      <c r="AA751" s="6"/>
      <c r="AB751" s="6"/>
      <c r="AC751" s="6"/>
      <c r="AD751" s="6"/>
      <c r="AE751" s="6"/>
    </row>
    <row r="752">
      <c r="A752" s="7" t="str">
        <f t="shared" si="2"/>
        <v/>
      </c>
      <c r="B752" s="6"/>
      <c r="C752" s="6"/>
      <c r="D752" s="113"/>
      <c r="E752" s="6"/>
      <c r="F752" s="6"/>
      <c r="G752" s="6"/>
      <c r="H752" s="6"/>
      <c r="I752" s="6"/>
      <c r="J752" s="6"/>
      <c r="K752" s="6"/>
      <c r="L752" s="6"/>
      <c r="M752" s="6"/>
      <c r="N752" s="6"/>
      <c r="O752" s="6"/>
      <c r="P752" s="35"/>
      <c r="Q752" s="35"/>
      <c r="R752" s="6"/>
      <c r="S752" s="6"/>
      <c r="T752" s="6"/>
      <c r="U752" s="6"/>
      <c r="V752" s="6"/>
      <c r="W752" s="6"/>
      <c r="X752" s="6"/>
      <c r="Y752" s="6"/>
      <c r="Z752" s="6"/>
      <c r="AA752" s="6"/>
      <c r="AB752" s="6"/>
      <c r="AC752" s="6"/>
      <c r="AD752" s="6"/>
      <c r="AE752" s="6"/>
    </row>
    <row r="753">
      <c r="A753" s="7" t="str">
        <f t="shared" si="2"/>
        <v/>
      </c>
      <c r="B753" s="6"/>
      <c r="C753" s="6"/>
      <c r="D753" s="113"/>
      <c r="E753" s="6"/>
      <c r="F753" s="6"/>
      <c r="G753" s="6"/>
      <c r="H753" s="6"/>
      <c r="I753" s="6"/>
      <c r="J753" s="6"/>
      <c r="K753" s="6"/>
      <c r="L753" s="6"/>
      <c r="M753" s="6"/>
      <c r="N753" s="6"/>
      <c r="O753" s="6"/>
      <c r="P753" s="35"/>
      <c r="Q753" s="35"/>
      <c r="R753" s="6"/>
      <c r="S753" s="6"/>
      <c r="T753" s="6"/>
      <c r="U753" s="6"/>
      <c r="V753" s="6"/>
      <c r="W753" s="6"/>
      <c r="X753" s="6"/>
      <c r="Y753" s="6"/>
      <c r="Z753" s="6"/>
      <c r="AA753" s="6"/>
      <c r="AB753" s="6"/>
      <c r="AC753" s="6"/>
      <c r="AD753" s="6"/>
      <c r="AE753" s="6"/>
    </row>
    <row r="754">
      <c r="A754" s="7" t="str">
        <f t="shared" si="2"/>
        <v/>
      </c>
      <c r="B754" s="6"/>
      <c r="C754" s="6"/>
      <c r="D754" s="113"/>
      <c r="E754" s="6"/>
      <c r="F754" s="6"/>
      <c r="G754" s="6"/>
      <c r="H754" s="6"/>
      <c r="I754" s="6"/>
      <c r="J754" s="6"/>
      <c r="K754" s="6"/>
      <c r="L754" s="6"/>
      <c r="M754" s="6"/>
      <c r="N754" s="6"/>
      <c r="O754" s="6"/>
      <c r="P754" s="35"/>
      <c r="Q754" s="35"/>
      <c r="R754" s="6"/>
      <c r="S754" s="6"/>
      <c r="T754" s="6"/>
      <c r="U754" s="6"/>
      <c r="V754" s="6"/>
      <c r="W754" s="6"/>
      <c r="X754" s="6"/>
      <c r="Y754" s="6"/>
      <c r="Z754" s="6"/>
      <c r="AA754" s="6"/>
      <c r="AB754" s="6"/>
      <c r="AC754" s="6"/>
      <c r="AD754" s="6"/>
      <c r="AE754" s="6"/>
    </row>
    <row r="755">
      <c r="A755" s="7" t="str">
        <f t="shared" si="2"/>
        <v/>
      </c>
      <c r="B755" s="6"/>
      <c r="C755" s="6"/>
      <c r="D755" s="113"/>
      <c r="E755" s="6"/>
      <c r="F755" s="6"/>
      <c r="G755" s="6"/>
      <c r="H755" s="6"/>
      <c r="I755" s="6"/>
      <c r="J755" s="6"/>
      <c r="K755" s="6"/>
      <c r="L755" s="6"/>
      <c r="M755" s="6"/>
      <c r="N755" s="6"/>
      <c r="O755" s="6"/>
      <c r="P755" s="35"/>
      <c r="Q755" s="35"/>
      <c r="R755" s="6"/>
      <c r="S755" s="6"/>
      <c r="T755" s="6"/>
      <c r="U755" s="6"/>
      <c r="V755" s="6"/>
      <c r="W755" s="6"/>
      <c r="X755" s="6"/>
      <c r="Y755" s="6"/>
      <c r="Z755" s="6"/>
      <c r="AA755" s="6"/>
      <c r="AB755" s="6"/>
      <c r="AC755" s="6"/>
      <c r="AD755" s="6"/>
      <c r="AE755" s="6"/>
    </row>
    <row r="756">
      <c r="A756" s="7" t="str">
        <f t="shared" si="2"/>
        <v/>
      </c>
      <c r="B756" s="6"/>
      <c r="C756" s="6"/>
      <c r="D756" s="113"/>
      <c r="E756" s="6"/>
      <c r="F756" s="6"/>
      <c r="G756" s="6"/>
      <c r="H756" s="6"/>
      <c r="I756" s="6"/>
      <c r="J756" s="6"/>
      <c r="K756" s="6"/>
      <c r="L756" s="6"/>
      <c r="M756" s="6"/>
      <c r="N756" s="6"/>
      <c r="O756" s="6"/>
      <c r="P756" s="35"/>
      <c r="Q756" s="35"/>
      <c r="R756" s="6"/>
      <c r="S756" s="6"/>
      <c r="T756" s="6"/>
      <c r="U756" s="6"/>
      <c r="V756" s="6"/>
      <c r="W756" s="6"/>
      <c r="X756" s="6"/>
      <c r="Y756" s="6"/>
      <c r="Z756" s="6"/>
      <c r="AA756" s="6"/>
      <c r="AB756" s="6"/>
      <c r="AC756" s="6"/>
      <c r="AD756" s="6"/>
      <c r="AE756" s="6"/>
    </row>
    <row r="757">
      <c r="A757" s="7" t="str">
        <f t="shared" si="2"/>
        <v/>
      </c>
      <c r="B757" s="6"/>
      <c r="C757" s="6"/>
      <c r="D757" s="113"/>
      <c r="E757" s="6"/>
      <c r="F757" s="6"/>
      <c r="G757" s="6"/>
      <c r="H757" s="6"/>
      <c r="I757" s="6"/>
      <c r="J757" s="6"/>
      <c r="K757" s="6"/>
      <c r="L757" s="6"/>
      <c r="M757" s="6"/>
      <c r="N757" s="6"/>
      <c r="O757" s="6"/>
      <c r="P757" s="35"/>
      <c r="Q757" s="35"/>
      <c r="R757" s="6"/>
      <c r="S757" s="6"/>
      <c r="T757" s="6"/>
      <c r="U757" s="6"/>
      <c r="V757" s="6"/>
      <c r="W757" s="6"/>
      <c r="X757" s="6"/>
      <c r="Y757" s="6"/>
      <c r="Z757" s="6"/>
      <c r="AA757" s="6"/>
      <c r="AB757" s="6"/>
      <c r="AC757" s="6"/>
      <c r="AD757" s="6"/>
      <c r="AE757" s="6"/>
    </row>
    <row r="758">
      <c r="A758" s="7" t="str">
        <f t="shared" si="2"/>
        <v/>
      </c>
      <c r="B758" s="6"/>
      <c r="C758" s="6"/>
      <c r="D758" s="113"/>
      <c r="E758" s="6"/>
      <c r="F758" s="6"/>
      <c r="G758" s="6"/>
      <c r="H758" s="6"/>
      <c r="I758" s="6"/>
      <c r="J758" s="6"/>
      <c r="K758" s="6"/>
      <c r="L758" s="6"/>
      <c r="M758" s="6"/>
      <c r="N758" s="6"/>
      <c r="O758" s="6"/>
      <c r="P758" s="35"/>
      <c r="Q758" s="35"/>
      <c r="R758" s="6"/>
      <c r="S758" s="6"/>
      <c r="T758" s="6"/>
      <c r="U758" s="6"/>
      <c r="V758" s="6"/>
      <c r="W758" s="6"/>
      <c r="X758" s="6"/>
      <c r="Y758" s="6"/>
      <c r="Z758" s="6"/>
      <c r="AA758" s="6"/>
      <c r="AB758" s="6"/>
      <c r="AC758" s="6"/>
      <c r="AD758" s="6"/>
      <c r="AE758" s="6"/>
    </row>
    <row r="759">
      <c r="A759" s="7" t="str">
        <f t="shared" si="2"/>
        <v/>
      </c>
      <c r="B759" s="6"/>
      <c r="C759" s="6"/>
      <c r="D759" s="113"/>
      <c r="E759" s="6"/>
      <c r="F759" s="6"/>
      <c r="G759" s="6"/>
      <c r="H759" s="6"/>
      <c r="I759" s="6"/>
      <c r="J759" s="6"/>
      <c r="K759" s="6"/>
      <c r="L759" s="6"/>
      <c r="M759" s="6"/>
      <c r="N759" s="6"/>
      <c r="O759" s="6"/>
      <c r="P759" s="35"/>
      <c r="Q759" s="35"/>
      <c r="R759" s="6"/>
      <c r="S759" s="6"/>
      <c r="T759" s="6"/>
      <c r="U759" s="6"/>
      <c r="V759" s="6"/>
      <c r="W759" s="6"/>
      <c r="X759" s="6"/>
      <c r="Y759" s="6"/>
      <c r="Z759" s="6"/>
      <c r="AA759" s="6"/>
      <c r="AB759" s="6"/>
      <c r="AC759" s="6"/>
      <c r="AD759" s="6"/>
      <c r="AE759" s="6"/>
    </row>
    <row r="760">
      <c r="A760" s="7" t="str">
        <f t="shared" si="2"/>
        <v/>
      </c>
      <c r="B760" s="6"/>
      <c r="C760" s="6"/>
      <c r="D760" s="113"/>
      <c r="E760" s="6"/>
      <c r="F760" s="6"/>
      <c r="G760" s="6"/>
      <c r="H760" s="6"/>
      <c r="I760" s="6"/>
      <c r="J760" s="6"/>
      <c r="K760" s="6"/>
      <c r="L760" s="6"/>
      <c r="M760" s="6"/>
      <c r="N760" s="6"/>
      <c r="O760" s="6"/>
      <c r="P760" s="35"/>
      <c r="Q760" s="35"/>
      <c r="R760" s="6"/>
      <c r="S760" s="6"/>
      <c r="T760" s="6"/>
      <c r="U760" s="6"/>
      <c r="V760" s="6"/>
      <c r="W760" s="6"/>
      <c r="X760" s="6"/>
      <c r="Y760" s="6"/>
      <c r="Z760" s="6"/>
      <c r="AA760" s="6"/>
      <c r="AB760" s="6"/>
      <c r="AC760" s="6"/>
      <c r="AD760" s="6"/>
      <c r="AE760" s="6"/>
    </row>
    <row r="761">
      <c r="A761" s="7" t="str">
        <f t="shared" si="2"/>
        <v/>
      </c>
      <c r="B761" s="6"/>
      <c r="C761" s="6"/>
      <c r="D761" s="113"/>
      <c r="E761" s="6"/>
      <c r="F761" s="6"/>
      <c r="G761" s="6"/>
      <c r="H761" s="6"/>
      <c r="I761" s="6"/>
      <c r="J761" s="6"/>
      <c r="K761" s="6"/>
      <c r="L761" s="6"/>
      <c r="M761" s="6"/>
      <c r="N761" s="6"/>
      <c r="O761" s="6"/>
      <c r="P761" s="35"/>
      <c r="Q761" s="35"/>
      <c r="R761" s="6"/>
      <c r="S761" s="6"/>
      <c r="T761" s="6"/>
      <c r="U761" s="6"/>
      <c r="V761" s="6"/>
      <c r="W761" s="6"/>
      <c r="X761" s="6"/>
      <c r="Y761" s="6"/>
      <c r="Z761" s="6"/>
      <c r="AA761" s="6"/>
      <c r="AB761" s="6"/>
      <c r="AC761" s="6"/>
      <c r="AD761" s="6"/>
      <c r="AE761" s="6"/>
    </row>
    <row r="762">
      <c r="A762" s="7" t="str">
        <f t="shared" si="2"/>
        <v/>
      </c>
      <c r="B762" s="6"/>
      <c r="C762" s="6"/>
      <c r="D762" s="113"/>
      <c r="E762" s="6"/>
      <c r="F762" s="6"/>
      <c r="G762" s="6"/>
      <c r="H762" s="6"/>
      <c r="I762" s="6"/>
      <c r="J762" s="6"/>
      <c r="K762" s="6"/>
      <c r="L762" s="6"/>
      <c r="M762" s="6"/>
      <c r="N762" s="6"/>
      <c r="O762" s="6"/>
      <c r="P762" s="35"/>
      <c r="Q762" s="35"/>
      <c r="R762" s="6"/>
      <c r="S762" s="6"/>
      <c r="T762" s="6"/>
      <c r="U762" s="6"/>
      <c r="V762" s="6"/>
      <c r="W762" s="6"/>
      <c r="X762" s="6"/>
      <c r="Y762" s="6"/>
      <c r="Z762" s="6"/>
      <c r="AA762" s="6"/>
      <c r="AB762" s="6"/>
      <c r="AC762" s="6"/>
      <c r="AD762" s="6"/>
      <c r="AE762" s="6"/>
    </row>
    <row r="763">
      <c r="A763" s="7" t="str">
        <f t="shared" si="2"/>
        <v/>
      </c>
      <c r="B763" s="6"/>
      <c r="C763" s="6"/>
      <c r="D763" s="113"/>
      <c r="E763" s="6"/>
      <c r="F763" s="6"/>
      <c r="G763" s="6"/>
      <c r="H763" s="6"/>
      <c r="I763" s="6"/>
      <c r="J763" s="6"/>
      <c r="K763" s="6"/>
      <c r="L763" s="6"/>
      <c r="M763" s="6"/>
      <c r="N763" s="6"/>
      <c r="O763" s="6"/>
      <c r="P763" s="35"/>
      <c r="Q763" s="35"/>
      <c r="R763" s="6"/>
      <c r="S763" s="6"/>
      <c r="T763" s="6"/>
      <c r="U763" s="6"/>
      <c r="V763" s="6"/>
      <c r="W763" s="6"/>
      <c r="X763" s="6"/>
      <c r="Y763" s="6"/>
      <c r="Z763" s="6"/>
      <c r="AA763" s="6"/>
      <c r="AB763" s="6"/>
      <c r="AC763" s="6"/>
      <c r="AD763" s="6"/>
      <c r="AE763" s="6"/>
    </row>
    <row r="764">
      <c r="A764" s="7" t="str">
        <f t="shared" si="2"/>
        <v/>
      </c>
      <c r="B764" s="6"/>
      <c r="C764" s="6"/>
      <c r="D764" s="113"/>
      <c r="E764" s="6"/>
      <c r="F764" s="6"/>
      <c r="G764" s="6"/>
      <c r="H764" s="6"/>
      <c r="I764" s="6"/>
      <c r="J764" s="6"/>
      <c r="K764" s="6"/>
      <c r="L764" s="6"/>
      <c r="M764" s="6"/>
      <c r="N764" s="6"/>
      <c r="O764" s="6"/>
      <c r="P764" s="35"/>
      <c r="Q764" s="35"/>
      <c r="R764" s="6"/>
      <c r="S764" s="6"/>
      <c r="T764" s="6"/>
      <c r="U764" s="6"/>
      <c r="V764" s="6"/>
      <c r="W764" s="6"/>
      <c r="X764" s="6"/>
      <c r="Y764" s="6"/>
      <c r="Z764" s="6"/>
      <c r="AA764" s="6"/>
      <c r="AB764" s="6"/>
      <c r="AC764" s="6"/>
      <c r="AD764" s="6"/>
      <c r="AE764" s="6"/>
    </row>
    <row r="765">
      <c r="A765" s="7" t="str">
        <f t="shared" si="2"/>
        <v/>
      </c>
      <c r="B765" s="6"/>
      <c r="C765" s="6"/>
      <c r="D765" s="113"/>
      <c r="E765" s="6"/>
      <c r="F765" s="6"/>
      <c r="G765" s="6"/>
      <c r="H765" s="6"/>
      <c r="I765" s="6"/>
      <c r="J765" s="6"/>
      <c r="K765" s="6"/>
      <c r="L765" s="6"/>
      <c r="M765" s="6"/>
      <c r="N765" s="6"/>
      <c r="O765" s="6"/>
      <c r="P765" s="35"/>
      <c r="Q765" s="35"/>
      <c r="R765" s="6"/>
      <c r="S765" s="6"/>
      <c r="T765" s="6"/>
      <c r="U765" s="6"/>
      <c r="V765" s="6"/>
      <c r="W765" s="6"/>
      <c r="X765" s="6"/>
      <c r="Y765" s="6"/>
      <c r="Z765" s="6"/>
      <c r="AA765" s="6"/>
      <c r="AB765" s="6"/>
      <c r="AC765" s="6"/>
      <c r="AD765" s="6"/>
      <c r="AE765" s="6"/>
    </row>
    <row r="766">
      <c r="A766" s="7" t="str">
        <f t="shared" si="2"/>
        <v/>
      </c>
      <c r="B766" s="6"/>
      <c r="C766" s="6"/>
      <c r="D766" s="113"/>
      <c r="E766" s="6"/>
      <c r="F766" s="6"/>
      <c r="G766" s="6"/>
      <c r="H766" s="6"/>
      <c r="I766" s="6"/>
      <c r="J766" s="6"/>
      <c r="K766" s="6"/>
      <c r="L766" s="6"/>
      <c r="M766" s="6"/>
      <c r="N766" s="6"/>
      <c r="O766" s="6"/>
      <c r="P766" s="35"/>
      <c r="Q766" s="35"/>
      <c r="R766" s="6"/>
      <c r="S766" s="6"/>
      <c r="T766" s="6"/>
      <c r="U766" s="6"/>
      <c r="V766" s="6"/>
      <c r="W766" s="6"/>
      <c r="X766" s="6"/>
      <c r="Y766" s="6"/>
      <c r="Z766" s="6"/>
      <c r="AA766" s="6"/>
      <c r="AB766" s="6"/>
      <c r="AC766" s="6"/>
      <c r="AD766" s="6"/>
      <c r="AE766" s="6"/>
    </row>
    <row r="767">
      <c r="A767" s="7" t="str">
        <f t="shared" si="2"/>
        <v/>
      </c>
      <c r="B767" s="6"/>
      <c r="C767" s="6"/>
      <c r="D767" s="113"/>
      <c r="E767" s="6"/>
      <c r="F767" s="6"/>
      <c r="G767" s="6"/>
      <c r="H767" s="6"/>
      <c r="I767" s="6"/>
      <c r="J767" s="6"/>
      <c r="K767" s="6"/>
      <c r="L767" s="6"/>
      <c r="M767" s="6"/>
      <c r="N767" s="6"/>
      <c r="O767" s="6"/>
      <c r="P767" s="35"/>
      <c r="Q767" s="35"/>
      <c r="R767" s="6"/>
      <c r="S767" s="6"/>
      <c r="T767" s="6"/>
      <c r="U767" s="6"/>
      <c r="V767" s="6"/>
      <c r="W767" s="6"/>
      <c r="X767" s="6"/>
      <c r="Y767" s="6"/>
      <c r="Z767" s="6"/>
      <c r="AA767" s="6"/>
      <c r="AB767" s="6"/>
      <c r="AC767" s="6"/>
      <c r="AD767" s="6"/>
      <c r="AE767" s="6"/>
    </row>
    <row r="768">
      <c r="A768" s="7" t="str">
        <f t="shared" si="2"/>
        <v/>
      </c>
      <c r="B768" s="6"/>
      <c r="C768" s="6"/>
      <c r="D768" s="113"/>
      <c r="E768" s="6"/>
      <c r="F768" s="6"/>
      <c r="G768" s="6"/>
      <c r="H768" s="6"/>
      <c r="I768" s="6"/>
      <c r="J768" s="6"/>
      <c r="K768" s="6"/>
      <c r="L768" s="6"/>
      <c r="M768" s="6"/>
      <c r="N768" s="6"/>
      <c r="O768" s="6"/>
      <c r="P768" s="35"/>
      <c r="Q768" s="35"/>
      <c r="R768" s="6"/>
      <c r="S768" s="6"/>
      <c r="T768" s="6"/>
      <c r="U768" s="6"/>
      <c r="V768" s="6"/>
      <c r="W768" s="6"/>
      <c r="X768" s="6"/>
      <c r="Y768" s="6"/>
      <c r="Z768" s="6"/>
      <c r="AA768" s="6"/>
      <c r="AB768" s="6"/>
      <c r="AC768" s="6"/>
      <c r="AD768" s="6"/>
      <c r="AE768" s="6"/>
    </row>
    <row r="769">
      <c r="A769" s="7" t="str">
        <f t="shared" si="2"/>
        <v/>
      </c>
      <c r="B769" s="6"/>
      <c r="C769" s="6"/>
      <c r="D769" s="113"/>
      <c r="E769" s="6"/>
      <c r="F769" s="6"/>
      <c r="G769" s="6"/>
      <c r="H769" s="6"/>
      <c r="I769" s="6"/>
      <c r="J769" s="6"/>
      <c r="K769" s="6"/>
      <c r="L769" s="6"/>
      <c r="M769" s="6"/>
      <c r="N769" s="6"/>
      <c r="O769" s="6"/>
      <c r="P769" s="35"/>
      <c r="Q769" s="35"/>
      <c r="R769" s="6"/>
      <c r="S769" s="6"/>
      <c r="T769" s="6"/>
      <c r="U769" s="6"/>
      <c r="V769" s="6"/>
      <c r="W769" s="6"/>
      <c r="X769" s="6"/>
      <c r="Y769" s="6"/>
      <c r="Z769" s="6"/>
      <c r="AA769" s="6"/>
      <c r="AB769" s="6"/>
      <c r="AC769" s="6"/>
      <c r="AD769" s="6"/>
      <c r="AE769" s="6"/>
    </row>
    <row r="770">
      <c r="A770" s="7" t="str">
        <f t="shared" si="2"/>
        <v/>
      </c>
      <c r="B770" s="6"/>
      <c r="C770" s="6"/>
      <c r="D770" s="113"/>
      <c r="E770" s="6"/>
      <c r="F770" s="6"/>
      <c r="G770" s="6"/>
      <c r="H770" s="6"/>
      <c r="I770" s="6"/>
      <c r="J770" s="6"/>
      <c r="K770" s="6"/>
      <c r="L770" s="6"/>
      <c r="M770" s="6"/>
      <c r="N770" s="6"/>
      <c r="O770" s="6"/>
      <c r="P770" s="35"/>
      <c r="Q770" s="35"/>
      <c r="R770" s="6"/>
      <c r="S770" s="6"/>
      <c r="T770" s="6"/>
      <c r="U770" s="6"/>
      <c r="V770" s="6"/>
      <c r="W770" s="6"/>
      <c r="X770" s="6"/>
      <c r="Y770" s="6"/>
      <c r="Z770" s="6"/>
      <c r="AA770" s="6"/>
      <c r="AB770" s="6"/>
      <c r="AC770" s="6"/>
      <c r="AD770" s="6"/>
      <c r="AE770" s="6"/>
    </row>
    <row r="771">
      <c r="A771" s="7" t="str">
        <f t="shared" si="2"/>
        <v/>
      </c>
      <c r="B771" s="6"/>
      <c r="C771" s="6"/>
      <c r="D771" s="113"/>
      <c r="E771" s="6"/>
      <c r="F771" s="6"/>
      <c r="G771" s="6"/>
      <c r="H771" s="6"/>
      <c r="I771" s="6"/>
      <c r="J771" s="6"/>
      <c r="K771" s="6"/>
      <c r="L771" s="6"/>
      <c r="M771" s="6"/>
      <c r="N771" s="6"/>
      <c r="O771" s="6"/>
      <c r="P771" s="35"/>
      <c r="Q771" s="35"/>
      <c r="R771" s="6"/>
      <c r="S771" s="6"/>
      <c r="T771" s="6"/>
      <c r="U771" s="6"/>
      <c r="V771" s="6"/>
      <c r="W771" s="6"/>
      <c r="X771" s="6"/>
      <c r="Y771" s="6"/>
      <c r="Z771" s="6"/>
      <c r="AA771" s="6"/>
      <c r="AB771" s="6"/>
      <c r="AC771" s="6"/>
      <c r="AD771" s="6"/>
      <c r="AE771" s="6"/>
    </row>
    <row r="772">
      <c r="A772" s="7" t="str">
        <f t="shared" si="2"/>
        <v/>
      </c>
      <c r="B772" s="6"/>
      <c r="C772" s="6"/>
      <c r="D772" s="113"/>
      <c r="E772" s="6"/>
      <c r="F772" s="6"/>
      <c r="G772" s="6"/>
      <c r="H772" s="6"/>
      <c r="I772" s="6"/>
      <c r="J772" s="6"/>
      <c r="K772" s="6"/>
      <c r="L772" s="6"/>
      <c r="M772" s="6"/>
      <c r="N772" s="6"/>
      <c r="O772" s="6"/>
      <c r="P772" s="35"/>
      <c r="Q772" s="35"/>
      <c r="R772" s="6"/>
      <c r="S772" s="6"/>
      <c r="T772" s="6"/>
      <c r="U772" s="6"/>
      <c r="V772" s="6"/>
      <c r="W772" s="6"/>
      <c r="X772" s="6"/>
      <c r="Y772" s="6"/>
      <c r="Z772" s="6"/>
      <c r="AA772" s="6"/>
      <c r="AB772" s="6"/>
      <c r="AC772" s="6"/>
      <c r="AD772" s="6"/>
      <c r="AE772" s="6"/>
    </row>
    <row r="773">
      <c r="A773" s="7" t="str">
        <f t="shared" si="2"/>
        <v/>
      </c>
      <c r="B773" s="6"/>
      <c r="C773" s="6"/>
      <c r="D773" s="113"/>
      <c r="E773" s="6"/>
      <c r="F773" s="6"/>
      <c r="G773" s="6"/>
      <c r="H773" s="6"/>
      <c r="I773" s="6"/>
      <c r="J773" s="6"/>
      <c r="K773" s="6"/>
      <c r="L773" s="6"/>
      <c r="M773" s="6"/>
      <c r="N773" s="6"/>
      <c r="O773" s="6"/>
      <c r="P773" s="35"/>
      <c r="Q773" s="35"/>
      <c r="R773" s="6"/>
      <c r="S773" s="6"/>
      <c r="T773" s="6"/>
      <c r="U773" s="6"/>
      <c r="V773" s="6"/>
      <c r="W773" s="6"/>
      <c r="X773" s="6"/>
      <c r="Y773" s="6"/>
      <c r="Z773" s="6"/>
      <c r="AA773" s="6"/>
      <c r="AB773" s="6"/>
      <c r="AC773" s="6"/>
      <c r="AD773" s="6"/>
      <c r="AE773" s="6"/>
    </row>
    <row r="774">
      <c r="A774" s="7" t="str">
        <f t="shared" si="2"/>
        <v/>
      </c>
      <c r="B774" s="6"/>
      <c r="C774" s="6"/>
      <c r="D774" s="113"/>
      <c r="E774" s="6"/>
      <c r="F774" s="6"/>
      <c r="G774" s="6"/>
      <c r="H774" s="6"/>
      <c r="I774" s="6"/>
      <c r="J774" s="6"/>
      <c r="K774" s="6"/>
      <c r="L774" s="6"/>
      <c r="M774" s="6"/>
      <c r="N774" s="6"/>
      <c r="O774" s="6"/>
      <c r="P774" s="35"/>
      <c r="Q774" s="35"/>
      <c r="R774" s="6"/>
      <c r="S774" s="6"/>
      <c r="T774" s="6"/>
      <c r="U774" s="6"/>
      <c r="V774" s="6"/>
      <c r="W774" s="6"/>
      <c r="X774" s="6"/>
      <c r="Y774" s="6"/>
      <c r="Z774" s="6"/>
      <c r="AA774" s="6"/>
      <c r="AB774" s="6"/>
      <c r="AC774" s="6"/>
      <c r="AD774" s="6"/>
      <c r="AE774" s="6"/>
    </row>
    <row r="775">
      <c r="A775" s="7" t="str">
        <f t="shared" si="2"/>
        <v/>
      </c>
      <c r="B775" s="6"/>
      <c r="C775" s="6"/>
      <c r="D775" s="113"/>
      <c r="E775" s="6"/>
      <c r="F775" s="6"/>
      <c r="G775" s="6"/>
      <c r="H775" s="6"/>
      <c r="I775" s="6"/>
      <c r="J775" s="6"/>
      <c r="K775" s="6"/>
      <c r="L775" s="6"/>
      <c r="M775" s="6"/>
      <c r="N775" s="6"/>
      <c r="O775" s="6"/>
      <c r="P775" s="35"/>
      <c r="Q775" s="35"/>
      <c r="R775" s="6"/>
      <c r="S775" s="6"/>
      <c r="T775" s="6"/>
      <c r="U775" s="6"/>
      <c r="V775" s="6"/>
      <c r="W775" s="6"/>
      <c r="X775" s="6"/>
      <c r="Y775" s="6"/>
      <c r="Z775" s="6"/>
      <c r="AA775" s="6"/>
      <c r="AB775" s="6"/>
      <c r="AC775" s="6"/>
      <c r="AD775" s="6"/>
      <c r="AE775" s="6"/>
    </row>
    <row r="776">
      <c r="A776" s="7" t="str">
        <f t="shared" si="2"/>
        <v/>
      </c>
      <c r="B776" s="6"/>
      <c r="C776" s="6"/>
      <c r="D776" s="113"/>
      <c r="E776" s="6"/>
      <c r="F776" s="6"/>
      <c r="G776" s="6"/>
      <c r="H776" s="6"/>
      <c r="I776" s="6"/>
      <c r="J776" s="6"/>
      <c r="K776" s="6"/>
      <c r="L776" s="6"/>
      <c r="M776" s="6"/>
      <c r="N776" s="6"/>
      <c r="O776" s="6"/>
      <c r="P776" s="35"/>
      <c r="Q776" s="35"/>
      <c r="R776" s="6"/>
      <c r="S776" s="6"/>
      <c r="T776" s="6"/>
      <c r="U776" s="6"/>
      <c r="V776" s="6"/>
      <c r="W776" s="6"/>
      <c r="X776" s="6"/>
      <c r="Y776" s="6"/>
      <c r="Z776" s="6"/>
      <c r="AA776" s="6"/>
      <c r="AB776" s="6"/>
      <c r="AC776" s="6"/>
      <c r="AD776" s="6"/>
      <c r="AE776" s="6"/>
    </row>
    <row r="777">
      <c r="A777" s="7" t="str">
        <f t="shared" si="2"/>
        <v/>
      </c>
      <c r="B777" s="6"/>
      <c r="C777" s="6"/>
      <c r="D777" s="113"/>
      <c r="E777" s="6"/>
      <c r="F777" s="6"/>
      <c r="G777" s="6"/>
      <c r="H777" s="6"/>
      <c r="I777" s="6"/>
      <c r="J777" s="6"/>
      <c r="K777" s="6"/>
      <c r="L777" s="6"/>
      <c r="M777" s="6"/>
      <c r="N777" s="6"/>
      <c r="O777" s="6"/>
      <c r="P777" s="35"/>
      <c r="Q777" s="35"/>
      <c r="R777" s="6"/>
      <c r="S777" s="6"/>
      <c r="T777" s="6"/>
      <c r="U777" s="6"/>
      <c r="V777" s="6"/>
      <c r="W777" s="6"/>
      <c r="X777" s="6"/>
      <c r="Y777" s="6"/>
      <c r="Z777" s="6"/>
      <c r="AA777" s="6"/>
      <c r="AB777" s="6"/>
      <c r="AC777" s="6"/>
      <c r="AD777" s="6"/>
      <c r="AE777" s="6"/>
    </row>
    <row r="778">
      <c r="A778" s="7" t="str">
        <f t="shared" si="2"/>
        <v/>
      </c>
      <c r="B778" s="6"/>
      <c r="C778" s="6"/>
      <c r="D778" s="113"/>
      <c r="E778" s="6"/>
      <c r="F778" s="6"/>
      <c r="G778" s="6"/>
      <c r="H778" s="6"/>
      <c r="I778" s="6"/>
      <c r="J778" s="6"/>
      <c r="K778" s="6"/>
      <c r="L778" s="6"/>
      <c r="M778" s="6"/>
      <c r="N778" s="6"/>
      <c r="O778" s="6"/>
      <c r="P778" s="35"/>
      <c r="Q778" s="35"/>
      <c r="R778" s="6"/>
      <c r="S778" s="6"/>
      <c r="T778" s="6"/>
      <c r="U778" s="6"/>
      <c r="V778" s="6"/>
      <c r="W778" s="6"/>
      <c r="X778" s="6"/>
      <c r="Y778" s="6"/>
      <c r="Z778" s="6"/>
      <c r="AA778" s="6"/>
      <c r="AB778" s="6"/>
      <c r="AC778" s="6"/>
      <c r="AD778" s="6"/>
      <c r="AE778" s="6"/>
    </row>
    <row r="779">
      <c r="A779" s="7" t="str">
        <f t="shared" si="2"/>
        <v/>
      </c>
      <c r="B779" s="6"/>
      <c r="C779" s="6"/>
      <c r="D779" s="113"/>
      <c r="E779" s="6"/>
      <c r="F779" s="6"/>
      <c r="G779" s="6"/>
      <c r="H779" s="6"/>
      <c r="I779" s="6"/>
      <c r="J779" s="6"/>
      <c r="K779" s="6"/>
      <c r="L779" s="6"/>
      <c r="M779" s="6"/>
      <c r="N779" s="6"/>
      <c r="O779" s="6"/>
      <c r="P779" s="35"/>
      <c r="Q779" s="35"/>
      <c r="R779" s="6"/>
      <c r="S779" s="6"/>
      <c r="T779" s="6"/>
      <c r="U779" s="6"/>
      <c r="V779" s="6"/>
      <c r="W779" s="6"/>
      <c r="X779" s="6"/>
      <c r="Y779" s="6"/>
      <c r="Z779" s="6"/>
      <c r="AA779" s="6"/>
      <c r="AB779" s="6"/>
      <c r="AC779" s="6"/>
      <c r="AD779" s="6"/>
      <c r="AE779" s="6"/>
    </row>
    <row r="780">
      <c r="A780" s="7" t="str">
        <f t="shared" si="2"/>
        <v/>
      </c>
      <c r="B780" s="6"/>
      <c r="C780" s="6"/>
      <c r="D780" s="113"/>
      <c r="E780" s="6"/>
      <c r="F780" s="6"/>
      <c r="G780" s="6"/>
      <c r="H780" s="6"/>
      <c r="I780" s="6"/>
      <c r="J780" s="6"/>
      <c r="K780" s="6"/>
      <c r="L780" s="6"/>
      <c r="M780" s="6"/>
      <c r="N780" s="6"/>
      <c r="O780" s="6"/>
      <c r="P780" s="35"/>
      <c r="Q780" s="35"/>
      <c r="R780" s="6"/>
      <c r="S780" s="6"/>
      <c r="T780" s="6"/>
      <c r="U780" s="6"/>
      <c r="V780" s="6"/>
      <c r="W780" s="6"/>
      <c r="X780" s="6"/>
      <c r="Y780" s="6"/>
      <c r="Z780" s="6"/>
      <c r="AA780" s="6"/>
      <c r="AB780" s="6"/>
      <c r="AC780" s="6"/>
      <c r="AD780" s="6"/>
      <c r="AE780" s="6"/>
    </row>
    <row r="781">
      <c r="A781" s="7" t="str">
        <f t="shared" si="2"/>
        <v/>
      </c>
      <c r="B781" s="6"/>
      <c r="C781" s="6"/>
      <c r="D781" s="113"/>
      <c r="E781" s="6"/>
      <c r="F781" s="6"/>
      <c r="G781" s="6"/>
      <c r="H781" s="6"/>
      <c r="I781" s="6"/>
      <c r="J781" s="6"/>
      <c r="K781" s="6"/>
      <c r="L781" s="6"/>
      <c r="M781" s="6"/>
      <c r="N781" s="6"/>
      <c r="O781" s="6"/>
      <c r="P781" s="35"/>
      <c r="Q781" s="35"/>
      <c r="R781" s="6"/>
      <c r="S781" s="6"/>
      <c r="T781" s="6"/>
      <c r="U781" s="6"/>
      <c r="V781" s="6"/>
      <c r="W781" s="6"/>
      <c r="X781" s="6"/>
      <c r="Y781" s="6"/>
      <c r="Z781" s="6"/>
      <c r="AA781" s="6"/>
      <c r="AB781" s="6"/>
      <c r="AC781" s="6"/>
      <c r="AD781" s="6"/>
      <c r="AE781" s="6"/>
    </row>
    <row r="782">
      <c r="A782" s="7" t="str">
        <f t="shared" si="2"/>
        <v/>
      </c>
      <c r="B782" s="6"/>
      <c r="C782" s="6"/>
      <c r="D782" s="113"/>
      <c r="E782" s="6"/>
      <c r="F782" s="6"/>
      <c r="G782" s="6"/>
      <c r="H782" s="6"/>
      <c r="I782" s="6"/>
      <c r="J782" s="6"/>
      <c r="K782" s="6"/>
      <c r="L782" s="6"/>
      <c r="M782" s="6"/>
      <c r="N782" s="6"/>
      <c r="O782" s="6"/>
      <c r="P782" s="35"/>
      <c r="Q782" s="35"/>
      <c r="R782" s="6"/>
      <c r="S782" s="6"/>
      <c r="T782" s="6"/>
      <c r="U782" s="6"/>
      <c r="V782" s="6"/>
      <c r="W782" s="6"/>
      <c r="X782" s="6"/>
      <c r="Y782" s="6"/>
      <c r="Z782" s="6"/>
      <c r="AA782" s="6"/>
      <c r="AB782" s="6"/>
      <c r="AC782" s="6"/>
      <c r="AD782" s="6"/>
      <c r="AE782" s="6"/>
    </row>
    <row r="783">
      <c r="A783" s="7" t="str">
        <f t="shared" si="2"/>
        <v/>
      </c>
      <c r="B783" s="6"/>
      <c r="C783" s="6"/>
      <c r="D783" s="113"/>
      <c r="E783" s="6"/>
      <c r="F783" s="6"/>
      <c r="G783" s="6"/>
      <c r="H783" s="6"/>
      <c r="I783" s="6"/>
      <c r="J783" s="6"/>
      <c r="K783" s="6"/>
      <c r="L783" s="6"/>
      <c r="M783" s="6"/>
      <c r="N783" s="6"/>
      <c r="O783" s="6"/>
      <c r="P783" s="35"/>
      <c r="Q783" s="35"/>
      <c r="R783" s="6"/>
      <c r="S783" s="6"/>
      <c r="T783" s="6"/>
      <c r="U783" s="6"/>
      <c r="V783" s="6"/>
      <c r="W783" s="6"/>
      <c r="X783" s="6"/>
      <c r="Y783" s="6"/>
      <c r="Z783" s="6"/>
      <c r="AA783" s="6"/>
      <c r="AB783" s="6"/>
      <c r="AC783" s="6"/>
      <c r="AD783" s="6"/>
      <c r="AE783" s="6"/>
    </row>
    <row r="784">
      <c r="A784" s="7" t="str">
        <f t="shared" si="2"/>
        <v/>
      </c>
      <c r="B784" s="6"/>
      <c r="C784" s="6"/>
      <c r="D784" s="113"/>
      <c r="E784" s="6"/>
      <c r="F784" s="6"/>
      <c r="G784" s="6"/>
      <c r="H784" s="6"/>
      <c r="I784" s="6"/>
      <c r="J784" s="6"/>
      <c r="K784" s="6"/>
      <c r="L784" s="6"/>
      <c r="M784" s="6"/>
      <c r="N784" s="6"/>
      <c r="O784" s="6"/>
      <c r="P784" s="35"/>
      <c r="Q784" s="35"/>
      <c r="R784" s="6"/>
      <c r="S784" s="6"/>
      <c r="T784" s="6"/>
      <c r="U784" s="6"/>
      <c r="V784" s="6"/>
      <c r="W784" s="6"/>
      <c r="X784" s="6"/>
      <c r="Y784" s="6"/>
      <c r="Z784" s="6"/>
      <c r="AA784" s="6"/>
      <c r="AB784" s="6"/>
      <c r="AC784" s="6"/>
      <c r="AD784" s="6"/>
      <c r="AE784" s="6"/>
    </row>
    <row r="785">
      <c r="A785" s="7" t="str">
        <f t="shared" si="2"/>
        <v/>
      </c>
      <c r="B785" s="6"/>
      <c r="C785" s="6"/>
      <c r="D785" s="113"/>
      <c r="E785" s="6"/>
      <c r="F785" s="6"/>
      <c r="G785" s="6"/>
      <c r="H785" s="6"/>
      <c r="I785" s="6"/>
      <c r="J785" s="6"/>
      <c r="K785" s="6"/>
      <c r="L785" s="6"/>
      <c r="M785" s="6"/>
      <c r="N785" s="6"/>
      <c r="O785" s="6"/>
      <c r="P785" s="35"/>
      <c r="Q785" s="35"/>
      <c r="R785" s="6"/>
      <c r="S785" s="6"/>
      <c r="T785" s="6"/>
      <c r="U785" s="6"/>
      <c r="V785" s="6"/>
      <c r="W785" s="6"/>
      <c r="X785" s="6"/>
      <c r="Y785" s="6"/>
      <c r="Z785" s="6"/>
      <c r="AA785" s="6"/>
      <c r="AB785" s="6"/>
      <c r="AC785" s="6"/>
      <c r="AD785" s="6"/>
      <c r="AE785" s="6"/>
    </row>
    <row r="786">
      <c r="A786" s="7" t="str">
        <f t="shared" si="2"/>
        <v/>
      </c>
      <c r="B786" s="6"/>
      <c r="C786" s="6"/>
      <c r="D786" s="113"/>
      <c r="E786" s="6"/>
      <c r="F786" s="6"/>
      <c r="G786" s="6"/>
      <c r="H786" s="6"/>
      <c r="I786" s="6"/>
      <c r="J786" s="6"/>
      <c r="K786" s="6"/>
      <c r="L786" s="6"/>
      <c r="M786" s="6"/>
      <c r="N786" s="6"/>
      <c r="O786" s="6"/>
      <c r="P786" s="35"/>
      <c r="Q786" s="35"/>
      <c r="R786" s="6"/>
      <c r="S786" s="6"/>
      <c r="T786" s="6"/>
      <c r="U786" s="6"/>
      <c r="V786" s="6"/>
      <c r="W786" s="6"/>
      <c r="X786" s="6"/>
      <c r="Y786" s="6"/>
      <c r="Z786" s="6"/>
      <c r="AA786" s="6"/>
      <c r="AB786" s="6"/>
      <c r="AC786" s="6"/>
      <c r="AD786" s="6"/>
      <c r="AE786" s="6"/>
    </row>
    <row r="787">
      <c r="A787" s="7" t="str">
        <f t="shared" si="2"/>
        <v/>
      </c>
      <c r="B787" s="6"/>
      <c r="C787" s="6"/>
      <c r="D787" s="113"/>
      <c r="E787" s="6"/>
      <c r="F787" s="6"/>
      <c r="G787" s="6"/>
      <c r="H787" s="6"/>
      <c r="I787" s="6"/>
      <c r="J787" s="6"/>
      <c r="K787" s="6"/>
      <c r="L787" s="6"/>
      <c r="M787" s="6"/>
      <c r="N787" s="6"/>
      <c r="O787" s="6"/>
      <c r="P787" s="35"/>
      <c r="Q787" s="35"/>
      <c r="R787" s="6"/>
      <c r="S787" s="6"/>
      <c r="T787" s="6"/>
      <c r="U787" s="6"/>
      <c r="V787" s="6"/>
      <c r="W787" s="6"/>
      <c r="X787" s="6"/>
      <c r="Y787" s="6"/>
      <c r="Z787" s="6"/>
      <c r="AA787" s="6"/>
      <c r="AB787" s="6"/>
      <c r="AC787" s="6"/>
      <c r="AD787" s="6"/>
      <c r="AE787" s="6"/>
    </row>
    <row r="788">
      <c r="A788" s="7" t="str">
        <f t="shared" si="2"/>
        <v/>
      </c>
      <c r="B788" s="6"/>
      <c r="C788" s="6"/>
      <c r="D788" s="113"/>
      <c r="E788" s="6"/>
      <c r="F788" s="6"/>
      <c r="G788" s="6"/>
      <c r="H788" s="6"/>
      <c r="I788" s="6"/>
      <c r="J788" s="6"/>
      <c r="K788" s="6"/>
      <c r="L788" s="6"/>
      <c r="M788" s="6"/>
      <c r="N788" s="6"/>
      <c r="O788" s="6"/>
      <c r="P788" s="35"/>
      <c r="Q788" s="35"/>
      <c r="R788" s="6"/>
      <c r="S788" s="6"/>
      <c r="T788" s="6"/>
      <c r="U788" s="6"/>
      <c r="V788" s="6"/>
      <c r="W788" s="6"/>
      <c r="X788" s="6"/>
      <c r="Y788" s="6"/>
      <c r="Z788" s="6"/>
      <c r="AA788" s="6"/>
      <c r="AB788" s="6"/>
      <c r="AC788" s="6"/>
      <c r="AD788" s="6"/>
      <c r="AE788" s="6"/>
    </row>
    <row r="789">
      <c r="A789" s="7" t="str">
        <f t="shared" si="2"/>
        <v/>
      </c>
      <c r="B789" s="6"/>
      <c r="C789" s="6"/>
      <c r="D789" s="113"/>
      <c r="E789" s="6"/>
      <c r="F789" s="6"/>
      <c r="G789" s="6"/>
      <c r="H789" s="6"/>
      <c r="I789" s="6"/>
      <c r="J789" s="6"/>
      <c r="K789" s="6"/>
      <c r="L789" s="6"/>
      <c r="M789" s="6"/>
      <c r="N789" s="6"/>
      <c r="O789" s="6"/>
      <c r="P789" s="35"/>
      <c r="Q789" s="35"/>
      <c r="R789" s="6"/>
      <c r="S789" s="6"/>
      <c r="T789" s="6"/>
      <c r="U789" s="6"/>
      <c r="V789" s="6"/>
      <c r="W789" s="6"/>
      <c r="X789" s="6"/>
      <c r="Y789" s="6"/>
      <c r="Z789" s="6"/>
      <c r="AA789" s="6"/>
      <c r="AB789" s="6"/>
      <c r="AC789" s="6"/>
      <c r="AD789" s="6"/>
      <c r="AE789" s="6"/>
    </row>
    <row r="790">
      <c r="A790" s="7" t="str">
        <f t="shared" si="2"/>
        <v/>
      </c>
      <c r="B790" s="6"/>
      <c r="C790" s="6"/>
      <c r="D790" s="113"/>
      <c r="E790" s="6"/>
      <c r="F790" s="6"/>
      <c r="G790" s="6"/>
      <c r="H790" s="6"/>
      <c r="I790" s="6"/>
      <c r="J790" s="6"/>
      <c r="K790" s="6"/>
      <c r="L790" s="6"/>
      <c r="M790" s="6"/>
      <c r="N790" s="6"/>
      <c r="O790" s="6"/>
      <c r="P790" s="35"/>
      <c r="Q790" s="35"/>
      <c r="R790" s="6"/>
      <c r="S790" s="6"/>
      <c r="T790" s="6"/>
      <c r="U790" s="6"/>
      <c r="V790" s="6"/>
      <c r="W790" s="6"/>
      <c r="X790" s="6"/>
      <c r="Y790" s="6"/>
      <c r="Z790" s="6"/>
      <c r="AA790" s="6"/>
      <c r="AB790" s="6"/>
      <c r="AC790" s="6"/>
      <c r="AD790" s="6"/>
      <c r="AE790" s="6"/>
    </row>
    <row r="791">
      <c r="A791" s="7" t="str">
        <f t="shared" si="2"/>
        <v/>
      </c>
      <c r="B791" s="6"/>
      <c r="C791" s="6"/>
      <c r="D791" s="113"/>
      <c r="E791" s="6"/>
      <c r="F791" s="6"/>
      <c r="G791" s="6"/>
      <c r="H791" s="6"/>
      <c r="I791" s="6"/>
      <c r="J791" s="6"/>
      <c r="K791" s="6"/>
      <c r="L791" s="6"/>
      <c r="M791" s="6"/>
      <c r="N791" s="6"/>
      <c r="O791" s="6"/>
      <c r="P791" s="35"/>
      <c r="Q791" s="35"/>
      <c r="R791" s="6"/>
      <c r="S791" s="6"/>
      <c r="T791" s="6"/>
      <c r="U791" s="6"/>
      <c r="V791" s="6"/>
      <c r="W791" s="6"/>
      <c r="X791" s="6"/>
      <c r="Y791" s="6"/>
      <c r="Z791" s="6"/>
      <c r="AA791" s="6"/>
      <c r="AB791" s="6"/>
      <c r="AC791" s="6"/>
      <c r="AD791" s="6"/>
      <c r="AE791" s="6"/>
    </row>
    <row r="792">
      <c r="A792" s="7" t="str">
        <f t="shared" si="2"/>
        <v/>
      </c>
      <c r="B792" s="6"/>
      <c r="C792" s="6"/>
      <c r="D792" s="113"/>
      <c r="E792" s="6"/>
      <c r="F792" s="6"/>
      <c r="G792" s="6"/>
      <c r="H792" s="6"/>
      <c r="I792" s="6"/>
      <c r="J792" s="6"/>
      <c r="K792" s="6"/>
      <c r="L792" s="6"/>
      <c r="M792" s="6"/>
      <c r="N792" s="6"/>
      <c r="O792" s="6"/>
      <c r="P792" s="35"/>
      <c r="Q792" s="35"/>
      <c r="R792" s="6"/>
      <c r="S792" s="6"/>
      <c r="T792" s="6"/>
      <c r="U792" s="6"/>
      <c r="V792" s="6"/>
      <c r="W792" s="6"/>
      <c r="X792" s="6"/>
      <c r="Y792" s="6"/>
      <c r="Z792" s="6"/>
      <c r="AA792" s="6"/>
      <c r="AB792" s="6"/>
      <c r="AC792" s="6"/>
      <c r="AD792" s="6"/>
      <c r="AE792" s="6"/>
    </row>
    <row r="793">
      <c r="A793" s="7" t="str">
        <f t="shared" si="2"/>
        <v/>
      </c>
      <c r="B793" s="6"/>
      <c r="C793" s="6"/>
      <c r="D793" s="113"/>
      <c r="E793" s="6"/>
      <c r="F793" s="6"/>
      <c r="G793" s="6"/>
      <c r="H793" s="6"/>
      <c r="I793" s="6"/>
      <c r="J793" s="6"/>
      <c r="K793" s="6"/>
      <c r="L793" s="6"/>
      <c r="M793" s="6"/>
      <c r="N793" s="6"/>
      <c r="O793" s="6"/>
      <c r="P793" s="35"/>
      <c r="Q793" s="35"/>
      <c r="R793" s="6"/>
      <c r="S793" s="6"/>
      <c r="T793" s="6"/>
      <c r="U793" s="6"/>
      <c r="V793" s="6"/>
      <c r="W793" s="6"/>
      <c r="X793" s="6"/>
      <c r="Y793" s="6"/>
      <c r="Z793" s="6"/>
      <c r="AA793" s="6"/>
      <c r="AB793" s="6"/>
      <c r="AC793" s="6"/>
      <c r="AD793" s="6"/>
      <c r="AE793" s="6"/>
    </row>
    <row r="794">
      <c r="A794" s="7" t="str">
        <f t="shared" si="2"/>
        <v/>
      </c>
      <c r="B794" s="6"/>
      <c r="C794" s="6"/>
      <c r="D794" s="113"/>
      <c r="E794" s="6"/>
      <c r="F794" s="6"/>
      <c r="G794" s="6"/>
      <c r="H794" s="6"/>
      <c r="I794" s="6"/>
      <c r="J794" s="6"/>
      <c r="K794" s="6"/>
      <c r="L794" s="6"/>
      <c r="M794" s="6"/>
      <c r="N794" s="6"/>
      <c r="O794" s="6"/>
      <c r="P794" s="35"/>
      <c r="Q794" s="35"/>
      <c r="R794" s="6"/>
      <c r="S794" s="6"/>
      <c r="T794" s="6"/>
      <c r="U794" s="6"/>
      <c r="V794" s="6"/>
      <c r="W794" s="6"/>
      <c r="X794" s="6"/>
      <c r="Y794" s="6"/>
      <c r="Z794" s="6"/>
      <c r="AA794" s="6"/>
      <c r="AB794" s="6"/>
      <c r="AC794" s="6"/>
      <c r="AD794" s="6"/>
      <c r="AE794" s="6"/>
    </row>
    <row r="795">
      <c r="A795" s="7" t="str">
        <f t="shared" si="2"/>
        <v/>
      </c>
      <c r="B795" s="6"/>
      <c r="C795" s="6"/>
      <c r="D795" s="113"/>
      <c r="E795" s="6"/>
      <c r="F795" s="6"/>
      <c r="G795" s="6"/>
      <c r="H795" s="6"/>
      <c r="I795" s="6"/>
      <c r="J795" s="6"/>
      <c r="K795" s="6"/>
      <c r="L795" s="6"/>
      <c r="M795" s="6"/>
      <c r="N795" s="6"/>
      <c r="O795" s="6"/>
      <c r="P795" s="35"/>
      <c r="Q795" s="35"/>
      <c r="R795" s="6"/>
      <c r="S795" s="6"/>
      <c r="T795" s="6"/>
      <c r="U795" s="6"/>
      <c r="V795" s="6"/>
      <c r="W795" s="6"/>
      <c r="X795" s="6"/>
      <c r="Y795" s="6"/>
      <c r="Z795" s="6"/>
      <c r="AA795" s="6"/>
      <c r="AB795" s="6"/>
      <c r="AC795" s="6"/>
      <c r="AD795" s="6"/>
      <c r="AE795" s="6"/>
    </row>
    <row r="796">
      <c r="A796" s="7" t="str">
        <f t="shared" si="2"/>
        <v/>
      </c>
      <c r="B796" s="6"/>
      <c r="C796" s="6"/>
      <c r="D796" s="113"/>
      <c r="E796" s="6"/>
      <c r="F796" s="6"/>
      <c r="G796" s="6"/>
      <c r="H796" s="6"/>
      <c r="I796" s="6"/>
      <c r="J796" s="6"/>
      <c r="K796" s="6"/>
      <c r="L796" s="6"/>
      <c r="M796" s="6"/>
      <c r="N796" s="6"/>
      <c r="O796" s="6"/>
      <c r="P796" s="35"/>
      <c r="Q796" s="35"/>
      <c r="R796" s="6"/>
      <c r="S796" s="6"/>
      <c r="T796" s="6"/>
      <c r="U796" s="6"/>
      <c r="V796" s="6"/>
      <c r="W796" s="6"/>
      <c r="X796" s="6"/>
      <c r="Y796" s="6"/>
      <c r="Z796" s="6"/>
      <c r="AA796" s="6"/>
      <c r="AB796" s="6"/>
      <c r="AC796" s="6"/>
      <c r="AD796" s="6"/>
      <c r="AE796" s="6"/>
    </row>
    <row r="797">
      <c r="A797" s="7" t="str">
        <f t="shared" si="2"/>
        <v/>
      </c>
      <c r="B797" s="6"/>
      <c r="C797" s="6"/>
      <c r="D797" s="113"/>
      <c r="E797" s="6"/>
      <c r="F797" s="6"/>
      <c r="G797" s="6"/>
      <c r="H797" s="6"/>
      <c r="I797" s="6"/>
      <c r="J797" s="6"/>
      <c r="K797" s="6"/>
      <c r="L797" s="6"/>
      <c r="M797" s="6"/>
      <c r="N797" s="6"/>
      <c r="O797" s="6"/>
      <c r="P797" s="35"/>
      <c r="Q797" s="35"/>
      <c r="R797" s="6"/>
      <c r="S797" s="6"/>
      <c r="T797" s="6"/>
      <c r="U797" s="6"/>
      <c r="V797" s="6"/>
      <c r="W797" s="6"/>
      <c r="X797" s="6"/>
      <c r="Y797" s="6"/>
      <c r="Z797" s="6"/>
      <c r="AA797" s="6"/>
      <c r="AB797" s="6"/>
      <c r="AC797" s="6"/>
      <c r="AD797" s="6"/>
      <c r="AE797" s="6"/>
    </row>
    <row r="798">
      <c r="A798" s="7" t="str">
        <f t="shared" si="2"/>
        <v/>
      </c>
      <c r="B798" s="6"/>
      <c r="C798" s="6"/>
      <c r="D798" s="113"/>
      <c r="E798" s="6"/>
      <c r="F798" s="6"/>
      <c r="G798" s="6"/>
      <c r="H798" s="6"/>
      <c r="I798" s="6"/>
      <c r="J798" s="6"/>
      <c r="K798" s="6"/>
      <c r="L798" s="6"/>
      <c r="M798" s="6"/>
      <c r="N798" s="6"/>
      <c r="O798" s="6"/>
      <c r="P798" s="35"/>
      <c r="Q798" s="35"/>
      <c r="R798" s="6"/>
      <c r="S798" s="6"/>
      <c r="T798" s="6"/>
      <c r="U798" s="6"/>
      <c r="V798" s="6"/>
      <c r="W798" s="6"/>
      <c r="X798" s="6"/>
      <c r="Y798" s="6"/>
      <c r="Z798" s="6"/>
      <c r="AA798" s="6"/>
      <c r="AB798" s="6"/>
      <c r="AC798" s="6"/>
      <c r="AD798" s="6"/>
      <c r="AE798" s="6"/>
    </row>
    <row r="799">
      <c r="A799" s="7" t="str">
        <f t="shared" si="2"/>
        <v/>
      </c>
      <c r="B799" s="6"/>
      <c r="C799" s="6"/>
      <c r="D799" s="113"/>
      <c r="E799" s="6"/>
      <c r="F799" s="6"/>
      <c r="G799" s="6"/>
      <c r="H799" s="6"/>
      <c r="I799" s="6"/>
      <c r="J799" s="6"/>
      <c r="K799" s="6"/>
      <c r="L799" s="6"/>
      <c r="M799" s="6"/>
      <c r="N799" s="6"/>
      <c r="O799" s="6"/>
      <c r="P799" s="35"/>
      <c r="Q799" s="35"/>
      <c r="R799" s="6"/>
      <c r="S799" s="6"/>
      <c r="T799" s="6"/>
      <c r="U799" s="6"/>
      <c r="V799" s="6"/>
      <c r="W799" s="6"/>
      <c r="X799" s="6"/>
      <c r="Y799" s="6"/>
      <c r="Z799" s="6"/>
      <c r="AA799" s="6"/>
      <c r="AB799" s="6"/>
      <c r="AC799" s="6"/>
      <c r="AD799" s="6"/>
      <c r="AE799" s="6"/>
    </row>
    <row r="800">
      <c r="A800" s="7" t="str">
        <f t="shared" si="2"/>
        <v/>
      </c>
      <c r="B800" s="6"/>
      <c r="C800" s="6"/>
      <c r="D800" s="113"/>
      <c r="E800" s="6"/>
      <c r="F800" s="6"/>
      <c r="G800" s="6"/>
      <c r="H800" s="6"/>
      <c r="I800" s="6"/>
      <c r="J800" s="6"/>
      <c r="K800" s="6"/>
      <c r="L800" s="6"/>
      <c r="M800" s="6"/>
      <c r="N800" s="6"/>
      <c r="O800" s="6"/>
      <c r="P800" s="35"/>
      <c r="Q800" s="35"/>
      <c r="R800" s="6"/>
      <c r="S800" s="6"/>
      <c r="T800" s="6"/>
      <c r="U800" s="6"/>
      <c r="V800" s="6"/>
      <c r="W800" s="6"/>
      <c r="X800" s="6"/>
      <c r="Y800" s="6"/>
      <c r="Z800" s="6"/>
      <c r="AA800" s="6"/>
      <c r="AB800" s="6"/>
      <c r="AC800" s="6"/>
      <c r="AD800" s="6"/>
      <c r="AE800" s="6"/>
    </row>
    <row r="801">
      <c r="A801" s="7" t="str">
        <f t="shared" si="2"/>
        <v/>
      </c>
      <c r="B801" s="6"/>
      <c r="C801" s="6"/>
      <c r="D801" s="113"/>
      <c r="E801" s="6"/>
      <c r="F801" s="6"/>
      <c r="G801" s="6"/>
      <c r="H801" s="6"/>
      <c r="I801" s="6"/>
      <c r="J801" s="6"/>
      <c r="K801" s="6"/>
      <c r="L801" s="6"/>
      <c r="M801" s="6"/>
      <c r="N801" s="6"/>
      <c r="O801" s="6"/>
      <c r="P801" s="35"/>
      <c r="Q801" s="35"/>
      <c r="R801" s="6"/>
      <c r="S801" s="6"/>
      <c r="T801" s="6"/>
      <c r="U801" s="6"/>
      <c r="V801" s="6"/>
      <c r="W801" s="6"/>
      <c r="X801" s="6"/>
      <c r="Y801" s="6"/>
      <c r="Z801" s="6"/>
      <c r="AA801" s="6"/>
      <c r="AB801" s="6"/>
      <c r="AC801" s="6"/>
      <c r="AD801" s="6"/>
      <c r="AE801" s="6"/>
    </row>
    <row r="802">
      <c r="A802" s="7" t="str">
        <f t="shared" si="2"/>
        <v/>
      </c>
      <c r="B802" s="6"/>
      <c r="C802" s="6"/>
      <c r="D802" s="113"/>
      <c r="E802" s="6"/>
      <c r="F802" s="6"/>
      <c r="G802" s="6"/>
      <c r="H802" s="6"/>
      <c r="I802" s="6"/>
      <c r="J802" s="6"/>
      <c r="K802" s="6"/>
      <c r="L802" s="6"/>
      <c r="M802" s="6"/>
      <c r="N802" s="6"/>
      <c r="O802" s="6"/>
      <c r="P802" s="35"/>
      <c r="Q802" s="35"/>
      <c r="R802" s="6"/>
      <c r="S802" s="6"/>
      <c r="T802" s="6"/>
      <c r="U802" s="6"/>
      <c r="V802" s="6"/>
      <c r="W802" s="6"/>
      <c r="X802" s="6"/>
      <c r="Y802" s="6"/>
      <c r="Z802" s="6"/>
      <c r="AA802" s="6"/>
      <c r="AB802" s="6"/>
      <c r="AC802" s="6"/>
      <c r="AD802" s="6"/>
      <c r="AE802" s="6"/>
    </row>
    <row r="803">
      <c r="A803" s="7" t="str">
        <f t="shared" si="2"/>
        <v/>
      </c>
      <c r="B803" s="6"/>
      <c r="C803" s="6"/>
      <c r="D803" s="113"/>
      <c r="E803" s="6"/>
      <c r="F803" s="6"/>
      <c r="G803" s="6"/>
      <c r="H803" s="6"/>
      <c r="I803" s="6"/>
      <c r="J803" s="6"/>
      <c r="K803" s="6"/>
      <c r="L803" s="6"/>
      <c r="M803" s="6"/>
      <c r="N803" s="6"/>
      <c r="O803" s="6"/>
      <c r="P803" s="35"/>
      <c r="Q803" s="35"/>
      <c r="R803" s="6"/>
      <c r="S803" s="6"/>
      <c r="T803" s="6"/>
      <c r="U803" s="6"/>
      <c r="V803" s="6"/>
      <c r="W803" s="6"/>
      <c r="X803" s="6"/>
      <c r="Y803" s="6"/>
      <c r="Z803" s="6"/>
      <c r="AA803" s="6"/>
      <c r="AB803" s="6"/>
      <c r="AC803" s="6"/>
      <c r="AD803" s="6"/>
      <c r="AE803" s="6"/>
    </row>
    <row r="804">
      <c r="A804" s="7" t="str">
        <f t="shared" si="2"/>
        <v/>
      </c>
      <c r="B804" s="6"/>
      <c r="C804" s="6"/>
      <c r="D804" s="113"/>
      <c r="E804" s="6"/>
      <c r="F804" s="6"/>
      <c r="G804" s="6"/>
      <c r="H804" s="6"/>
      <c r="I804" s="6"/>
      <c r="J804" s="6"/>
      <c r="K804" s="6"/>
      <c r="L804" s="6"/>
      <c r="M804" s="6"/>
      <c r="N804" s="6"/>
      <c r="O804" s="6"/>
      <c r="P804" s="35"/>
      <c r="Q804" s="35"/>
      <c r="R804" s="6"/>
      <c r="S804" s="6"/>
      <c r="T804" s="6"/>
      <c r="U804" s="6"/>
      <c r="V804" s="6"/>
      <c r="W804" s="6"/>
      <c r="X804" s="6"/>
      <c r="Y804" s="6"/>
      <c r="Z804" s="6"/>
      <c r="AA804" s="6"/>
      <c r="AB804" s="6"/>
      <c r="AC804" s="6"/>
      <c r="AD804" s="6"/>
      <c r="AE804" s="6"/>
    </row>
    <row r="805">
      <c r="A805" s="7" t="str">
        <f t="shared" si="2"/>
        <v/>
      </c>
      <c r="B805" s="6"/>
      <c r="C805" s="6"/>
      <c r="D805" s="113"/>
      <c r="E805" s="6"/>
      <c r="F805" s="6"/>
      <c r="G805" s="6"/>
      <c r="H805" s="6"/>
      <c r="I805" s="6"/>
      <c r="J805" s="6"/>
      <c r="K805" s="6"/>
      <c r="L805" s="6"/>
      <c r="M805" s="6"/>
      <c r="N805" s="6"/>
      <c r="O805" s="6"/>
      <c r="P805" s="35"/>
      <c r="Q805" s="35"/>
      <c r="R805" s="6"/>
      <c r="S805" s="6"/>
      <c r="T805" s="6"/>
      <c r="U805" s="6"/>
      <c r="V805" s="6"/>
      <c r="W805" s="6"/>
      <c r="X805" s="6"/>
      <c r="Y805" s="6"/>
      <c r="Z805" s="6"/>
      <c r="AA805" s="6"/>
      <c r="AB805" s="6"/>
      <c r="AC805" s="6"/>
      <c r="AD805" s="6"/>
      <c r="AE805" s="6"/>
    </row>
    <row r="806">
      <c r="A806" s="7" t="str">
        <f t="shared" si="2"/>
        <v/>
      </c>
      <c r="B806" s="6"/>
      <c r="C806" s="6"/>
      <c r="D806" s="113"/>
      <c r="E806" s="6"/>
      <c r="F806" s="6"/>
      <c r="G806" s="6"/>
      <c r="H806" s="6"/>
      <c r="I806" s="6"/>
      <c r="J806" s="6"/>
      <c r="K806" s="6"/>
      <c r="L806" s="6"/>
      <c r="M806" s="6"/>
      <c r="N806" s="6"/>
      <c r="O806" s="6"/>
      <c r="P806" s="35"/>
      <c r="Q806" s="35"/>
      <c r="R806" s="6"/>
      <c r="S806" s="6"/>
      <c r="T806" s="6"/>
      <c r="U806" s="6"/>
      <c r="V806" s="6"/>
      <c r="W806" s="6"/>
      <c r="X806" s="6"/>
      <c r="Y806" s="6"/>
      <c r="Z806" s="6"/>
      <c r="AA806" s="6"/>
      <c r="AB806" s="6"/>
      <c r="AC806" s="6"/>
      <c r="AD806" s="6"/>
      <c r="AE806" s="6"/>
    </row>
    <row r="807">
      <c r="A807" s="7" t="str">
        <f t="shared" si="2"/>
        <v/>
      </c>
      <c r="B807" s="6"/>
      <c r="C807" s="6"/>
      <c r="D807" s="113"/>
      <c r="E807" s="6"/>
      <c r="F807" s="6"/>
      <c r="G807" s="6"/>
      <c r="H807" s="6"/>
      <c r="I807" s="6"/>
      <c r="J807" s="6"/>
      <c r="K807" s="6"/>
      <c r="L807" s="6"/>
      <c r="M807" s="6"/>
      <c r="N807" s="6"/>
      <c r="O807" s="6"/>
      <c r="P807" s="35"/>
      <c r="Q807" s="35"/>
      <c r="R807" s="6"/>
      <c r="S807" s="6"/>
      <c r="T807" s="6"/>
      <c r="U807" s="6"/>
      <c r="V807" s="6"/>
      <c r="W807" s="6"/>
      <c r="X807" s="6"/>
      <c r="Y807" s="6"/>
      <c r="Z807" s="6"/>
      <c r="AA807" s="6"/>
      <c r="AB807" s="6"/>
      <c r="AC807" s="6"/>
      <c r="AD807" s="6"/>
      <c r="AE807" s="6"/>
    </row>
    <row r="808">
      <c r="A808" s="7" t="str">
        <f t="shared" si="2"/>
        <v/>
      </c>
      <c r="B808" s="6"/>
      <c r="C808" s="6"/>
      <c r="D808" s="113"/>
      <c r="E808" s="6"/>
      <c r="F808" s="6"/>
      <c r="G808" s="6"/>
      <c r="H808" s="6"/>
      <c r="I808" s="6"/>
      <c r="J808" s="6"/>
      <c r="K808" s="6"/>
      <c r="L808" s="6"/>
      <c r="M808" s="6"/>
      <c r="N808" s="6"/>
      <c r="O808" s="6"/>
      <c r="P808" s="35"/>
      <c r="Q808" s="35"/>
      <c r="R808" s="6"/>
      <c r="S808" s="6"/>
      <c r="T808" s="6"/>
      <c r="U808" s="6"/>
      <c r="V808" s="6"/>
      <c r="W808" s="6"/>
      <c r="X808" s="6"/>
      <c r="Y808" s="6"/>
      <c r="Z808" s="6"/>
      <c r="AA808" s="6"/>
      <c r="AB808" s="6"/>
      <c r="AC808" s="6"/>
      <c r="AD808" s="6"/>
      <c r="AE808" s="6"/>
    </row>
    <row r="809">
      <c r="A809" s="7" t="str">
        <f t="shared" si="2"/>
        <v/>
      </c>
      <c r="B809" s="6"/>
      <c r="C809" s="6"/>
      <c r="D809" s="113"/>
      <c r="E809" s="6"/>
      <c r="F809" s="6"/>
      <c r="G809" s="6"/>
      <c r="H809" s="6"/>
      <c r="I809" s="6"/>
      <c r="J809" s="6"/>
      <c r="K809" s="6"/>
      <c r="L809" s="6"/>
      <c r="M809" s="6"/>
      <c r="N809" s="6"/>
      <c r="O809" s="6"/>
      <c r="P809" s="35"/>
      <c r="Q809" s="35"/>
      <c r="R809" s="6"/>
      <c r="S809" s="6"/>
      <c r="T809" s="6"/>
      <c r="U809" s="6"/>
      <c r="V809" s="6"/>
      <c r="W809" s="6"/>
      <c r="X809" s="6"/>
      <c r="Y809" s="6"/>
      <c r="Z809" s="6"/>
      <c r="AA809" s="6"/>
      <c r="AB809" s="6"/>
      <c r="AC809" s="6"/>
      <c r="AD809" s="6"/>
      <c r="AE809" s="6"/>
    </row>
    <row r="810">
      <c r="A810" s="7" t="str">
        <f t="shared" si="2"/>
        <v/>
      </c>
      <c r="B810" s="6"/>
      <c r="C810" s="6"/>
      <c r="D810" s="113"/>
      <c r="E810" s="6"/>
      <c r="F810" s="6"/>
      <c r="G810" s="6"/>
      <c r="H810" s="6"/>
      <c r="I810" s="6"/>
      <c r="J810" s="6"/>
      <c r="K810" s="6"/>
      <c r="L810" s="6"/>
      <c r="M810" s="6"/>
      <c r="N810" s="6"/>
      <c r="O810" s="6"/>
      <c r="P810" s="35"/>
      <c r="Q810" s="35"/>
      <c r="R810" s="6"/>
      <c r="S810" s="6"/>
      <c r="T810" s="6"/>
      <c r="U810" s="6"/>
      <c r="V810" s="6"/>
      <c r="W810" s="6"/>
      <c r="X810" s="6"/>
      <c r="Y810" s="6"/>
      <c r="Z810" s="6"/>
      <c r="AA810" s="6"/>
      <c r="AB810" s="6"/>
      <c r="AC810" s="6"/>
      <c r="AD810" s="6"/>
      <c r="AE810" s="6"/>
    </row>
    <row r="811">
      <c r="A811" s="7" t="str">
        <f t="shared" si="2"/>
        <v/>
      </c>
      <c r="B811" s="6"/>
      <c r="C811" s="6"/>
      <c r="D811" s="113"/>
      <c r="E811" s="6"/>
      <c r="F811" s="6"/>
      <c r="G811" s="6"/>
      <c r="H811" s="6"/>
      <c r="I811" s="6"/>
      <c r="J811" s="6"/>
      <c r="K811" s="6"/>
      <c r="L811" s="6"/>
      <c r="M811" s="6"/>
      <c r="N811" s="6"/>
      <c r="O811" s="6"/>
      <c r="P811" s="35"/>
      <c r="Q811" s="35"/>
      <c r="R811" s="6"/>
      <c r="S811" s="6"/>
      <c r="T811" s="6"/>
      <c r="U811" s="6"/>
      <c r="V811" s="6"/>
      <c r="W811" s="6"/>
      <c r="X811" s="6"/>
      <c r="Y811" s="6"/>
      <c r="Z811" s="6"/>
      <c r="AA811" s="6"/>
      <c r="AB811" s="6"/>
      <c r="AC811" s="6"/>
      <c r="AD811" s="6"/>
      <c r="AE811" s="6"/>
    </row>
    <row r="812">
      <c r="A812" s="7" t="str">
        <f t="shared" si="2"/>
        <v/>
      </c>
      <c r="B812" s="6"/>
      <c r="C812" s="6"/>
      <c r="D812" s="113"/>
      <c r="E812" s="6"/>
      <c r="F812" s="6"/>
      <c r="G812" s="6"/>
      <c r="H812" s="6"/>
      <c r="I812" s="6"/>
      <c r="J812" s="6"/>
      <c r="K812" s="6"/>
      <c r="L812" s="6"/>
      <c r="M812" s="6"/>
      <c r="N812" s="6"/>
      <c r="O812" s="6"/>
      <c r="P812" s="35"/>
      <c r="Q812" s="35"/>
      <c r="R812" s="6"/>
      <c r="S812" s="6"/>
      <c r="T812" s="6"/>
      <c r="U812" s="6"/>
      <c r="V812" s="6"/>
      <c r="W812" s="6"/>
      <c r="X812" s="6"/>
      <c r="Y812" s="6"/>
      <c r="Z812" s="6"/>
      <c r="AA812" s="6"/>
      <c r="AB812" s="6"/>
      <c r="AC812" s="6"/>
      <c r="AD812" s="6"/>
      <c r="AE812" s="6"/>
    </row>
    <row r="813">
      <c r="A813" s="7" t="str">
        <f t="shared" si="2"/>
        <v/>
      </c>
      <c r="B813" s="6"/>
      <c r="C813" s="6"/>
      <c r="D813" s="113"/>
      <c r="E813" s="6"/>
      <c r="F813" s="6"/>
      <c r="G813" s="6"/>
      <c r="H813" s="6"/>
      <c r="I813" s="6"/>
      <c r="J813" s="6"/>
      <c r="K813" s="6"/>
      <c r="L813" s="6"/>
      <c r="M813" s="6"/>
      <c r="N813" s="6"/>
      <c r="O813" s="6"/>
      <c r="P813" s="35"/>
      <c r="Q813" s="35"/>
      <c r="R813" s="6"/>
      <c r="S813" s="6"/>
      <c r="T813" s="6"/>
      <c r="U813" s="6"/>
      <c r="V813" s="6"/>
      <c r="W813" s="6"/>
      <c r="X813" s="6"/>
      <c r="Y813" s="6"/>
      <c r="Z813" s="6"/>
      <c r="AA813" s="6"/>
      <c r="AB813" s="6"/>
      <c r="AC813" s="6"/>
      <c r="AD813" s="6"/>
      <c r="AE813" s="6"/>
    </row>
    <row r="814">
      <c r="A814" s="7" t="str">
        <f t="shared" si="2"/>
        <v/>
      </c>
      <c r="B814" s="6"/>
      <c r="C814" s="6"/>
      <c r="D814" s="113"/>
      <c r="E814" s="6"/>
      <c r="F814" s="6"/>
      <c r="G814" s="6"/>
      <c r="H814" s="6"/>
      <c r="I814" s="6"/>
      <c r="J814" s="6"/>
      <c r="K814" s="6"/>
      <c r="L814" s="6"/>
      <c r="M814" s="6"/>
      <c r="N814" s="6"/>
      <c r="O814" s="6"/>
      <c r="P814" s="35"/>
      <c r="Q814" s="35"/>
      <c r="R814" s="6"/>
      <c r="S814" s="6"/>
      <c r="T814" s="6"/>
      <c r="U814" s="6"/>
      <c r="V814" s="6"/>
      <c r="W814" s="6"/>
      <c r="X814" s="6"/>
      <c r="Y814" s="6"/>
      <c r="Z814" s="6"/>
      <c r="AA814" s="6"/>
      <c r="AB814" s="6"/>
      <c r="AC814" s="6"/>
      <c r="AD814" s="6"/>
      <c r="AE814" s="6"/>
    </row>
    <row r="815">
      <c r="A815" s="7" t="str">
        <f t="shared" si="2"/>
        <v/>
      </c>
      <c r="B815" s="6"/>
      <c r="C815" s="6"/>
      <c r="D815" s="113"/>
      <c r="E815" s="6"/>
      <c r="F815" s="6"/>
      <c r="G815" s="6"/>
      <c r="H815" s="6"/>
      <c r="I815" s="6"/>
      <c r="J815" s="6"/>
      <c r="K815" s="6"/>
      <c r="L815" s="6"/>
      <c r="M815" s="6"/>
      <c r="N815" s="6"/>
      <c r="O815" s="6"/>
      <c r="P815" s="35"/>
      <c r="Q815" s="35"/>
      <c r="R815" s="6"/>
      <c r="S815" s="6"/>
      <c r="T815" s="6"/>
      <c r="U815" s="6"/>
      <c r="V815" s="6"/>
      <c r="W815" s="6"/>
      <c r="X815" s="6"/>
      <c r="Y815" s="6"/>
      <c r="Z815" s="6"/>
      <c r="AA815" s="6"/>
      <c r="AB815" s="6"/>
      <c r="AC815" s="6"/>
      <c r="AD815" s="6"/>
      <c r="AE815" s="6"/>
    </row>
    <row r="816">
      <c r="A816" s="7" t="str">
        <f t="shared" si="2"/>
        <v/>
      </c>
      <c r="B816" s="6"/>
      <c r="C816" s="6"/>
      <c r="D816" s="113"/>
      <c r="E816" s="6"/>
      <c r="F816" s="6"/>
      <c r="G816" s="6"/>
      <c r="H816" s="6"/>
      <c r="I816" s="6"/>
      <c r="J816" s="6"/>
      <c r="K816" s="6"/>
      <c r="L816" s="6"/>
      <c r="M816" s="6"/>
      <c r="N816" s="6"/>
      <c r="O816" s="6"/>
      <c r="P816" s="35"/>
      <c r="Q816" s="35"/>
      <c r="R816" s="6"/>
      <c r="S816" s="6"/>
      <c r="T816" s="6"/>
      <c r="U816" s="6"/>
      <c r="V816" s="6"/>
      <c r="W816" s="6"/>
      <c r="X816" s="6"/>
      <c r="Y816" s="6"/>
      <c r="Z816" s="6"/>
      <c r="AA816" s="6"/>
      <c r="AB816" s="6"/>
      <c r="AC816" s="6"/>
      <c r="AD816" s="6"/>
      <c r="AE816" s="6"/>
    </row>
    <row r="817">
      <c r="A817" s="7" t="str">
        <f t="shared" si="2"/>
        <v/>
      </c>
      <c r="B817" s="6"/>
      <c r="C817" s="6"/>
      <c r="D817" s="113"/>
      <c r="E817" s="6"/>
      <c r="F817" s="6"/>
      <c r="G817" s="6"/>
      <c r="H817" s="6"/>
      <c r="I817" s="6"/>
      <c r="J817" s="6"/>
      <c r="K817" s="6"/>
      <c r="L817" s="6"/>
      <c r="M817" s="6"/>
      <c r="N817" s="6"/>
      <c r="O817" s="6"/>
      <c r="P817" s="35"/>
      <c r="Q817" s="35"/>
      <c r="R817" s="6"/>
      <c r="S817" s="6"/>
      <c r="T817" s="6"/>
      <c r="U817" s="6"/>
      <c r="V817" s="6"/>
      <c r="W817" s="6"/>
      <c r="X817" s="6"/>
      <c r="Y817" s="6"/>
      <c r="Z817" s="6"/>
      <c r="AA817" s="6"/>
      <c r="AB817" s="6"/>
      <c r="AC817" s="6"/>
      <c r="AD817" s="6"/>
      <c r="AE817" s="6"/>
    </row>
    <row r="818">
      <c r="A818" s="7" t="str">
        <f t="shared" si="2"/>
        <v/>
      </c>
      <c r="B818" s="6"/>
      <c r="C818" s="6"/>
      <c r="D818" s="113"/>
      <c r="E818" s="6"/>
      <c r="F818" s="6"/>
      <c r="G818" s="6"/>
      <c r="H818" s="6"/>
      <c r="I818" s="6"/>
      <c r="J818" s="6"/>
      <c r="K818" s="6"/>
      <c r="L818" s="6"/>
      <c r="M818" s="6"/>
      <c r="N818" s="6"/>
      <c r="O818" s="6"/>
      <c r="P818" s="35"/>
      <c r="Q818" s="35"/>
      <c r="R818" s="6"/>
      <c r="S818" s="6"/>
      <c r="T818" s="6"/>
      <c r="U818" s="6"/>
      <c r="V818" s="6"/>
      <c r="W818" s="6"/>
      <c r="X818" s="6"/>
      <c r="Y818" s="6"/>
      <c r="Z818" s="6"/>
      <c r="AA818" s="6"/>
      <c r="AB818" s="6"/>
      <c r="AC818" s="6"/>
      <c r="AD818" s="6"/>
      <c r="AE818" s="6"/>
    </row>
    <row r="819">
      <c r="A819" s="7" t="str">
        <f t="shared" si="2"/>
        <v/>
      </c>
      <c r="B819" s="6"/>
      <c r="C819" s="6"/>
      <c r="D819" s="113"/>
      <c r="E819" s="6"/>
      <c r="F819" s="6"/>
      <c r="G819" s="6"/>
      <c r="H819" s="6"/>
      <c r="I819" s="6"/>
      <c r="J819" s="6"/>
      <c r="K819" s="6"/>
      <c r="L819" s="6"/>
      <c r="M819" s="6"/>
      <c r="N819" s="6"/>
      <c r="O819" s="6"/>
      <c r="P819" s="35"/>
      <c r="Q819" s="35"/>
      <c r="R819" s="6"/>
      <c r="S819" s="6"/>
      <c r="T819" s="6"/>
      <c r="U819" s="6"/>
      <c r="V819" s="6"/>
      <c r="W819" s="6"/>
      <c r="X819" s="6"/>
      <c r="Y819" s="6"/>
      <c r="Z819" s="6"/>
      <c r="AA819" s="6"/>
      <c r="AB819" s="6"/>
      <c r="AC819" s="6"/>
      <c r="AD819" s="6"/>
      <c r="AE819" s="6"/>
    </row>
    <row r="820">
      <c r="A820" s="7" t="str">
        <f t="shared" si="2"/>
        <v/>
      </c>
      <c r="B820" s="6"/>
      <c r="C820" s="6"/>
      <c r="D820" s="113"/>
      <c r="E820" s="6"/>
      <c r="F820" s="6"/>
      <c r="G820" s="6"/>
      <c r="H820" s="6"/>
      <c r="I820" s="6"/>
      <c r="J820" s="6"/>
      <c r="K820" s="6"/>
      <c r="L820" s="6"/>
      <c r="M820" s="6"/>
      <c r="N820" s="6"/>
      <c r="O820" s="6"/>
      <c r="P820" s="35"/>
      <c r="Q820" s="35"/>
      <c r="R820" s="6"/>
      <c r="S820" s="6"/>
      <c r="T820" s="6"/>
      <c r="U820" s="6"/>
      <c r="V820" s="6"/>
      <c r="W820" s="6"/>
      <c r="X820" s="6"/>
      <c r="Y820" s="6"/>
      <c r="Z820" s="6"/>
      <c r="AA820" s="6"/>
      <c r="AB820" s="6"/>
      <c r="AC820" s="6"/>
      <c r="AD820" s="6"/>
      <c r="AE820" s="6"/>
    </row>
    <row r="821">
      <c r="A821" s="7" t="str">
        <f t="shared" si="2"/>
        <v/>
      </c>
      <c r="B821" s="6"/>
      <c r="C821" s="6"/>
      <c r="D821" s="113"/>
      <c r="E821" s="6"/>
      <c r="F821" s="6"/>
      <c r="G821" s="6"/>
      <c r="H821" s="6"/>
      <c r="I821" s="6"/>
      <c r="J821" s="6"/>
      <c r="K821" s="6"/>
      <c r="L821" s="6"/>
      <c r="M821" s="6"/>
      <c r="N821" s="6"/>
      <c r="O821" s="6"/>
      <c r="P821" s="35"/>
      <c r="Q821" s="35"/>
      <c r="R821" s="6"/>
      <c r="S821" s="6"/>
      <c r="T821" s="6"/>
      <c r="U821" s="6"/>
      <c r="V821" s="6"/>
      <c r="W821" s="6"/>
      <c r="X821" s="6"/>
      <c r="Y821" s="6"/>
      <c r="Z821" s="6"/>
      <c r="AA821" s="6"/>
      <c r="AB821" s="6"/>
      <c r="AC821" s="6"/>
      <c r="AD821" s="6"/>
      <c r="AE821" s="6"/>
    </row>
    <row r="822">
      <c r="A822" s="7" t="str">
        <f t="shared" si="2"/>
        <v/>
      </c>
      <c r="B822" s="6"/>
      <c r="C822" s="6"/>
      <c r="D822" s="113"/>
      <c r="E822" s="6"/>
      <c r="F822" s="6"/>
      <c r="G822" s="6"/>
      <c r="H822" s="6"/>
      <c r="I822" s="6"/>
      <c r="J822" s="6"/>
      <c r="K822" s="6"/>
      <c r="L822" s="6"/>
      <c r="M822" s="6"/>
      <c r="N822" s="6"/>
      <c r="O822" s="6"/>
      <c r="P822" s="35"/>
      <c r="Q822" s="35"/>
      <c r="R822" s="6"/>
      <c r="S822" s="6"/>
      <c r="T822" s="6"/>
      <c r="U822" s="6"/>
      <c r="V822" s="6"/>
      <c r="W822" s="6"/>
      <c r="X822" s="6"/>
      <c r="Y822" s="6"/>
      <c r="Z822" s="6"/>
      <c r="AA822" s="6"/>
      <c r="AB822" s="6"/>
      <c r="AC822" s="6"/>
      <c r="AD822" s="6"/>
      <c r="AE822" s="6"/>
    </row>
    <row r="823">
      <c r="A823" s="7" t="str">
        <f t="shared" si="2"/>
        <v/>
      </c>
      <c r="B823" s="6"/>
      <c r="C823" s="6"/>
      <c r="D823" s="113"/>
      <c r="E823" s="6"/>
      <c r="F823" s="6"/>
      <c r="G823" s="6"/>
      <c r="H823" s="6"/>
      <c r="I823" s="6"/>
      <c r="J823" s="6"/>
      <c r="K823" s="6"/>
      <c r="L823" s="6"/>
      <c r="M823" s="6"/>
      <c r="N823" s="6"/>
      <c r="O823" s="6"/>
      <c r="P823" s="35"/>
      <c r="Q823" s="35"/>
      <c r="R823" s="6"/>
      <c r="S823" s="6"/>
      <c r="T823" s="6"/>
      <c r="U823" s="6"/>
      <c r="V823" s="6"/>
      <c r="W823" s="6"/>
      <c r="X823" s="6"/>
      <c r="Y823" s="6"/>
      <c r="Z823" s="6"/>
      <c r="AA823" s="6"/>
      <c r="AB823" s="6"/>
      <c r="AC823" s="6"/>
      <c r="AD823" s="6"/>
      <c r="AE823" s="6"/>
    </row>
    <row r="824">
      <c r="A824" s="7" t="str">
        <f t="shared" si="2"/>
        <v/>
      </c>
      <c r="B824" s="6"/>
      <c r="C824" s="6"/>
      <c r="D824" s="113"/>
      <c r="E824" s="6"/>
      <c r="F824" s="6"/>
      <c r="G824" s="6"/>
      <c r="H824" s="6"/>
      <c r="I824" s="6"/>
      <c r="J824" s="6"/>
      <c r="K824" s="6"/>
      <c r="L824" s="6"/>
      <c r="M824" s="6"/>
      <c r="N824" s="6"/>
      <c r="O824" s="6"/>
      <c r="P824" s="35"/>
      <c r="Q824" s="35"/>
      <c r="R824" s="6"/>
      <c r="S824" s="6"/>
      <c r="T824" s="6"/>
      <c r="U824" s="6"/>
      <c r="V824" s="6"/>
      <c r="W824" s="6"/>
      <c r="X824" s="6"/>
      <c r="Y824" s="6"/>
      <c r="Z824" s="6"/>
      <c r="AA824" s="6"/>
      <c r="AB824" s="6"/>
      <c r="AC824" s="6"/>
      <c r="AD824" s="6"/>
      <c r="AE824" s="6"/>
    </row>
    <row r="825">
      <c r="A825" s="7" t="str">
        <f t="shared" si="2"/>
        <v/>
      </c>
      <c r="B825" s="6"/>
      <c r="C825" s="6"/>
      <c r="D825" s="113"/>
      <c r="E825" s="6"/>
      <c r="F825" s="6"/>
      <c r="G825" s="6"/>
      <c r="H825" s="6"/>
      <c r="I825" s="6"/>
      <c r="J825" s="6"/>
      <c r="K825" s="6"/>
      <c r="L825" s="6"/>
      <c r="M825" s="6"/>
      <c r="N825" s="6"/>
      <c r="O825" s="6"/>
      <c r="P825" s="35"/>
      <c r="Q825" s="35"/>
      <c r="R825" s="6"/>
      <c r="S825" s="6"/>
      <c r="T825" s="6"/>
      <c r="U825" s="6"/>
      <c r="V825" s="6"/>
      <c r="W825" s="6"/>
      <c r="X825" s="6"/>
      <c r="Y825" s="6"/>
      <c r="Z825" s="6"/>
      <c r="AA825" s="6"/>
      <c r="AB825" s="6"/>
      <c r="AC825" s="6"/>
      <c r="AD825" s="6"/>
      <c r="AE825" s="6"/>
    </row>
    <row r="826">
      <c r="A826" s="7" t="str">
        <f t="shared" si="2"/>
        <v/>
      </c>
      <c r="B826" s="6"/>
      <c r="C826" s="6"/>
      <c r="D826" s="113"/>
      <c r="E826" s="6"/>
      <c r="F826" s="6"/>
      <c r="G826" s="6"/>
      <c r="H826" s="6"/>
      <c r="I826" s="6"/>
      <c r="J826" s="6"/>
      <c r="K826" s="6"/>
      <c r="L826" s="6"/>
      <c r="M826" s="6"/>
      <c r="N826" s="6"/>
      <c r="O826" s="6"/>
      <c r="P826" s="35"/>
      <c r="Q826" s="35"/>
      <c r="R826" s="6"/>
      <c r="S826" s="6"/>
      <c r="T826" s="6"/>
      <c r="U826" s="6"/>
      <c r="V826" s="6"/>
      <c r="W826" s="6"/>
      <c r="X826" s="6"/>
      <c r="Y826" s="6"/>
      <c r="Z826" s="6"/>
      <c r="AA826" s="6"/>
      <c r="AB826" s="6"/>
      <c r="AC826" s="6"/>
      <c r="AD826" s="6"/>
      <c r="AE826" s="6"/>
    </row>
    <row r="827">
      <c r="A827" s="7" t="str">
        <f t="shared" si="2"/>
        <v/>
      </c>
      <c r="B827" s="6"/>
      <c r="C827" s="6"/>
      <c r="D827" s="113"/>
      <c r="E827" s="6"/>
      <c r="F827" s="6"/>
      <c r="G827" s="6"/>
      <c r="H827" s="6"/>
      <c r="I827" s="6"/>
      <c r="J827" s="6"/>
      <c r="K827" s="6"/>
      <c r="L827" s="6"/>
      <c r="M827" s="6"/>
      <c r="N827" s="6"/>
      <c r="O827" s="6"/>
      <c r="P827" s="35"/>
      <c r="Q827" s="35"/>
      <c r="R827" s="6"/>
      <c r="S827" s="6"/>
      <c r="T827" s="6"/>
      <c r="U827" s="6"/>
      <c r="V827" s="6"/>
      <c r="W827" s="6"/>
      <c r="X827" s="6"/>
      <c r="Y827" s="6"/>
      <c r="Z827" s="6"/>
      <c r="AA827" s="6"/>
      <c r="AB827" s="6"/>
      <c r="AC827" s="6"/>
      <c r="AD827" s="6"/>
      <c r="AE827" s="6"/>
    </row>
    <row r="828">
      <c r="A828" s="7" t="str">
        <f t="shared" si="2"/>
        <v/>
      </c>
      <c r="B828" s="6"/>
      <c r="C828" s="6"/>
      <c r="D828" s="113"/>
      <c r="E828" s="6"/>
      <c r="F828" s="6"/>
      <c r="G828" s="6"/>
      <c r="H828" s="6"/>
      <c r="I828" s="6"/>
      <c r="J828" s="6"/>
      <c r="K828" s="6"/>
      <c r="L828" s="6"/>
      <c r="M828" s="6"/>
      <c r="N828" s="6"/>
      <c r="O828" s="6"/>
      <c r="P828" s="35"/>
      <c r="Q828" s="35"/>
      <c r="R828" s="6"/>
      <c r="S828" s="6"/>
      <c r="T828" s="6"/>
      <c r="U828" s="6"/>
      <c r="V828" s="6"/>
      <c r="W828" s="6"/>
      <c r="X828" s="6"/>
      <c r="Y828" s="6"/>
      <c r="Z828" s="6"/>
      <c r="AA828" s="6"/>
      <c r="AB828" s="6"/>
      <c r="AC828" s="6"/>
      <c r="AD828" s="6"/>
      <c r="AE828" s="6"/>
    </row>
    <row r="829">
      <c r="A829" s="7" t="str">
        <f t="shared" si="2"/>
        <v/>
      </c>
      <c r="B829" s="6"/>
      <c r="C829" s="6"/>
      <c r="D829" s="113"/>
      <c r="E829" s="6"/>
      <c r="F829" s="6"/>
      <c r="G829" s="6"/>
      <c r="H829" s="6"/>
      <c r="I829" s="6"/>
      <c r="J829" s="6"/>
      <c r="K829" s="6"/>
      <c r="L829" s="6"/>
      <c r="M829" s="6"/>
      <c r="N829" s="6"/>
      <c r="O829" s="6"/>
      <c r="P829" s="35"/>
      <c r="Q829" s="35"/>
      <c r="R829" s="6"/>
      <c r="S829" s="6"/>
      <c r="T829" s="6"/>
      <c r="U829" s="6"/>
      <c r="V829" s="6"/>
      <c r="W829" s="6"/>
      <c r="X829" s="6"/>
      <c r="Y829" s="6"/>
      <c r="Z829" s="6"/>
      <c r="AA829" s="6"/>
      <c r="AB829" s="6"/>
      <c r="AC829" s="6"/>
      <c r="AD829" s="6"/>
      <c r="AE829" s="6"/>
    </row>
    <row r="830">
      <c r="A830" s="7" t="str">
        <f t="shared" si="2"/>
        <v/>
      </c>
      <c r="B830" s="6"/>
      <c r="C830" s="6"/>
      <c r="D830" s="113"/>
      <c r="E830" s="6"/>
      <c r="F830" s="6"/>
      <c r="G830" s="6"/>
      <c r="H830" s="6"/>
      <c r="I830" s="6"/>
      <c r="J830" s="6"/>
      <c r="K830" s="6"/>
      <c r="L830" s="6"/>
      <c r="M830" s="6"/>
      <c r="N830" s="6"/>
      <c r="O830" s="6"/>
      <c r="P830" s="35"/>
      <c r="Q830" s="35"/>
      <c r="R830" s="6"/>
      <c r="S830" s="6"/>
      <c r="T830" s="6"/>
      <c r="U830" s="6"/>
      <c r="V830" s="6"/>
      <c r="W830" s="6"/>
      <c r="X830" s="6"/>
      <c r="Y830" s="6"/>
      <c r="Z830" s="6"/>
      <c r="AA830" s="6"/>
      <c r="AB830" s="6"/>
      <c r="AC830" s="6"/>
      <c r="AD830" s="6"/>
      <c r="AE830" s="6"/>
    </row>
    <row r="831">
      <c r="A831" s="7" t="str">
        <f t="shared" si="2"/>
        <v/>
      </c>
      <c r="B831" s="6"/>
      <c r="C831" s="6"/>
      <c r="D831" s="113"/>
      <c r="E831" s="6"/>
      <c r="F831" s="6"/>
      <c r="G831" s="6"/>
      <c r="H831" s="6"/>
      <c r="I831" s="6"/>
      <c r="J831" s="6"/>
      <c r="K831" s="6"/>
      <c r="L831" s="6"/>
      <c r="M831" s="6"/>
      <c r="N831" s="6"/>
      <c r="O831" s="6"/>
      <c r="P831" s="35"/>
      <c r="Q831" s="35"/>
      <c r="R831" s="6"/>
      <c r="S831" s="6"/>
      <c r="T831" s="6"/>
      <c r="U831" s="6"/>
      <c r="V831" s="6"/>
      <c r="W831" s="6"/>
      <c r="X831" s="6"/>
      <c r="Y831" s="6"/>
      <c r="Z831" s="6"/>
      <c r="AA831" s="6"/>
      <c r="AB831" s="6"/>
      <c r="AC831" s="6"/>
      <c r="AD831" s="6"/>
      <c r="AE831" s="6"/>
    </row>
    <row r="832">
      <c r="A832" s="7" t="str">
        <f t="shared" si="2"/>
        <v/>
      </c>
      <c r="B832" s="6"/>
      <c r="C832" s="6"/>
      <c r="D832" s="113"/>
      <c r="E832" s="6"/>
      <c r="F832" s="6"/>
      <c r="G832" s="6"/>
      <c r="H832" s="6"/>
      <c r="I832" s="6"/>
      <c r="J832" s="6"/>
      <c r="K832" s="6"/>
      <c r="L832" s="6"/>
      <c r="M832" s="6"/>
      <c r="N832" s="6"/>
      <c r="O832" s="6"/>
      <c r="P832" s="35"/>
      <c r="Q832" s="35"/>
      <c r="R832" s="6"/>
      <c r="S832" s="6"/>
      <c r="T832" s="6"/>
      <c r="U832" s="6"/>
      <c r="V832" s="6"/>
      <c r="W832" s="6"/>
      <c r="X832" s="6"/>
      <c r="Y832" s="6"/>
      <c r="Z832" s="6"/>
      <c r="AA832" s="6"/>
      <c r="AB832" s="6"/>
      <c r="AC832" s="6"/>
      <c r="AD832" s="6"/>
      <c r="AE832" s="6"/>
    </row>
    <row r="833">
      <c r="A833" s="7" t="str">
        <f t="shared" si="2"/>
        <v/>
      </c>
      <c r="B833" s="6"/>
      <c r="C833" s="6"/>
      <c r="D833" s="113"/>
      <c r="E833" s="6"/>
      <c r="F833" s="6"/>
      <c r="G833" s="6"/>
      <c r="H833" s="6"/>
      <c r="I833" s="6"/>
      <c r="J833" s="6"/>
      <c r="K833" s="6"/>
      <c r="L833" s="6"/>
      <c r="M833" s="6"/>
      <c r="N833" s="6"/>
      <c r="O833" s="6"/>
      <c r="P833" s="35"/>
      <c r="Q833" s="35"/>
      <c r="R833" s="6"/>
      <c r="S833" s="6"/>
      <c r="T833" s="6"/>
      <c r="U833" s="6"/>
      <c r="V833" s="6"/>
      <c r="W833" s="6"/>
      <c r="X833" s="6"/>
      <c r="Y833" s="6"/>
      <c r="Z833" s="6"/>
      <c r="AA833" s="6"/>
      <c r="AB833" s="6"/>
      <c r="AC833" s="6"/>
      <c r="AD833" s="6"/>
      <c r="AE833" s="6"/>
    </row>
    <row r="834">
      <c r="A834" s="7" t="str">
        <f t="shared" si="2"/>
        <v/>
      </c>
      <c r="B834" s="6"/>
      <c r="C834" s="6"/>
      <c r="D834" s="113"/>
      <c r="E834" s="6"/>
      <c r="F834" s="6"/>
      <c r="G834" s="6"/>
      <c r="H834" s="6"/>
      <c r="I834" s="6"/>
      <c r="J834" s="6"/>
      <c r="K834" s="6"/>
      <c r="L834" s="6"/>
      <c r="M834" s="6"/>
      <c r="N834" s="6"/>
      <c r="O834" s="6"/>
      <c r="P834" s="35"/>
      <c r="Q834" s="35"/>
      <c r="R834" s="6"/>
      <c r="S834" s="6"/>
      <c r="T834" s="6"/>
      <c r="U834" s="6"/>
      <c r="V834" s="6"/>
      <c r="W834" s="6"/>
      <c r="X834" s="6"/>
      <c r="Y834" s="6"/>
      <c r="Z834" s="6"/>
      <c r="AA834" s="6"/>
      <c r="AB834" s="6"/>
      <c r="AC834" s="6"/>
      <c r="AD834" s="6"/>
      <c r="AE834" s="6"/>
    </row>
    <row r="835">
      <c r="A835" s="7" t="str">
        <f t="shared" si="2"/>
        <v/>
      </c>
      <c r="B835" s="6"/>
      <c r="C835" s="6"/>
      <c r="D835" s="113"/>
      <c r="E835" s="6"/>
      <c r="F835" s="6"/>
      <c r="G835" s="6"/>
      <c r="H835" s="6"/>
      <c r="I835" s="6"/>
      <c r="J835" s="6"/>
      <c r="K835" s="6"/>
      <c r="L835" s="6"/>
      <c r="M835" s="6"/>
      <c r="N835" s="6"/>
      <c r="O835" s="6"/>
      <c r="P835" s="35"/>
      <c r="Q835" s="35"/>
      <c r="R835" s="6"/>
      <c r="S835" s="6"/>
      <c r="T835" s="6"/>
      <c r="U835" s="6"/>
      <c r="V835" s="6"/>
      <c r="W835" s="6"/>
      <c r="X835" s="6"/>
      <c r="Y835" s="6"/>
      <c r="Z835" s="6"/>
      <c r="AA835" s="6"/>
      <c r="AB835" s="6"/>
      <c r="AC835" s="6"/>
      <c r="AD835" s="6"/>
      <c r="AE835" s="6"/>
    </row>
    <row r="836">
      <c r="A836" s="7" t="str">
        <f t="shared" si="2"/>
        <v/>
      </c>
      <c r="B836" s="6"/>
      <c r="C836" s="6"/>
      <c r="D836" s="113"/>
      <c r="E836" s="6"/>
      <c r="F836" s="6"/>
      <c r="G836" s="6"/>
      <c r="H836" s="6"/>
      <c r="I836" s="6"/>
      <c r="J836" s="6"/>
      <c r="K836" s="6"/>
      <c r="L836" s="6"/>
      <c r="M836" s="6"/>
      <c r="N836" s="6"/>
      <c r="O836" s="6"/>
      <c r="P836" s="35"/>
      <c r="Q836" s="35"/>
      <c r="R836" s="6"/>
      <c r="S836" s="6"/>
      <c r="T836" s="6"/>
      <c r="U836" s="6"/>
      <c r="V836" s="6"/>
      <c r="W836" s="6"/>
      <c r="X836" s="6"/>
      <c r="Y836" s="6"/>
      <c r="Z836" s="6"/>
      <c r="AA836" s="6"/>
      <c r="AB836" s="6"/>
      <c r="AC836" s="6"/>
      <c r="AD836" s="6"/>
      <c r="AE836" s="6"/>
    </row>
    <row r="837">
      <c r="A837" s="7" t="str">
        <f t="shared" si="2"/>
        <v/>
      </c>
      <c r="B837" s="6"/>
      <c r="C837" s="6"/>
      <c r="D837" s="113"/>
      <c r="E837" s="6"/>
      <c r="F837" s="6"/>
      <c r="G837" s="6"/>
      <c r="H837" s="6"/>
      <c r="I837" s="6"/>
      <c r="J837" s="6"/>
      <c r="K837" s="6"/>
      <c r="L837" s="6"/>
      <c r="M837" s="6"/>
      <c r="N837" s="6"/>
      <c r="O837" s="6"/>
      <c r="P837" s="35"/>
      <c r="Q837" s="35"/>
      <c r="R837" s="6"/>
      <c r="S837" s="6"/>
      <c r="T837" s="6"/>
      <c r="U837" s="6"/>
      <c r="V837" s="6"/>
      <c r="W837" s="6"/>
      <c r="X837" s="6"/>
      <c r="Y837" s="6"/>
      <c r="Z837" s="6"/>
      <c r="AA837" s="6"/>
      <c r="AB837" s="6"/>
      <c r="AC837" s="6"/>
      <c r="AD837" s="6"/>
      <c r="AE837" s="6"/>
    </row>
    <row r="838">
      <c r="A838" s="7" t="str">
        <f t="shared" si="2"/>
        <v/>
      </c>
      <c r="B838" s="6"/>
      <c r="C838" s="6"/>
      <c r="D838" s="113"/>
      <c r="E838" s="6"/>
      <c r="F838" s="6"/>
      <c r="G838" s="6"/>
      <c r="H838" s="6"/>
      <c r="I838" s="6"/>
      <c r="J838" s="6"/>
      <c r="K838" s="6"/>
      <c r="L838" s="6"/>
      <c r="M838" s="6"/>
      <c r="N838" s="6"/>
      <c r="O838" s="6"/>
      <c r="P838" s="35"/>
      <c r="Q838" s="35"/>
      <c r="R838" s="6"/>
      <c r="S838" s="6"/>
      <c r="T838" s="6"/>
      <c r="U838" s="6"/>
      <c r="V838" s="6"/>
      <c r="W838" s="6"/>
      <c r="X838" s="6"/>
      <c r="Y838" s="6"/>
      <c r="Z838" s="6"/>
      <c r="AA838" s="6"/>
      <c r="AB838" s="6"/>
      <c r="AC838" s="6"/>
      <c r="AD838" s="6"/>
      <c r="AE838" s="6"/>
    </row>
    <row r="839">
      <c r="A839" s="7" t="str">
        <f t="shared" si="2"/>
        <v/>
      </c>
      <c r="B839" s="6"/>
      <c r="C839" s="6"/>
      <c r="D839" s="113"/>
      <c r="E839" s="6"/>
      <c r="F839" s="6"/>
      <c r="G839" s="6"/>
      <c r="H839" s="6"/>
      <c r="I839" s="6"/>
      <c r="J839" s="6"/>
      <c r="K839" s="6"/>
      <c r="L839" s="6"/>
      <c r="M839" s="6"/>
      <c r="N839" s="6"/>
      <c r="O839" s="6"/>
      <c r="P839" s="35"/>
      <c r="Q839" s="35"/>
      <c r="R839" s="6"/>
      <c r="S839" s="6"/>
      <c r="T839" s="6"/>
      <c r="U839" s="6"/>
      <c r="V839" s="6"/>
      <c r="W839" s="6"/>
      <c r="X839" s="6"/>
      <c r="Y839" s="6"/>
      <c r="Z839" s="6"/>
      <c r="AA839" s="6"/>
      <c r="AB839" s="6"/>
      <c r="AC839" s="6"/>
      <c r="AD839" s="6"/>
      <c r="AE839" s="6"/>
    </row>
    <row r="840">
      <c r="A840" s="7" t="str">
        <f t="shared" si="2"/>
        <v/>
      </c>
      <c r="B840" s="6"/>
      <c r="C840" s="6"/>
      <c r="D840" s="113"/>
      <c r="E840" s="6"/>
      <c r="F840" s="6"/>
      <c r="G840" s="6"/>
      <c r="H840" s="6"/>
      <c r="I840" s="6"/>
      <c r="J840" s="6"/>
      <c r="K840" s="6"/>
      <c r="L840" s="6"/>
      <c r="M840" s="6"/>
      <c r="N840" s="6"/>
      <c r="O840" s="6"/>
      <c r="P840" s="35"/>
      <c r="Q840" s="35"/>
      <c r="R840" s="6"/>
      <c r="S840" s="6"/>
      <c r="T840" s="6"/>
      <c r="U840" s="6"/>
      <c r="V840" s="6"/>
      <c r="W840" s="6"/>
      <c r="X840" s="6"/>
      <c r="Y840" s="6"/>
      <c r="Z840" s="6"/>
      <c r="AA840" s="6"/>
      <c r="AB840" s="6"/>
      <c r="AC840" s="6"/>
      <c r="AD840" s="6"/>
      <c r="AE840" s="6"/>
    </row>
    <row r="841">
      <c r="A841" s="7" t="str">
        <f t="shared" si="2"/>
        <v/>
      </c>
      <c r="B841" s="6"/>
      <c r="C841" s="6"/>
      <c r="D841" s="113"/>
      <c r="E841" s="6"/>
      <c r="F841" s="6"/>
      <c r="G841" s="6"/>
      <c r="H841" s="6"/>
      <c r="I841" s="6"/>
      <c r="J841" s="6"/>
      <c r="K841" s="6"/>
      <c r="L841" s="6"/>
      <c r="M841" s="6"/>
      <c r="N841" s="6"/>
      <c r="O841" s="6"/>
      <c r="P841" s="35"/>
      <c r="Q841" s="35"/>
      <c r="R841" s="6"/>
      <c r="S841" s="6"/>
      <c r="T841" s="6"/>
      <c r="U841" s="6"/>
      <c r="V841" s="6"/>
      <c r="W841" s="6"/>
      <c r="X841" s="6"/>
      <c r="Y841" s="6"/>
      <c r="Z841" s="6"/>
      <c r="AA841" s="6"/>
      <c r="AB841" s="6"/>
      <c r="AC841" s="6"/>
      <c r="AD841" s="6"/>
      <c r="AE841" s="6"/>
    </row>
    <row r="842">
      <c r="A842" s="7" t="str">
        <f t="shared" si="2"/>
        <v/>
      </c>
      <c r="B842" s="6"/>
      <c r="C842" s="6"/>
      <c r="D842" s="113"/>
      <c r="E842" s="6"/>
      <c r="F842" s="6"/>
      <c r="G842" s="6"/>
      <c r="H842" s="6"/>
      <c r="I842" s="6"/>
      <c r="J842" s="6"/>
      <c r="K842" s="6"/>
      <c r="L842" s="6"/>
      <c r="M842" s="6"/>
      <c r="N842" s="6"/>
      <c r="O842" s="6"/>
      <c r="P842" s="35"/>
      <c r="Q842" s="35"/>
      <c r="R842" s="6"/>
      <c r="S842" s="6"/>
      <c r="T842" s="6"/>
      <c r="U842" s="6"/>
      <c r="V842" s="6"/>
      <c r="W842" s="6"/>
      <c r="X842" s="6"/>
      <c r="Y842" s="6"/>
      <c r="Z842" s="6"/>
      <c r="AA842" s="6"/>
      <c r="AB842" s="6"/>
      <c r="AC842" s="6"/>
      <c r="AD842" s="6"/>
      <c r="AE842" s="6"/>
    </row>
    <row r="843">
      <c r="A843" s="7" t="str">
        <f t="shared" si="2"/>
        <v/>
      </c>
      <c r="B843" s="6"/>
      <c r="C843" s="6"/>
      <c r="D843" s="113"/>
      <c r="E843" s="6"/>
      <c r="F843" s="6"/>
      <c r="G843" s="6"/>
      <c r="H843" s="6"/>
      <c r="I843" s="6"/>
      <c r="J843" s="6"/>
      <c r="K843" s="6"/>
      <c r="L843" s="6"/>
      <c r="M843" s="6"/>
      <c r="N843" s="6"/>
      <c r="O843" s="6"/>
      <c r="P843" s="35"/>
      <c r="Q843" s="35"/>
      <c r="R843" s="6"/>
      <c r="S843" s="6"/>
      <c r="T843" s="6"/>
      <c r="U843" s="6"/>
      <c r="V843" s="6"/>
      <c r="W843" s="6"/>
      <c r="X843" s="6"/>
      <c r="Y843" s="6"/>
      <c r="Z843" s="6"/>
      <c r="AA843" s="6"/>
      <c r="AB843" s="6"/>
      <c r="AC843" s="6"/>
      <c r="AD843" s="6"/>
      <c r="AE843" s="6"/>
    </row>
    <row r="844">
      <c r="A844" s="7" t="str">
        <f t="shared" si="2"/>
        <v/>
      </c>
      <c r="B844" s="6"/>
      <c r="C844" s="6"/>
      <c r="D844" s="113"/>
      <c r="E844" s="6"/>
      <c r="F844" s="6"/>
      <c r="G844" s="6"/>
      <c r="H844" s="6"/>
      <c r="I844" s="6"/>
      <c r="J844" s="6"/>
      <c r="K844" s="6"/>
      <c r="L844" s="6"/>
      <c r="M844" s="6"/>
      <c r="N844" s="6"/>
      <c r="O844" s="6"/>
      <c r="P844" s="35"/>
      <c r="Q844" s="35"/>
      <c r="R844" s="6"/>
      <c r="S844" s="6"/>
      <c r="T844" s="6"/>
      <c r="U844" s="6"/>
      <c r="V844" s="6"/>
      <c r="W844" s="6"/>
      <c r="X844" s="6"/>
      <c r="Y844" s="6"/>
      <c r="Z844" s="6"/>
      <c r="AA844" s="6"/>
      <c r="AB844" s="6"/>
      <c r="AC844" s="6"/>
      <c r="AD844" s="6"/>
      <c r="AE844" s="6"/>
    </row>
    <row r="845">
      <c r="A845" s="7" t="str">
        <f t="shared" si="2"/>
        <v/>
      </c>
      <c r="B845" s="6"/>
      <c r="C845" s="6"/>
      <c r="D845" s="113"/>
      <c r="E845" s="6"/>
      <c r="F845" s="6"/>
      <c r="G845" s="6"/>
      <c r="H845" s="6"/>
      <c r="I845" s="6"/>
      <c r="J845" s="6"/>
      <c r="K845" s="6"/>
      <c r="L845" s="6"/>
      <c r="M845" s="6"/>
      <c r="N845" s="6"/>
      <c r="O845" s="6"/>
      <c r="P845" s="35"/>
      <c r="Q845" s="35"/>
      <c r="R845" s="6"/>
      <c r="S845" s="6"/>
      <c r="T845" s="6"/>
      <c r="U845" s="6"/>
      <c r="V845" s="6"/>
      <c r="W845" s="6"/>
      <c r="X845" s="6"/>
      <c r="Y845" s="6"/>
      <c r="Z845" s="6"/>
      <c r="AA845" s="6"/>
      <c r="AB845" s="6"/>
      <c r="AC845" s="6"/>
      <c r="AD845" s="6"/>
      <c r="AE845" s="6"/>
    </row>
    <row r="846">
      <c r="A846" s="7" t="str">
        <f t="shared" si="2"/>
        <v/>
      </c>
      <c r="B846" s="6"/>
      <c r="C846" s="6"/>
      <c r="D846" s="113"/>
      <c r="E846" s="6"/>
      <c r="F846" s="6"/>
      <c r="G846" s="6"/>
      <c r="H846" s="6"/>
      <c r="I846" s="6"/>
      <c r="J846" s="6"/>
      <c r="K846" s="6"/>
      <c r="L846" s="6"/>
      <c r="M846" s="6"/>
      <c r="N846" s="6"/>
      <c r="O846" s="6"/>
      <c r="P846" s="35"/>
      <c r="Q846" s="35"/>
      <c r="R846" s="6"/>
      <c r="S846" s="6"/>
      <c r="T846" s="6"/>
      <c r="U846" s="6"/>
      <c r="V846" s="6"/>
      <c r="W846" s="6"/>
      <c r="X846" s="6"/>
      <c r="Y846" s="6"/>
      <c r="Z846" s="6"/>
      <c r="AA846" s="6"/>
      <c r="AB846" s="6"/>
      <c r="AC846" s="6"/>
      <c r="AD846" s="6"/>
      <c r="AE846" s="6"/>
    </row>
    <row r="847">
      <c r="A847" s="7" t="str">
        <f t="shared" si="2"/>
        <v/>
      </c>
      <c r="B847" s="6"/>
      <c r="C847" s="6"/>
      <c r="D847" s="113"/>
      <c r="E847" s="6"/>
      <c r="F847" s="6"/>
      <c r="G847" s="6"/>
      <c r="H847" s="6"/>
      <c r="I847" s="6"/>
      <c r="J847" s="6"/>
      <c r="K847" s="6"/>
      <c r="L847" s="6"/>
      <c r="M847" s="6"/>
      <c r="N847" s="6"/>
      <c r="O847" s="6"/>
      <c r="P847" s="35"/>
      <c r="Q847" s="35"/>
      <c r="R847" s="6"/>
      <c r="S847" s="6"/>
      <c r="T847" s="6"/>
      <c r="U847" s="6"/>
      <c r="V847" s="6"/>
      <c r="W847" s="6"/>
      <c r="X847" s="6"/>
      <c r="Y847" s="6"/>
      <c r="Z847" s="6"/>
      <c r="AA847" s="6"/>
      <c r="AB847" s="6"/>
      <c r="AC847" s="6"/>
      <c r="AD847" s="6"/>
      <c r="AE847" s="6"/>
    </row>
    <row r="848">
      <c r="A848" s="7" t="str">
        <f t="shared" si="2"/>
        <v/>
      </c>
      <c r="B848" s="6"/>
      <c r="C848" s="6"/>
      <c r="D848" s="113"/>
      <c r="E848" s="6"/>
      <c r="F848" s="6"/>
      <c r="G848" s="6"/>
      <c r="H848" s="6"/>
      <c r="I848" s="6"/>
      <c r="J848" s="6"/>
      <c r="K848" s="6"/>
      <c r="L848" s="6"/>
      <c r="M848" s="6"/>
      <c r="N848" s="6"/>
      <c r="O848" s="6"/>
      <c r="P848" s="35"/>
      <c r="Q848" s="35"/>
      <c r="R848" s="6"/>
      <c r="S848" s="6"/>
      <c r="T848" s="6"/>
      <c r="U848" s="6"/>
      <c r="V848" s="6"/>
      <c r="W848" s="6"/>
      <c r="X848" s="6"/>
      <c r="Y848" s="6"/>
      <c r="Z848" s="6"/>
      <c r="AA848" s="6"/>
      <c r="AB848" s="6"/>
      <c r="AC848" s="6"/>
      <c r="AD848" s="6"/>
      <c r="AE848" s="6"/>
    </row>
    <row r="849">
      <c r="A849" s="7" t="str">
        <f t="shared" si="2"/>
        <v/>
      </c>
      <c r="B849" s="6"/>
      <c r="C849" s="6"/>
      <c r="D849" s="113"/>
      <c r="E849" s="6"/>
      <c r="F849" s="6"/>
      <c r="G849" s="6"/>
      <c r="H849" s="6"/>
      <c r="I849" s="6"/>
      <c r="J849" s="6"/>
      <c r="K849" s="6"/>
      <c r="L849" s="6"/>
      <c r="M849" s="6"/>
      <c r="N849" s="6"/>
      <c r="O849" s="6"/>
      <c r="P849" s="35"/>
      <c r="Q849" s="35"/>
      <c r="R849" s="6"/>
      <c r="S849" s="6"/>
      <c r="T849" s="6"/>
      <c r="U849" s="6"/>
      <c r="V849" s="6"/>
      <c r="W849" s="6"/>
      <c r="X849" s="6"/>
      <c r="Y849" s="6"/>
      <c r="Z849" s="6"/>
      <c r="AA849" s="6"/>
      <c r="AB849" s="6"/>
      <c r="AC849" s="6"/>
      <c r="AD849" s="6"/>
      <c r="AE849" s="6"/>
    </row>
    <row r="850">
      <c r="A850" s="7" t="str">
        <f t="shared" si="2"/>
        <v/>
      </c>
      <c r="B850" s="6"/>
      <c r="C850" s="6"/>
      <c r="D850" s="113"/>
      <c r="E850" s="6"/>
      <c r="F850" s="6"/>
      <c r="G850" s="6"/>
      <c r="H850" s="6"/>
      <c r="I850" s="6"/>
      <c r="J850" s="6"/>
      <c r="K850" s="6"/>
      <c r="L850" s="6"/>
      <c r="M850" s="6"/>
      <c r="N850" s="6"/>
      <c r="O850" s="6"/>
      <c r="P850" s="35"/>
      <c r="Q850" s="35"/>
      <c r="R850" s="6"/>
      <c r="S850" s="6"/>
      <c r="T850" s="6"/>
      <c r="U850" s="6"/>
      <c r="V850" s="6"/>
      <c r="W850" s="6"/>
      <c r="X850" s="6"/>
      <c r="Y850" s="6"/>
      <c r="Z850" s="6"/>
      <c r="AA850" s="6"/>
      <c r="AB850" s="6"/>
      <c r="AC850" s="6"/>
      <c r="AD850" s="6"/>
      <c r="AE850" s="6"/>
    </row>
    <row r="851">
      <c r="A851" s="7" t="str">
        <f t="shared" si="2"/>
        <v/>
      </c>
      <c r="B851" s="6"/>
      <c r="C851" s="6"/>
      <c r="D851" s="113"/>
      <c r="E851" s="6"/>
      <c r="F851" s="6"/>
      <c r="G851" s="6"/>
      <c r="H851" s="6"/>
      <c r="I851" s="6"/>
      <c r="J851" s="6"/>
      <c r="K851" s="6"/>
      <c r="L851" s="6"/>
      <c r="M851" s="6"/>
      <c r="N851" s="6"/>
      <c r="O851" s="6"/>
      <c r="P851" s="35"/>
      <c r="Q851" s="35"/>
      <c r="R851" s="6"/>
      <c r="S851" s="6"/>
      <c r="T851" s="6"/>
      <c r="U851" s="6"/>
      <c r="V851" s="6"/>
      <c r="W851" s="6"/>
      <c r="X851" s="6"/>
      <c r="Y851" s="6"/>
      <c r="Z851" s="6"/>
      <c r="AA851" s="6"/>
      <c r="AB851" s="6"/>
      <c r="AC851" s="6"/>
      <c r="AD851" s="6"/>
      <c r="AE851" s="6"/>
    </row>
    <row r="852">
      <c r="A852" s="7" t="str">
        <f t="shared" si="2"/>
        <v/>
      </c>
      <c r="B852" s="6"/>
      <c r="C852" s="6"/>
      <c r="D852" s="113"/>
      <c r="E852" s="6"/>
      <c r="F852" s="6"/>
      <c r="G852" s="6"/>
      <c r="H852" s="6"/>
      <c r="I852" s="6"/>
      <c r="J852" s="6"/>
      <c r="K852" s="6"/>
      <c r="L852" s="6"/>
      <c r="M852" s="6"/>
      <c r="N852" s="6"/>
      <c r="O852" s="6"/>
      <c r="P852" s="35"/>
      <c r="Q852" s="35"/>
      <c r="R852" s="6"/>
      <c r="S852" s="6"/>
      <c r="T852" s="6"/>
      <c r="U852" s="6"/>
      <c r="V852" s="6"/>
      <c r="W852" s="6"/>
      <c r="X852" s="6"/>
      <c r="Y852" s="6"/>
      <c r="Z852" s="6"/>
      <c r="AA852" s="6"/>
      <c r="AB852" s="6"/>
      <c r="AC852" s="6"/>
      <c r="AD852" s="6"/>
      <c r="AE852" s="6"/>
    </row>
    <row r="853">
      <c r="A853" s="7" t="str">
        <f t="shared" si="2"/>
        <v/>
      </c>
      <c r="B853" s="6"/>
      <c r="C853" s="6"/>
      <c r="D853" s="113"/>
      <c r="E853" s="6"/>
      <c r="F853" s="6"/>
      <c r="G853" s="6"/>
      <c r="H853" s="6"/>
      <c r="I853" s="6"/>
      <c r="J853" s="6"/>
      <c r="K853" s="6"/>
      <c r="L853" s="6"/>
      <c r="M853" s="6"/>
      <c r="N853" s="6"/>
      <c r="O853" s="6"/>
      <c r="P853" s="35"/>
      <c r="Q853" s="35"/>
      <c r="R853" s="6"/>
      <c r="S853" s="6"/>
      <c r="T853" s="6"/>
      <c r="U853" s="6"/>
      <c r="V853" s="6"/>
      <c r="W853" s="6"/>
      <c r="X853" s="6"/>
      <c r="Y853" s="6"/>
      <c r="Z853" s="6"/>
      <c r="AA853" s="6"/>
      <c r="AB853" s="6"/>
      <c r="AC853" s="6"/>
      <c r="AD853" s="6"/>
      <c r="AE853" s="6"/>
    </row>
    <row r="854">
      <c r="A854" s="7" t="str">
        <f t="shared" si="2"/>
        <v/>
      </c>
      <c r="B854" s="6"/>
      <c r="C854" s="6"/>
      <c r="D854" s="113"/>
      <c r="E854" s="6"/>
      <c r="F854" s="6"/>
      <c r="G854" s="6"/>
      <c r="H854" s="6"/>
      <c r="I854" s="6"/>
      <c r="J854" s="6"/>
      <c r="K854" s="6"/>
      <c r="L854" s="6"/>
      <c r="M854" s="6"/>
      <c r="N854" s="6"/>
      <c r="O854" s="6"/>
      <c r="P854" s="35"/>
      <c r="Q854" s="35"/>
      <c r="R854" s="6"/>
      <c r="S854" s="6"/>
      <c r="T854" s="6"/>
      <c r="U854" s="6"/>
      <c r="V854" s="6"/>
      <c r="W854" s="6"/>
      <c r="X854" s="6"/>
      <c r="Y854" s="6"/>
      <c r="Z854" s="6"/>
      <c r="AA854" s="6"/>
      <c r="AB854" s="6"/>
      <c r="AC854" s="6"/>
      <c r="AD854" s="6"/>
      <c r="AE854" s="6"/>
    </row>
    <row r="855">
      <c r="A855" s="7" t="str">
        <f t="shared" si="2"/>
        <v/>
      </c>
      <c r="B855" s="6"/>
      <c r="C855" s="6"/>
      <c r="D855" s="113"/>
      <c r="E855" s="6"/>
      <c r="F855" s="6"/>
      <c r="G855" s="6"/>
      <c r="H855" s="6"/>
      <c r="I855" s="6"/>
      <c r="J855" s="6"/>
      <c r="K855" s="6"/>
      <c r="L855" s="6"/>
      <c r="M855" s="6"/>
      <c r="N855" s="6"/>
      <c r="O855" s="6"/>
      <c r="P855" s="35"/>
      <c r="Q855" s="35"/>
      <c r="R855" s="6"/>
      <c r="S855" s="6"/>
      <c r="T855" s="6"/>
      <c r="U855" s="6"/>
      <c r="V855" s="6"/>
      <c r="W855" s="6"/>
      <c r="X855" s="6"/>
      <c r="Y855" s="6"/>
      <c r="Z855" s="6"/>
      <c r="AA855" s="6"/>
      <c r="AB855" s="6"/>
      <c r="AC855" s="6"/>
      <c r="AD855" s="6"/>
      <c r="AE855" s="6"/>
    </row>
    <row r="856">
      <c r="A856" s="7" t="str">
        <f t="shared" si="2"/>
        <v/>
      </c>
      <c r="B856" s="6"/>
      <c r="C856" s="6"/>
      <c r="D856" s="113"/>
      <c r="E856" s="6"/>
      <c r="F856" s="6"/>
      <c r="G856" s="6"/>
      <c r="H856" s="6"/>
      <c r="I856" s="6"/>
      <c r="J856" s="6"/>
      <c r="K856" s="6"/>
      <c r="L856" s="6"/>
      <c r="M856" s="6"/>
      <c r="N856" s="6"/>
      <c r="O856" s="6"/>
      <c r="P856" s="35"/>
      <c r="Q856" s="35"/>
      <c r="R856" s="6"/>
      <c r="S856" s="6"/>
      <c r="T856" s="6"/>
      <c r="U856" s="6"/>
      <c r="V856" s="6"/>
      <c r="W856" s="6"/>
      <c r="X856" s="6"/>
      <c r="Y856" s="6"/>
      <c r="Z856" s="6"/>
      <c r="AA856" s="6"/>
      <c r="AB856" s="6"/>
      <c r="AC856" s="6"/>
      <c r="AD856" s="6"/>
      <c r="AE856" s="6"/>
    </row>
    <row r="857">
      <c r="A857" s="7" t="str">
        <f t="shared" si="2"/>
        <v/>
      </c>
      <c r="B857" s="6"/>
      <c r="C857" s="6"/>
      <c r="D857" s="113"/>
      <c r="E857" s="6"/>
      <c r="F857" s="6"/>
      <c r="G857" s="6"/>
      <c r="H857" s="6"/>
      <c r="I857" s="6"/>
      <c r="J857" s="6"/>
      <c r="K857" s="6"/>
      <c r="L857" s="6"/>
      <c r="M857" s="6"/>
      <c r="N857" s="6"/>
      <c r="O857" s="6"/>
      <c r="P857" s="35"/>
      <c r="Q857" s="35"/>
      <c r="R857" s="6"/>
      <c r="S857" s="6"/>
      <c r="T857" s="6"/>
      <c r="U857" s="6"/>
      <c r="V857" s="6"/>
      <c r="W857" s="6"/>
      <c r="X857" s="6"/>
      <c r="Y857" s="6"/>
      <c r="Z857" s="6"/>
      <c r="AA857" s="6"/>
      <c r="AB857" s="6"/>
      <c r="AC857" s="6"/>
      <c r="AD857" s="6"/>
      <c r="AE857" s="6"/>
    </row>
    <row r="858">
      <c r="A858" s="7" t="str">
        <f t="shared" si="2"/>
        <v/>
      </c>
      <c r="B858" s="6"/>
      <c r="C858" s="6"/>
      <c r="D858" s="113"/>
      <c r="E858" s="6"/>
      <c r="F858" s="6"/>
      <c r="G858" s="6"/>
      <c r="H858" s="6"/>
      <c r="I858" s="6"/>
      <c r="J858" s="6"/>
      <c r="K858" s="6"/>
      <c r="L858" s="6"/>
      <c r="M858" s="6"/>
      <c r="N858" s="6"/>
      <c r="O858" s="6"/>
      <c r="P858" s="35"/>
      <c r="Q858" s="35"/>
      <c r="R858" s="6"/>
      <c r="S858" s="6"/>
      <c r="T858" s="6"/>
      <c r="U858" s="6"/>
      <c r="V858" s="6"/>
      <c r="W858" s="6"/>
      <c r="X858" s="6"/>
      <c r="Y858" s="6"/>
      <c r="Z858" s="6"/>
      <c r="AA858" s="6"/>
      <c r="AB858" s="6"/>
      <c r="AC858" s="6"/>
      <c r="AD858" s="6"/>
      <c r="AE858" s="6"/>
    </row>
    <row r="859">
      <c r="A859" s="7" t="str">
        <f t="shared" si="2"/>
        <v/>
      </c>
      <c r="B859" s="6"/>
      <c r="C859" s="6"/>
      <c r="D859" s="113"/>
      <c r="E859" s="6"/>
      <c r="F859" s="6"/>
      <c r="G859" s="6"/>
      <c r="H859" s="6"/>
      <c r="I859" s="6"/>
      <c r="J859" s="6"/>
      <c r="K859" s="6"/>
      <c r="L859" s="6"/>
      <c r="M859" s="6"/>
      <c r="N859" s="6"/>
      <c r="O859" s="6"/>
      <c r="P859" s="35"/>
      <c r="Q859" s="35"/>
      <c r="R859" s="6"/>
      <c r="S859" s="6"/>
      <c r="T859" s="6"/>
      <c r="U859" s="6"/>
      <c r="V859" s="6"/>
      <c r="W859" s="6"/>
      <c r="X859" s="6"/>
      <c r="Y859" s="6"/>
      <c r="Z859" s="6"/>
      <c r="AA859" s="6"/>
      <c r="AB859" s="6"/>
      <c r="AC859" s="6"/>
      <c r="AD859" s="6"/>
      <c r="AE859" s="6"/>
    </row>
    <row r="860">
      <c r="A860" s="7" t="str">
        <f t="shared" si="2"/>
        <v/>
      </c>
      <c r="B860" s="6"/>
      <c r="C860" s="6"/>
      <c r="D860" s="113"/>
      <c r="E860" s="6"/>
      <c r="F860" s="6"/>
      <c r="G860" s="6"/>
      <c r="H860" s="6"/>
      <c r="I860" s="6"/>
      <c r="J860" s="6"/>
      <c r="K860" s="6"/>
      <c r="L860" s="6"/>
      <c r="M860" s="6"/>
      <c r="N860" s="6"/>
      <c r="O860" s="6"/>
      <c r="P860" s="35"/>
      <c r="Q860" s="35"/>
      <c r="R860" s="6"/>
      <c r="S860" s="6"/>
      <c r="T860" s="6"/>
      <c r="U860" s="6"/>
      <c r="V860" s="6"/>
      <c r="W860" s="6"/>
      <c r="X860" s="6"/>
      <c r="Y860" s="6"/>
      <c r="Z860" s="6"/>
      <c r="AA860" s="6"/>
      <c r="AB860" s="6"/>
      <c r="AC860" s="6"/>
      <c r="AD860" s="6"/>
      <c r="AE860" s="6"/>
    </row>
    <row r="861">
      <c r="A861" s="7" t="str">
        <f t="shared" si="2"/>
        <v/>
      </c>
      <c r="B861" s="6"/>
      <c r="C861" s="6"/>
      <c r="D861" s="113"/>
      <c r="E861" s="6"/>
      <c r="F861" s="6"/>
      <c r="G861" s="6"/>
      <c r="H861" s="6"/>
      <c r="I861" s="6"/>
      <c r="J861" s="6"/>
      <c r="K861" s="6"/>
      <c r="L861" s="6"/>
      <c r="M861" s="6"/>
      <c r="N861" s="6"/>
      <c r="O861" s="6"/>
      <c r="P861" s="35"/>
      <c r="Q861" s="35"/>
      <c r="R861" s="6"/>
      <c r="S861" s="6"/>
      <c r="T861" s="6"/>
      <c r="U861" s="6"/>
      <c r="V861" s="6"/>
      <c r="W861" s="6"/>
      <c r="X861" s="6"/>
      <c r="Y861" s="6"/>
      <c r="Z861" s="6"/>
      <c r="AA861" s="6"/>
      <c r="AB861" s="6"/>
      <c r="AC861" s="6"/>
      <c r="AD861" s="6"/>
      <c r="AE861" s="6"/>
    </row>
    <row r="862">
      <c r="A862" s="7" t="str">
        <f t="shared" si="2"/>
        <v/>
      </c>
      <c r="B862" s="6"/>
      <c r="C862" s="6"/>
      <c r="D862" s="113"/>
      <c r="E862" s="6"/>
      <c r="F862" s="6"/>
      <c r="G862" s="6"/>
      <c r="H862" s="6"/>
      <c r="I862" s="6"/>
      <c r="J862" s="6"/>
      <c r="K862" s="6"/>
      <c r="L862" s="6"/>
      <c r="M862" s="6"/>
      <c r="N862" s="6"/>
      <c r="O862" s="6"/>
      <c r="P862" s="35"/>
      <c r="Q862" s="35"/>
      <c r="R862" s="6"/>
      <c r="S862" s="6"/>
      <c r="T862" s="6"/>
      <c r="U862" s="6"/>
      <c r="V862" s="6"/>
      <c r="W862" s="6"/>
      <c r="X862" s="6"/>
      <c r="Y862" s="6"/>
      <c r="Z862" s="6"/>
      <c r="AA862" s="6"/>
      <c r="AB862" s="6"/>
      <c r="AC862" s="6"/>
      <c r="AD862" s="6"/>
      <c r="AE862" s="6"/>
    </row>
    <row r="863">
      <c r="A863" s="7" t="str">
        <f t="shared" si="2"/>
        <v/>
      </c>
      <c r="B863" s="6"/>
      <c r="C863" s="6"/>
      <c r="D863" s="113"/>
      <c r="E863" s="6"/>
      <c r="F863" s="6"/>
      <c r="G863" s="6"/>
      <c r="H863" s="6"/>
      <c r="I863" s="6"/>
      <c r="J863" s="6"/>
      <c r="K863" s="6"/>
      <c r="L863" s="6"/>
      <c r="M863" s="6"/>
      <c r="N863" s="6"/>
      <c r="O863" s="6"/>
      <c r="P863" s="35"/>
      <c r="Q863" s="35"/>
      <c r="R863" s="6"/>
      <c r="S863" s="6"/>
      <c r="T863" s="6"/>
      <c r="U863" s="6"/>
      <c r="V863" s="6"/>
      <c r="W863" s="6"/>
      <c r="X863" s="6"/>
      <c r="Y863" s="6"/>
      <c r="Z863" s="6"/>
      <c r="AA863" s="6"/>
      <c r="AB863" s="6"/>
      <c r="AC863" s="6"/>
      <c r="AD863" s="6"/>
      <c r="AE863" s="6"/>
    </row>
    <row r="864">
      <c r="A864" s="7" t="str">
        <f t="shared" si="2"/>
        <v/>
      </c>
      <c r="B864" s="6"/>
      <c r="C864" s="6"/>
      <c r="D864" s="113"/>
      <c r="E864" s="6"/>
      <c r="F864" s="6"/>
      <c r="G864" s="6"/>
      <c r="H864" s="6"/>
      <c r="I864" s="6"/>
      <c r="J864" s="6"/>
      <c r="K864" s="6"/>
      <c r="L864" s="6"/>
      <c r="M864" s="6"/>
      <c r="N864" s="6"/>
      <c r="O864" s="6"/>
      <c r="P864" s="35"/>
      <c r="Q864" s="35"/>
      <c r="R864" s="6"/>
      <c r="S864" s="6"/>
      <c r="T864" s="6"/>
      <c r="U864" s="6"/>
      <c r="V864" s="6"/>
      <c r="W864" s="6"/>
      <c r="X864" s="6"/>
      <c r="Y864" s="6"/>
      <c r="Z864" s="6"/>
      <c r="AA864" s="6"/>
      <c r="AB864" s="6"/>
      <c r="AC864" s="6"/>
      <c r="AD864" s="6"/>
      <c r="AE864" s="6"/>
    </row>
    <row r="865">
      <c r="A865" s="7" t="str">
        <f t="shared" si="2"/>
        <v/>
      </c>
      <c r="B865" s="6"/>
      <c r="C865" s="6"/>
      <c r="D865" s="113"/>
      <c r="E865" s="6"/>
      <c r="F865" s="6"/>
      <c r="G865" s="6"/>
      <c r="H865" s="6"/>
      <c r="I865" s="6"/>
      <c r="J865" s="6"/>
      <c r="K865" s="6"/>
      <c r="L865" s="6"/>
      <c r="M865" s="6"/>
      <c r="N865" s="6"/>
      <c r="O865" s="6"/>
      <c r="P865" s="35"/>
      <c r="Q865" s="35"/>
      <c r="R865" s="6"/>
      <c r="S865" s="6"/>
      <c r="T865" s="6"/>
      <c r="U865" s="6"/>
      <c r="V865" s="6"/>
      <c r="W865" s="6"/>
      <c r="X865" s="6"/>
      <c r="Y865" s="6"/>
      <c r="Z865" s="6"/>
      <c r="AA865" s="6"/>
      <c r="AB865" s="6"/>
      <c r="AC865" s="6"/>
      <c r="AD865" s="6"/>
      <c r="AE865" s="6"/>
    </row>
    <row r="866">
      <c r="A866" s="7" t="str">
        <f t="shared" si="2"/>
        <v/>
      </c>
      <c r="B866" s="6"/>
      <c r="C866" s="6"/>
      <c r="D866" s="113"/>
      <c r="E866" s="6"/>
      <c r="F866" s="6"/>
      <c r="G866" s="6"/>
      <c r="H866" s="6"/>
      <c r="I866" s="6"/>
      <c r="J866" s="6"/>
      <c r="K866" s="6"/>
      <c r="L866" s="6"/>
      <c r="M866" s="6"/>
      <c r="N866" s="6"/>
      <c r="O866" s="6"/>
      <c r="P866" s="35"/>
      <c r="Q866" s="35"/>
      <c r="R866" s="6"/>
      <c r="S866" s="6"/>
      <c r="T866" s="6"/>
      <c r="U866" s="6"/>
      <c r="V866" s="6"/>
      <c r="W866" s="6"/>
      <c r="X866" s="6"/>
      <c r="Y866" s="6"/>
      <c r="Z866" s="6"/>
      <c r="AA866" s="6"/>
      <c r="AB866" s="6"/>
      <c r="AC866" s="6"/>
      <c r="AD866" s="6"/>
      <c r="AE866" s="6"/>
    </row>
    <row r="867">
      <c r="A867" s="7" t="str">
        <f t="shared" si="2"/>
        <v/>
      </c>
      <c r="B867" s="6"/>
      <c r="C867" s="6"/>
      <c r="D867" s="113"/>
      <c r="E867" s="6"/>
      <c r="F867" s="6"/>
      <c r="G867" s="6"/>
      <c r="H867" s="6"/>
      <c r="I867" s="6"/>
      <c r="J867" s="6"/>
      <c r="K867" s="6"/>
      <c r="L867" s="6"/>
      <c r="M867" s="6"/>
      <c r="N867" s="6"/>
      <c r="O867" s="6"/>
      <c r="P867" s="35"/>
      <c r="Q867" s="35"/>
      <c r="R867" s="6"/>
      <c r="S867" s="6"/>
      <c r="T867" s="6"/>
      <c r="U867" s="6"/>
      <c r="V867" s="6"/>
      <c r="W867" s="6"/>
      <c r="X867" s="6"/>
      <c r="Y867" s="6"/>
      <c r="Z867" s="6"/>
      <c r="AA867" s="6"/>
      <c r="AB867" s="6"/>
      <c r="AC867" s="6"/>
      <c r="AD867" s="6"/>
      <c r="AE867" s="6"/>
    </row>
    <row r="868">
      <c r="A868" s="7" t="str">
        <f t="shared" si="2"/>
        <v/>
      </c>
      <c r="B868" s="6"/>
      <c r="C868" s="6"/>
      <c r="D868" s="113"/>
      <c r="E868" s="6"/>
      <c r="F868" s="6"/>
      <c r="G868" s="6"/>
      <c r="H868" s="6"/>
      <c r="I868" s="6"/>
      <c r="J868" s="6"/>
      <c r="K868" s="6"/>
      <c r="L868" s="6"/>
      <c r="M868" s="6"/>
      <c r="N868" s="6"/>
      <c r="O868" s="6"/>
      <c r="P868" s="35"/>
      <c r="Q868" s="35"/>
      <c r="R868" s="6"/>
      <c r="S868" s="6"/>
      <c r="T868" s="6"/>
      <c r="U868" s="6"/>
      <c r="V868" s="6"/>
      <c r="W868" s="6"/>
      <c r="X868" s="6"/>
      <c r="Y868" s="6"/>
      <c r="Z868" s="6"/>
      <c r="AA868" s="6"/>
      <c r="AB868" s="6"/>
      <c r="AC868" s="6"/>
      <c r="AD868" s="6"/>
      <c r="AE868" s="6"/>
    </row>
    <row r="869">
      <c r="A869" s="7" t="str">
        <f t="shared" si="2"/>
        <v/>
      </c>
      <c r="B869" s="6"/>
      <c r="C869" s="6"/>
      <c r="D869" s="113"/>
      <c r="E869" s="6"/>
      <c r="F869" s="6"/>
      <c r="G869" s="6"/>
      <c r="H869" s="6"/>
      <c r="I869" s="6"/>
      <c r="J869" s="6"/>
      <c r="K869" s="6"/>
      <c r="L869" s="6"/>
      <c r="M869" s="6"/>
      <c r="N869" s="6"/>
      <c r="O869" s="6"/>
      <c r="P869" s="35"/>
      <c r="Q869" s="35"/>
      <c r="R869" s="6"/>
      <c r="S869" s="6"/>
      <c r="T869" s="6"/>
      <c r="U869" s="6"/>
      <c r="V869" s="6"/>
      <c r="W869" s="6"/>
      <c r="X869" s="6"/>
      <c r="Y869" s="6"/>
      <c r="Z869" s="6"/>
      <c r="AA869" s="6"/>
      <c r="AB869" s="6"/>
      <c r="AC869" s="6"/>
      <c r="AD869" s="6"/>
      <c r="AE869" s="6"/>
    </row>
    <row r="870">
      <c r="A870" s="7" t="str">
        <f t="shared" si="2"/>
        <v/>
      </c>
      <c r="B870" s="6"/>
      <c r="C870" s="6"/>
      <c r="D870" s="113"/>
      <c r="E870" s="6"/>
      <c r="F870" s="6"/>
      <c r="G870" s="6"/>
      <c r="H870" s="6"/>
      <c r="I870" s="6"/>
      <c r="J870" s="6"/>
      <c r="K870" s="6"/>
      <c r="L870" s="6"/>
      <c r="M870" s="6"/>
      <c r="N870" s="6"/>
      <c r="O870" s="6"/>
      <c r="P870" s="35"/>
      <c r="Q870" s="35"/>
      <c r="R870" s="6"/>
      <c r="S870" s="6"/>
      <c r="T870" s="6"/>
      <c r="U870" s="6"/>
      <c r="V870" s="6"/>
      <c r="W870" s="6"/>
      <c r="X870" s="6"/>
      <c r="Y870" s="6"/>
      <c r="Z870" s="6"/>
      <c r="AA870" s="6"/>
      <c r="AB870" s="6"/>
      <c r="AC870" s="6"/>
      <c r="AD870" s="6"/>
      <c r="AE870" s="6"/>
    </row>
    <row r="871">
      <c r="A871" s="7" t="str">
        <f t="shared" si="2"/>
        <v/>
      </c>
      <c r="B871" s="6"/>
      <c r="C871" s="6"/>
      <c r="D871" s="113"/>
      <c r="E871" s="6"/>
      <c r="F871" s="6"/>
      <c r="G871" s="6"/>
      <c r="H871" s="6"/>
      <c r="I871" s="6"/>
      <c r="J871" s="6"/>
      <c r="K871" s="6"/>
      <c r="L871" s="6"/>
      <c r="M871" s="6"/>
      <c r="N871" s="6"/>
      <c r="O871" s="6"/>
      <c r="P871" s="35"/>
      <c r="Q871" s="35"/>
      <c r="R871" s="6"/>
      <c r="S871" s="6"/>
      <c r="T871" s="6"/>
      <c r="U871" s="6"/>
      <c r="V871" s="6"/>
      <c r="W871" s="6"/>
      <c r="X871" s="6"/>
      <c r="Y871" s="6"/>
      <c r="Z871" s="6"/>
      <c r="AA871" s="6"/>
      <c r="AB871" s="6"/>
      <c r="AC871" s="6"/>
      <c r="AD871" s="6"/>
      <c r="AE871" s="6"/>
    </row>
    <row r="872">
      <c r="A872" s="7" t="str">
        <f t="shared" si="2"/>
        <v/>
      </c>
      <c r="B872" s="6"/>
      <c r="C872" s="6"/>
      <c r="D872" s="113"/>
      <c r="E872" s="6"/>
      <c r="F872" s="6"/>
      <c r="G872" s="6"/>
      <c r="H872" s="6"/>
      <c r="I872" s="6"/>
      <c r="J872" s="6"/>
      <c r="K872" s="6"/>
      <c r="L872" s="6"/>
      <c r="M872" s="6"/>
      <c r="N872" s="6"/>
      <c r="O872" s="6"/>
      <c r="P872" s="35"/>
      <c r="Q872" s="35"/>
      <c r="R872" s="6"/>
      <c r="S872" s="6"/>
      <c r="T872" s="6"/>
      <c r="U872" s="6"/>
      <c r="V872" s="6"/>
      <c r="W872" s="6"/>
      <c r="X872" s="6"/>
      <c r="Y872" s="6"/>
      <c r="Z872" s="6"/>
      <c r="AA872" s="6"/>
      <c r="AB872" s="6"/>
      <c r="AC872" s="6"/>
      <c r="AD872" s="6"/>
      <c r="AE872" s="6"/>
    </row>
    <row r="873">
      <c r="A873" s="7" t="str">
        <f t="shared" si="2"/>
        <v/>
      </c>
      <c r="B873" s="6"/>
      <c r="C873" s="6"/>
      <c r="D873" s="113"/>
      <c r="E873" s="6"/>
      <c r="F873" s="6"/>
      <c r="G873" s="6"/>
      <c r="H873" s="6"/>
      <c r="I873" s="6"/>
      <c r="J873" s="6"/>
      <c r="K873" s="6"/>
      <c r="L873" s="6"/>
      <c r="M873" s="6"/>
      <c r="N873" s="6"/>
      <c r="O873" s="6"/>
      <c r="P873" s="35"/>
      <c r="Q873" s="35"/>
      <c r="R873" s="6"/>
      <c r="S873" s="6"/>
      <c r="T873" s="6"/>
      <c r="U873" s="6"/>
      <c r="V873" s="6"/>
      <c r="W873" s="6"/>
      <c r="X873" s="6"/>
      <c r="Y873" s="6"/>
      <c r="Z873" s="6"/>
      <c r="AA873" s="6"/>
      <c r="AB873" s="6"/>
      <c r="AC873" s="6"/>
      <c r="AD873" s="6"/>
      <c r="AE873" s="6"/>
    </row>
    <row r="874">
      <c r="A874" s="7" t="str">
        <f t="shared" si="2"/>
        <v/>
      </c>
      <c r="B874" s="6"/>
      <c r="C874" s="6"/>
      <c r="D874" s="113"/>
      <c r="E874" s="6"/>
      <c r="F874" s="6"/>
      <c r="G874" s="6"/>
      <c r="H874" s="6"/>
      <c r="I874" s="6"/>
      <c r="J874" s="6"/>
      <c r="K874" s="6"/>
      <c r="L874" s="6"/>
      <c r="M874" s="6"/>
      <c r="N874" s="6"/>
      <c r="O874" s="6"/>
      <c r="P874" s="35"/>
      <c r="Q874" s="35"/>
      <c r="R874" s="6"/>
      <c r="S874" s="6"/>
      <c r="T874" s="6"/>
      <c r="U874" s="6"/>
      <c r="V874" s="6"/>
      <c r="W874" s="6"/>
      <c r="X874" s="6"/>
      <c r="Y874" s="6"/>
      <c r="Z874" s="6"/>
      <c r="AA874" s="6"/>
      <c r="AB874" s="6"/>
      <c r="AC874" s="6"/>
      <c r="AD874" s="6"/>
      <c r="AE874" s="6"/>
    </row>
    <row r="875">
      <c r="A875" s="7" t="str">
        <f t="shared" si="2"/>
        <v/>
      </c>
      <c r="B875" s="6"/>
      <c r="C875" s="6"/>
      <c r="D875" s="113"/>
      <c r="E875" s="6"/>
      <c r="F875" s="6"/>
      <c r="G875" s="6"/>
      <c r="H875" s="6"/>
      <c r="I875" s="6"/>
      <c r="J875" s="6"/>
      <c r="K875" s="6"/>
      <c r="L875" s="6"/>
      <c r="M875" s="6"/>
      <c r="N875" s="6"/>
      <c r="O875" s="6"/>
      <c r="P875" s="35"/>
      <c r="Q875" s="35"/>
      <c r="R875" s="6"/>
      <c r="S875" s="6"/>
      <c r="T875" s="6"/>
      <c r="U875" s="6"/>
      <c r="V875" s="6"/>
      <c r="W875" s="6"/>
      <c r="X875" s="6"/>
      <c r="Y875" s="6"/>
      <c r="Z875" s="6"/>
      <c r="AA875" s="6"/>
      <c r="AB875" s="6"/>
      <c r="AC875" s="6"/>
      <c r="AD875" s="6"/>
      <c r="AE875" s="6"/>
    </row>
    <row r="876">
      <c r="A876" s="7" t="str">
        <f t="shared" si="2"/>
        <v/>
      </c>
      <c r="B876" s="6"/>
      <c r="C876" s="6"/>
      <c r="D876" s="113"/>
      <c r="E876" s="6"/>
      <c r="F876" s="6"/>
      <c r="G876" s="6"/>
      <c r="H876" s="6"/>
      <c r="I876" s="6"/>
      <c r="J876" s="6"/>
      <c r="K876" s="6"/>
      <c r="L876" s="6"/>
      <c r="M876" s="6"/>
      <c r="N876" s="6"/>
      <c r="O876" s="6"/>
      <c r="P876" s="35"/>
      <c r="Q876" s="35"/>
      <c r="R876" s="6"/>
      <c r="S876" s="6"/>
      <c r="T876" s="6"/>
      <c r="U876" s="6"/>
      <c r="V876" s="6"/>
      <c r="W876" s="6"/>
      <c r="X876" s="6"/>
      <c r="Y876" s="6"/>
      <c r="Z876" s="6"/>
      <c r="AA876" s="6"/>
      <c r="AB876" s="6"/>
      <c r="AC876" s="6"/>
      <c r="AD876" s="6"/>
      <c r="AE876" s="6"/>
    </row>
    <row r="877">
      <c r="A877" s="7" t="str">
        <f t="shared" si="2"/>
        <v/>
      </c>
      <c r="B877" s="6"/>
      <c r="C877" s="6"/>
      <c r="D877" s="113"/>
      <c r="E877" s="6"/>
      <c r="F877" s="6"/>
      <c r="G877" s="6"/>
      <c r="H877" s="6"/>
      <c r="I877" s="6"/>
      <c r="J877" s="6"/>
      <c r="K877" s="6"/>
      <c r="L877" s="6"/>
      <c r="M877" s="6"/>
      <c r="N877" s="6"/>
      <c r="O877" s="6"/>
      <c r="P877" s="35"/>
      <c r="Q877" s="35"/>
      <c r="R877" s="6"/>
      <c r="S877" s="6"/>
      <c r="T877" s="6"/>
      <c r="U877" s="6"/>
      <c r="V877" s="6"/>
      <c r="W877" s="6"/>
      <c r="X877" s="6"/>
      <c r="Y877" s="6"/>
      <c r="Z877" s="6"/>
      <c r="AA877" s="6"/>
      <c r="AB877" s="6"/>
      <c r="AC877" s="6"/>
      <c r="AD877" s="6"/>
      <c r="AE877" s="6"/>
    </row>
    <row r="878">
      <c r="A878" s="7" t="str">
        <f t="shared" si="2"/>
        <v/>
      </c>
      <c r="B878" s="6"/>
      <c r="C878" s="6"/>
      <c r="D878" s="113"/>
      <c r="E878" s="6"/>
      <c r="F878" s="6"/>
      <c r="G878" s="6"/>
      <c r="H878" s="6"/>
      <c r="I878" s="6"/>
      <c r="J878" s="6"/>
      <c r="K878" s="6"/>
      <c r="L878" s="6"/>
      <c r="M878" s="6"/>
      <c r="N878" s="6"/>
      <c r="O878" s="6"/>
      <c r="P878" s="35"/>
      <c r="Q878" s="35"/>
      <c r="R878" s="6"/>
      <c r="S878" s="6"/>
      <c r="T878" s="6"/>
      <c r="U878" s="6"/>
      <c r="V878" s="6"/>
      <c r="W878" s="6"/>
      <c r="X878" s="6"/>
      <c r="Y878" s="6"/>
      <c r="Z878" s="6"/>
      <c r="AA878" s="6"/>
      <c r="AB878" s="6"/>
      <c r="AC878" s="6"/>
      <c r="AD878" s="6"/>
      <c r="AE878" s="6"/>
    </row>
    <row r="879">
      <c r="A879" s="7" t="str">
        <f t="shared" si="2"/>
        <v/>
      </c>
      <c r="B879" s="6"/>
      <c r="C879" s="6"/>
      <c r="D879" s="113"/>
      <c r="E879" s="6"/>
      <c r="F879" s="6"/>
      <c r="G879" s="6"/>
      <c r="H879" s="6"/>
      <c r="I879" s="6"/>
      <c r="J879" s="6"/>
      <c r="K879" s="6"/>
      <c r="L879" s="6"/>
      <c r="M879" s="6"/>
      <c r="N879" s="6"/>
      <c r="O879" s="6"/>
      <c r="P879" s="35"/>
      <c r="Q879" s="35"/>
      <c r="R879" s="6"/>
      <c r="S879" s="6"/>
      <c r="T879" s="6"/>
      <c r="U879" s="6"/>
      <c r="V879" s="6"/>
      <c r="W879" s="6"/>
      <c r="X879" s="6"/>
      <c r="Y879" s="6"/>
      <c r="Z879" s="6"/>
      <c r="AA879" s="6"/>
      <c r="AB879" s="6"/>
      <c r="AC879" s="6"/>
      <c r="AD879" s="6"/>
      <c r="AE879" s="6"/>
    </row>
    <row r="880">
      <c r="A880" s="7" t="str">
        <f t="shared" si="2"/>
        <v/>
      </c>
      <c r="B880" s="6"/>
      <c r="C880" s="6"/>
      <c r="D880" s="113"/>
      <c r="E880" s="6"/>
      <c r="F880" s="6"/>
      <c r="G880" s="6"/>
      <c r="H880" s="6"/>
      <c r="I880" s="6"/>
      <c r="J880" s="6"/>
      <c r="K880" s="6"/>
      <c r="L880" s="6"/>
      <c r="M880" s="6"/>
      <c r="N880" s="6"/>
      <c r="O880" s="6"/>
      <c r="P880" s="35"/>
      <c r="Q880" s="35"/>
      <c r="R880" s="6"/>
      <c r="S880" s="6"/>
      <c r="T880" s="6"/>
      <c r="U880" s="6"/>
      <c r="V880" s="6"/>
      <c r="W880" s="6"/>
      <c r="X880" s="6"/>
      <c r="Y880" s="6"/>
      <c r="Z880" s="6"/>
      <c r="AA880" s="6"/>
      <c r="AB880" s="6"/>
      <c r="AC880" s="6"/>
      <c r="AD880" s="6"/>
      <c r="AE880" s="6"/>
    </row>
    <row r="881">
      <c r="A881" s="7" t="str">
        <f t="shared" si="2"/>
        <v/>
      </c>
      <c r="B881" s="6"/>
      <c r="C881" s="6"/>
      <c r="D881" s="113"/>
      <c r="E881" s="6"/>
      <c r="F881" s="6"/>
      <c r="G881" s="6"/>
      <c r="H881" s="6"/>
      <c r="I881" s="6"/>
      <c r="J881" s="6"/>
      <c r="K881" s="6"/>
      <c r="L881" s="6"/>
      <c r="M881" s="6"/>
      <c r="N881" s="6"/>
      <c r="O881" s="6"/>
      <c r="P881" s="35"/>
      <c r="Q881" s="35"/>
      <c r="R881" s="6"/>
      <c r="S881" s="6"/>
      <c r="T881" s="6"/>
      <c r="U881" s="6"/>
      <c r="V881" s="6"/>
      <c r="W881" s="6"/>
      <c r="X881" s="6"/>
      <c r="Y881" s="6"/>
      <c r="Z881" s="6"/>
      <c r="AA881" s="6"/>
      <c r="AB881" s="6"/>
      <c r="AC881" s="6"/>
      <c r="AD881" s="6"/>
      <c r="AE881" s="6"/>
    </row>
    <row r="882">
      <c r="A882" s="7" t="str">
        <f t="shared" si="2"/>
        <v/>
      </c>
      <c r="B882" s="6"/>
      <c r="C882" s="6"/>
      <c r="D882" s="113"/>
      <c r="E882" s="6"/>
      <c r="F882" s="6"/>
      <c r="G882" s="6"/>
      <c r="H882" s="6"/>
      <c r="I882" s="6"/>
      <c r="J882" s="6"/>
      <c r="K882" s="6"/>
      <c r="L882" s="6"/>
      <c r="M882" s="6"/>
      <c r="N882" s="6"/>
      <c r="O882" s="6"/>
      <c r="P882" s="35"/>
      <c r="Q882" s="35"/>
      <c r="R882" s="6"/>
      <c r="S882" s="6"/>
      <c r="T882" s="6"/>
      <c r="U882" s="6"/>
      <c r="V882" s="6"/>
      <c r="W882" s="6"/>
      <c r="X882" s="6"/>
      <c r="Y882" s="6"/>
      <c r="Z882" s="6"/>
      <c r="AA882" s="6"/>
      <c r="AB882" s="6"/>
      <c r="AC882" s="6"/>
      <c r="AD882" s="6"/>
      <c r="AE882" s="6"/>
    </row>
    <row r="883">
      <c r="A883" s="7" t="str">
        <f t="shared" si="2"/>
        <v/>
      </c>
      <c r="B883" s="6"/>
      <c r="C883" s="6"/>
      <c r="D883" s="113"/>
      <c r="E883" s="6"/>
      <c r="F883" s="6"/>
      <c r="G883" s="6"/>
      <c r="H883" s="6"/>
      <c r="I883" s="6"/>
      <c r="J883" s="6"/>
      <c r="K883" s="6"/>
      <c r="L883" s="6"/>
      <c r="M883" s="6"/>
      <c r="N883" s="6"/>
      <c r="O883" s="6"/>
      <c r="P883" s="35"/>
      <c r="Q883" s="35"/>
      <c r="R883" s="6"/>
      <c r="S883" s="6"/>
      <c r="T883" s="6"/>
      <c r="U883" s="6"/>
      <c r="V883" s="6"/>
      <c r="W883" s="6"/>
      <c r="X883" s="6"/>
      <c r="Y883" s="6"/>
      <c r="Z883" s="6"/>
      <c r="AA883" s="6"/>
      <c r="AB883" s="6"/>
      <c r="AC883" s="6"/>
      <c r="AD883" s="6"/>
      <c r="AE883" s="6"/>
    </row>
    <row r="884">
      <c r="A884" s="7" t="str">
        <f t="shared" si="2"/>
        <v/>
      </c>
      <c r="B884" s="6"/>
      <c r="C884" s="6"/>
      <c r="D884" s="113"/>
      <c r="E884" s="6"/>
      <c r="F884" s="6"/>
      <c r="G884" s="6"/>
      <c r="H884" s="6"/>
      <c r="I884" s="6"/>
      <c r="J884" s="6"/>
      <c r="K884" s="6"/>
      <c r="L884" s="6"/>
      <c r="M884" s="6"/>
      <c r="N884" s="6"/>
      <c r="O884" s="6"/>
      <c r="P884" s="35"/>
      <c r="Q884" s="35"/>
      <c r="R884" s="6"/>
      <c r="S884" s="6"/>
      <c r="T884" s="6"/>
      <c r="U884" s="6"/>
      <c r="V884" s="6"/>
      <c r="W884" s="6"/>
      <c r="X884" s="6"/>
      <c r="Y884" s="6"/>
      <c r="Z884" s="6"/>
      <c r="AA884" s="6"/>
      <c r="AB884" s="6"/>
      <c r="AC884" s="6"/>
      <c r="AD884" s="6"/>
      <c r="AE884" s="6"/>
    </row>
    <row r="885">
      <c r="A885" s="7" t="str">
        <f t="shared" si="2"/>
        <v/>
      </c>
      <c r="B885" s="6"/>
      <c r="C885" s="6"/>
      <c r="D885" s="113"/>
      <c r="E885" s="6"/>
      <c r="F885" s="6"/>
      <c r="G885" s="6"/>
      <c r="H885" s="6"/>
      <c r="I885" s="6"/>
      <c r="J885" s="6"/>
      <c r="K885" s="6"/>
      <c r="L885" s="6"/>
      <c r="M885" s="6"/>
      <c r="N885" s="6"/>
      <c r="O885" s="6"/>
      <c r="P885" s="35"/>
      <c r="Q885" s="35"/>
      <c r="R885" s="6"/>
      <c r="S885" s="6"/>
      <c r="T885" s="6"/>
      <c r="U885" s="6"/>
      <c r="V885" s="6"/>
      <c r="W885" s="6"/>
      <c r="X885" s="6"/>
      <c r="Y885" s="6"/>
      <c r="Z885" s="6"/>
      <c r="AA885" s="6"/>
      <c r="AB885" s="6"/>
      <c r="AC885" s="6"/>
      <c r="AD885" s="6"/>
      <c r="AE885" s="6"/>
    </row>
    <row r="886">
      <c r="A886" s="7" t="str">
        <f t="shared" si="2"/>
        <v/>
      </c>
      <c r="B886" s="6"/>
      <c r="C886" s="6"/>
      <c r="D886" s="113"/>
      <c r="E886" s="6"/>
      <c r="F886" s="6"/>
      <c r="G886" s="6"/>
      <c r="H886" s="6"/>
      <c r="I886" s="6"/>
      <c r="J886" s="6"/>
      <c r="K886" s="6"/>
      <c r="L886" s="6"/>
      <c r="M886" s="6"/>
      <c r="N886" s="6"/>
      <c r="O886" s="6"/>
      <c r="P886" s="35"/>
      <c r="Q886" s="35"/>
      <c r="R886" s="6"/>
      <c r="S886" s="6"/>
      <c r="T886" s="6"/>
      <c r="U886" s="6"/>
      <c r="V886" s="6"/>
      <c r="W886" s="6"/>
      <c r="X886" s="6"/>
      <c r="Y886" s="6"/>
      <c r="Z886" s="6"/>
      <c r="AA886" s="6"/>
      <c r="AB886" s="6"/>
      <c r="AC886" s="6"/>
      <c r="AD886" s="6"/>
      <c r="AE886" s="6"/>
    </row>
    <row r="887">
      <c r="A887" s="7" t="str">
        <f t="shared" si="2"/>
        <v/>
      </c>
      <c r="B887" s="6"/>
      <c r="C887" s="6"/>
      <c r="D887" s="113"/>
      <c r="E887" s="6"/>
      <c r="F887" s="6"/>
      <c r="G887" s="6"/>
      <c r="H887" s="6"/>
      <c r="I887" s="6"/>
      <c r="J887" s="6"/>
      <c r="K887" s="6"/>
      <c r="L887" s="6"/>
      <c r="M887" s="6"/>
      <c r="N887" s="6"/>
      <c r="O887" s="6"/>
      <c r="P887" s="35"/>
      <c r="Q887" s="35"/>
      <c r="R887" s="6"/>
      <c r="S887" s="6"/>
      <c r="T887" s="6"/>
      <c r="U887" s="6"/>
      <c r="V887" s="6"/>
      <c r="W887" s="6"/>
      <c r="X887" s="6"/>
      <c r="Y887" s="6"/>
      <c r="Z887" s="6"/>
      <c r="AA887" s="6"/>
      <c r="AB887" s="6"/>
      <c r="AC887" s="6"/>
      <c r="AD887" s="6"/>
      <c r="AE887" s="6"/>
    </row>
    <row r="888">
      <c r="A888" s="7" t="str">
        <f t="shared" si="2"/>
        <v/>
      </c>
      <c r="B888" s="6"/>
      <c r="C888" s="6"/>
      <c r="D888" s="113"/>
      <c r="E888" s="6"/>
      <c r="F888" s="6"/>
      <c r="G888" s="6"/>
      <c r="H888" s="6"/>
      <c r="I888" s="6"/>
      <c r="J888" s="6"/>
      <c r="K888" s="6"/>
      <c r="L888" s="6"/>
      <c r="M888" s="6"/>
      <c r="N888" s="6"/>
      <c r="O888" s="6"/>
      <c r="P888" s="35"/>
      <c r="Q888" s="35"/>
      <c r="R888" s="6"/>
      <c r="S888" s="6"/>
      <c r="T888" s="6"/>
      <c r="U888" s="6"/>
      <c r="V888" s="6"/>
      <c r="W888" s="6"/>
      <c r="X888" s="6"/>
      <c r="Y888" s="6"/>
      <c r="Z888" s="6"/>
      <c r="AA888" s="6"/>
      <c r="AB888" s="6"/>
      <c r="AC888" s="6"/>
      <c r="AD888" s="6"/>
      <c r="AE888" s="6"/>
    </row>
    <row r="889">
      <c r="A889" s="7" t="str">
        <f t="shared" si="2"/>
        <v/>
      </c>
      <c r="B889" s="6"/>
      <c r="C889" s="6"/>
      <c r="D889" s="113"/>
      <c r="E889" s="6"/>
      <c r="F889" s="6"/>
      <c r="G889" s="6"/>
      <c r="H889" s="6"/>
      <c r="I889" s="6"/>
      <c r="J889" s="6"/>
      <c r="K889" s="6"/>
      <c r="L889" s="6"/>
      <c r="M889" s="6"/>
      <c r="N889" s="6"/>
      <c r="O889" s="6"/>
      <c r="P889" s="35"/>
      <c r="Q889" s="35"/>
      <c r="R889" s="6"/>
      <c r="S889" s="6"/>
      <c r="T889" s="6"/>
      <c r="U889" s="6"/>
      <c r="V889" s="6"/>
      <c r="W889" s="6"/>
      <c r="X889" s="6"/>
      <c r="Y889" s="6"/>
      <c r="Z889" s="6"/>
      <c r="AA889" s="6"/>
      <c r="AB889" s="6"/>
      <c r="AC889" s="6"/>
      <c r="AD889" s="6"/>
      <c r="AE889" s="6"/>
    </row>
    <row r="890">
      <c r="A890" s="7" t="str">
        <f t="shared" si="2"/>
        <v/>
      </c>
      <c r="B890" s="6"/>
      <c r="C890" s="6"/>
      <c r="D890" s="113"/>
      <c r="E890" s="6"/>
      <c r="F890" s="6"/>
      <c r="G890" s="6"/>
      <c r="H890" s="6"/>
      <c r="I890" s="6"/>
      <c r="J890" s="6"/>
      <c r="K890" s="6"/>
      <c r="L890" s="6"/>
      <c r="M890" s="6"/>
      <c r="N890" s="6"/>
      <c r="O890" s="6"/>
      <c r="P890" s="35"/>
      <c r="Q890" s="35"/>
      <c r="R890" s="6"/>
      <c r="S890" s="6"/>
      <c r="T890" s="6"/>
      <c r="U890" s="6"/>
      <c r="V890" s="6"/>
      <c r="W890" s="6"/>
      <c r="X890" s="6"/>
      <c r="Y890" s="6"/>
      <c r="Z890" s="6"/>
      <c r="AA890" s="6"/>
      <c r="AB890" s="6"/>
      <c r="AC890" s="6"/>
      <c r="AD890" s="6"/>
      <c r="AE890" s="6"/>
    </row>
    <row r="891">
      <c r="A891" s="7" t="str">
        <f t="shared" si="2"/>
        <v/>
      </c>
      <c r="B891" s="6"/>
      <c r="C891" s="6"/>
      <c r="D891" s="113"/>
      <c r="E891" s="6"/>
      <c r="F891" s="6"/>
      <c r="G891" s="6"/>
      <c r="H891" s="6"/>
      <c r="I891" s="6"/>
      <c r="J891" s="6"/>
      <c r="K891" s="6"/>
      <c r="L891" s="6"/>
      <c r="M891" s="6"/>
      <c r="N891" s="6"/>
      <c r="O891" s="6"/>
      <c r="P891" s="35"/>
      <c r="Q891" s="35"/>
      <c r="R891" s="6"/>
      <c r="S891" s="6"/>
      <c r="T891" s="6"/>
      <c r="U891" s="6"/>
      <c r="V891" s="6"/>
      <c r="W891" s="6"/>
      <c r="X891" s="6"/>
      <c r="Y891" s="6"/>
      <c r="Z891" s="6"/>
      <c r="AA891" s="6"/>
      <c r="AB891" s="6"/>
      <c r="AC891" s="6"/>
      <c r="AD891" s="6"/>
      <c r="AE891" s="6"/>
    </row>
    <row r="892">
      <c r="A892" s="7" t="str">
        <f t="shared" si="2"/>
        <v/>
      </c>
      <c r="B892" s="6"/>
      <c r="C892" s="6"/>
      <c r="D892" s="113"/>
      <c r="E892" s="6"/>
      <c r="F892" s="6"/>
      <c r="G892" s="6"/>
      <c r="H892" s="6"/>
      <c r="I892" s="6"/>
      <c r="J892" s="6"/>
      <c r="K892" s="6"/>
      <c r="L892" s="6"/>
      <c r="M892" s="6"/>
      <c r="N892" s="6"/>
      <c r="O892" s="6"/>
      <c r="P892" s="35"/>
      <c r="Q892" s="35"/>
      <c r="R892" s="6"/>
      <c r="S892" s="6"/>
      <c r="T892" s="6"/>
      <c r="U892" s="6"/>
      <c r="V892" s="6"/>
      <c r="W892" s="6"/>
      <c r="X892" s="6"/>
      <c r="Y892" s="6"/>
      <c r="Z892" s="6"/>
      <c r="AA892" s="6"/>
      <c r="AB892" s="6"/>
      <c r="AC892" s="6"/>
      <c r="AD892" s="6"/>
      <c r="AE892" s="6"/>
    </row>
    <row r="893">
      <c r="A893" s="7" t="str">
        <f t="shared" si="2"/>
        <v/>
      </c>
      <c r="B893" s="6"/>
      <c r="C893" s="6"/>
      <c r="D893" s="113"/>
      <c r="E893" s="6"/>
      <c r="F893" s="6"/>
      <c r="G893" s="6"/>
      <c r="H893" s="6"/>
      <c r="I893" s="6"/>
      <c r="J893" s="6"/>
      <c r="K893" s="6"/>
      <c r="L893" s="6"/>
      <c r="M893" s="6"/>
      <c r="N893" s="6"/>
      <c r="O893" s="6"/>
      <c r="P893" s="35"/>
      <c r="Q893" s="35"/>
      <c r="R893" s="6"/>
      <c r="S893" s="6"/>
      <c r="T893" s="6"/>
      <c r="U893" s="6"/>
      <c r="V893" s="6"/>
      <c r="W893" s="6"/>
      <c r="X893" s="6"/>
      <c r="Y893" s="6"/>
      <c r="Z893" s="6"/>
      <c r="AA893" s="6"/>
      <c r="AB893" s="6"/>
      <c r="AC893" s="6"/>
      <c r="AD893" s="6"/>
      <c r="AE893" s="6"/>
    </row>
    <row r="894">
      <c r="A894" s="7" t="str">
        <f t="shared" si="2"/>
        <v/>
      </c>
      <c r="B894" s="6"/>
      <c r="C894" s="6"/>
      <c r="D894" s="113"/>
      <c r="E894" s="6"/>
      <c r="F894" s="6"/>
      <c r="G894" s="6"/>
      <c r="H894" s="6"/>
      <c r="I894" s="6"/>
      <c r="J894" s="6"/>
      <c r="K894" s="6"/>
      <c r="L894" s="6"/>
      <c r="M894" s="6"/>
      <c r="N894" s="6"/>
      <c r="O894" s="6"/>
      <c r="P894" s="35"/>
      <c r="Q894" s="35"/>
      <c r="R894" s="6"/>
      <c r="S894" s="6"/>
      <c r="T894" s="6"/>
      <c r="U894" s="6"/>
      <c r="V894" s="6"/>
      <c r="W894" s="6"/>
      <c r="X894" s="6"/>
      <c r="Y894" s="6"/>
      <c r="Z894" s="6"/>
      <c r="AA894" s="6"/>
      <c r="AB894" s="6"/>
      <c r="AC894" s="6"/>
      <c r="AD894" s="6"/>
      <c r="AE894" s="6"/>
    </row>
    <row r="895">
      <c r="A895" s="7" t="str">
        <f t="shared" si="2"/>
        <v/>
      </c>
      <c r="B895" s="6"/>
      <c r="C895" s="6"/>
      <c r="D895" s="113"/>
      <c r="E895" s="6"/>
      <c r="F895" s="6"/>
      <c r="G895" s="6"/>
      <c r="H895" s="6"/>
      <c r="I895" s="6"/>
      <c r="J895" s="6"/>
      <c r="K895" s="6"/>
      <c r="L895" s="6"/>
      <c r="M895" s="6"/>
      <c r="N895" s="6"/>
      <c r="O895" s="6"/>
      <c r="P895" s="35"/>
      <c r="Q895" s="35"/>
      <c r="R895" s="6"/>
      <c r="S895" s="6"/>
      <c r="T895" s="6"/>
      <c r="U895" s="6"/>
      <c r="V895" s="6"/>
      <c r="W895" s="6"/>
      <c r="X895" s="6"/>
      <c r="Y895" s="6"/>
      <c r="Z895" s="6"/>
      <c r="AA895" s="6"/>
      <c r="AB895" s="6"/>
      <c r="AC895" s="6"/>
      <c r="AD895" s="6"/>
      <c r="AE895" s="6"/>
    </row>
    <row r="896">
      <c r="A896" s="7" t="str">
        <f t="shared" si="2"/>
        <v/>
      </c>
      <c r="B896" s="6"/>
      <c r="C896" s="6"/>
      <c r="D896" s="113"/>
      <c r="E896" s="6"/>
      <c r="F896" s="6"/>
      <c r="G896" s="6"/>
      <c r="H896" s="6"/>
      <c r="I896" s="6"/>
      <c r="J896" s="6"/>
      <c r="K896" s="6"/>
      <c r="L896" s="6"/>
      <c r="M896" s="6"/>
      <c r="N896" s="6"/>
      <c r="O896" s="6"/>
      <c r="P896" s="35"/>
      <c r="Q896" s="35"/>
      <c r="R896" s="6"/>
      <c r="S896" s="6"/>
      <c r="T896" s="6"/>
      <c r="U896" s="6"/>
      <c r="V896" s="6"/>
      <c r="W896" s="6"/>
      <c r="X896" s="6"/>
      <c r="Y896" s="6"/>
      <c r="Z896" s="6"/>
      <c r="AA896" s="6"/>
      <c r="AB896" s="6"/>
      <c r="AC896" s="6"/>
      <c r="AD896" s="6"/>
      <c r="AE896" s="6"/>
    </row>
    <row r="897">
      <c r="A897" s="7" t="str">
        <f t="shared" si="2"/>
        <v/>
      </c>
      <c r="B897" s="6"/>
      <c r="C897" s="6"/>
      <c r="D897" s="113"/>
      <c r="E897" s="6"/>
      <c r="F897" s="6"/>
      <c r="G897" s="6"/>
      <c r="H897" s="6"/>
      <c r="I897" s="6"/>
      <c r="J897" s="6"/>
      <c r="K897" s="6"/>
      <c r="L897" s="6"/>
      <c r="M897" s="6"/>
      <c r="N897" s="6"/>
      <c r="O897" s="6"/>
      <c r="P897" s="35"/>
      <c r="Q897" s="35"/>
      <c r="R897" s="6"/>
      <c r="S897" s="6"/>
      <c r="T897" s="6"/>
      <c r="U897" s="6"/>
      <c r="V897" s="6"/>
      <c r="W897" s="6"/>
      <c r="X897" s="6"/>
      <c r="Y897" s="6"/>
      <c r="Z897" s="6"/>
      <c r="AA897" s="6"/>
      <c r="AB897" s="6"/>
      <c r="AC897" s="6"/>
      <c r="AD897" s="6"/>
      <c r="AE897" s="6"/>
    </row>
    <row r="898">
      <c r="A898" s="7" t="str">
        <f t="shared" si="2"/>
        <v/>
      </c>
      <c r="B898" s="6"/>
      <c r="C898" s="6"/>
      <c r="D898" s="113"/>
      <c r="E898" s="6"/>
      <c r="F898" s="6"/>
      <c r="G898" s="6"/>
      <c r="H898" s="6"/>
      <c r="I898" s="6"/>
      <c r="J898" s="6"/>
      <c r="K898" s="6"/>
      <c r="L898" s="6"/>
      <c r="M898" s="6"/>
      <c r="N898" s="6"/>
      <c r="O898" s="6"/>
      <c r="P898" s="35"/>
      <c r="Q898" s="35"/>
      <c r="R898" s="6"/>
      <c r="S898" s="6"/>
      <c r="T898" s="6"/>
      <c r="U898" s="6"/>
      <c r="V898" s="6"/>
      <c r="W898" s="6"/>
      <c r="X898" s="6"/>
      <c r="Y898" s="6"/>
      <c r="Z898" s="6"/>
      <c r="AA898" s="6"/>
      <c r="AB898" s="6"/>
      <c r="AC898" s="6"/>
      <c r="AD898" s="6"/>
      <c r="AE898" s="6"/>
    </row>
    <row r="899">
      <c r="A899" s="7" t="str">
        <f t="shared" si="2"/>
        <v/>
      </c>
      <c r="B899" s="6"/>
      <c r="C899" s="6"/>
      <c r="D899" s="113"/>
      <c r="E899" s="6"/>
      <c r="F899" s="6"/>
      <c r="G899" s="6"/>
      <c r="H899" s="6"/>
      <c r="I899" s="6"/>
      <c r="J899" s="6"/>
      <c r="K899" s="6"/>
      <c r="L899" s="6"/>
      <c r="M899" s="6"/>
      <c r="N899" s="6"/>
      <c r="O899" s="6"/>
      <c r="P899" s="35"/>
      <c r="Q899" s="35"/>
      <c r="R899" s="6"/>
      <c r="S899" s="6"/>
      <c r="T899" s="6"/>
      <c r="U899" s="6"/>
      <c r="V899" s="6"/>
      <c r="W899" s="6"/>
      <c r="X899" s="6"/>
      <c r="Y899" s="6"/>
      <c r="Z899" s="6"/>
      <c r="AA899" s="6"/>
      <c r="AB899" s="6"/>
      <c r="AC899" s="6"/>
      <c r="AD899" s="6"/>
      <c r="AE899" s="6"/>
    </row>
    <row r="900">
      <c r="A900" s="7" t="str">
        <f t="shared" si="2"/>
        <v/>
      </c>
      <c r="B900" s="6"/>
      <c r="C900" s="6"/>
      <c r="D900" s="113"/>
      <c r="E900" s="6"/>
      <c r="F900" s="6"/>
      <c r="G900" s="6"/>
      <c r="H900" s="6"/>
      <c r="I900" s="6"/>
      <c r="J900" s="6"/>
      <c r="K900" s="6"/>
      <c r="L900" s="6"/>
      <c r="M900" s="6"/>
      <c r="N900" s="6"/>
      <c r="O900" s="6"/>
      <c r="P900" s="35"/>
      <c r="Q900" s="35"/>
      <c r="R900" s="6"/>
      <c r="S900" s="6"/>
      <c r="T900" s="6"/>
      <c r="U900" s="6"/>
      <c r="V900" s="6"/>
      <c r="W900" s="6"/>
      <c r="X900" s="6"/>
      <c r="Y900" s="6"/>
      <c r="Z900" s="6"/>
      <c r="AA900" s="6"/>
      <c r="AB900" s="6"/>
      <c r="AC900" s="6"/>
      <c r="AD900" s="6"/>
      <c r="AE900" s="6"/>
    </row>
    <row r="901">
      <c r="A901" s="7" t="str">
        <f t="shared" si="2"/>
        <v/>
      </c>
      <c r="B901" s="6"/>
      <c r="C901" s="6"/>
      <c r="D901" s="113"/>
      <c r="E901" s="6"/>
      <c r="F901" s="6"/>
      <c r="G901" s="6"/>
      <c r="H901" s="6"/>
      <c r="I901" s="6"/>
      <c r="J901" s="6"/>
      <c r="K901" s="6"/>
      <c r="L901" s="6"/>
      <c r="M901" s="6"/>
      <c r="N901" s="6"/>
      <c r="O901" s="6"/>
      <c r="P901" s="35"/>
      <c r="Q901" s="35"/>
      <c r="R901" s="6"/>
      <c r="S901" s="6"/>
      <c r="T901" s="6"/>
      <c r="U901" s="6"/>
      <c r="V901" s="6"/>
      <c r="W901" s="6"/>
      <c r="X901" s="6"/>
      <c r="Y901" s="6"/>
      <c r="Z901" s="6"/>
      <c r="AA901" s="6"/>
      <c r="AB901" s="6"/>
      <c r="AC901" s="6"/>
      <c r="AD901" s="6"/>
      <c r="AE901" s="6"/>
    </row>
    <row r="902">
      <c r="A902" s="7" t="str">
        <f t="shared" si="2"/>
        <v/>
      </c>
      <c r="B902" s="6"/>
      <c r="C902" s="6"/>
      <c r="D902" s="113"/>
      <c r="E902" s="6"/>
      <c r="F902" s="6"/>
      <c r="G902" s="6"/>
      <c r="H902" s="6"/>
      <c r="I902" s="6"/>
      <c r="J902" s="6"/>
      <c r="K902" s="6"/>
      <c r="L902" s="6"/>
      <c r="M902" s="6"/>
      <c r="N902" s="6"/>
      <c r="O902" s="6"/>
      <c r="P902" s="35"/>
      <c r="Q902" s="35"/>
      <c r="R902" s="6"/>
      <c r="S902" s="6"/>
      <c r="T902" s="6"/>
      <c r="U902" s="6"/>
      <c r="V902" s="6"/>
      <c r="W902" s="6"/>
      <c r="X902" s="6"/>
      <c r="Y902" s="6"/>
      <c r="Z902" s="6"/>
      <c r="AA902" s="6"/>
      <c r="AB902" s="6"/>
      <c r="AC902" s="6"/>
      <c r="AD902" s="6"/>
      <c r="AE902" s="6"/>
    </row>
    <row r="903">
      <c r="A903" s="7" t="str">
        <f t="shared" si="2"/>
        <v/>
      </c>
      <c r="B903" s="6"/>
      <c r="C903" s="6"/>
      <c r="D903" s="113"/>
      <c r="E903" s="6"/>
      <c r="F903" s="6"/>
      <c r="G903" s="6"/>
      <c r="H903" s="6"/>
      <c r="I903" s="6"/>
      <c r="J903" s="6"/>
      <c r="K903" s="6"/>
      <c r="L903" s="6"/>
      <c r="M903" s="6"/>
      <c r="N903" s="6"/>
      <c r="O903" s="6"/>
      <c r="P903" s="35"/>
      <c r="Q903" s="35"/>
      <c r="R903" s="6"/>
      <c r="S903" s="6"/>
      <c r="T903" s="6"/>
      <c r="U903" s="6"/>
      <c r="V903" s="6"/>
      <c r="W903" s="6"/>
      <c r="X903" s="6"/>
      <c r="Y903" s="6"/>
      <c r="Z903" s="6"/>
      <c r="AA903" s="6"/>
      <c r="AB903" s="6"/>
      <c r="AC903" s="6"/>
      <c r="AD903" s="6"/>
      <c r="AE903" s="6"/>
    </row>
    <row r="904">
      <c r="A904" s="7" t="str">
        <f t="shared" si="2"/>
        <v/>
      </c>
      <c r="B904" s="6"/>
      <c r="C904" s="6"/>
      <c r="D904" s="113"/>
      <c r="E904" s="6"/>
      <c r="F904" s="6"/>
      <c r="G904" s="6"/>
      <c r="H904" s="6"/>
      <c r="I904" s="6"/>
      <c r="J904" s="6"/>
      <c r="K904" s="6"/>
      <c r="L904" s="6"/>
      <c r="M904" s="6"/>
      <c r="N904" s="6"/>
      <c r="O904" s="6"/>
      <c r="P904" s="35"/>
      <c r="Q904" s="35"/>
      <c r="R904" s="6"/>
      <c r="S904" s="6"/>
      <c r="T904" s="6"/>
      <c r="U904" s="6"/>
      <c r="V904" s="6"/>
      <c r="W904" s="6"/>
      <c r="X904" s="6"/>
      <c r="Y904" s="6"/>
      <c r="Z904" s="6"/>
      <c r="AA904" s="6"/>
      <c r="AB904" s="6"/>
      <c r="AC904" s="6"/>
      <c r="AD904" s="6"/>
      <c r="AE904" s="6"/>
    </row>
    <row r="905">
      <c r="A905" s="7" t="str">
        <f t="shared" si="2"/>
        <v/>
      </c>
      <c r="B905" s="6"/>
      <c r="C905" s="6"/>
      <c r="D905" s="113"/>
      <c r="E905" s="6"/>
      <c r="F905" s="6"/>
      <c r="G905" s="6"/>
      <c r="H905" s="6"/>
      <c r="I905" s="6"/>
      <c r="J905" s="6"/>
      <c r="K905" s="6"/>
      <c r="L905" s="6"/>
      <c r="M905" s="6"/>
      <c r="N905" s="6"/>
      <c r="O905" s="6"/>
      <c r="P905" s="35"/>
      <c r="Q905" s="35"/>
      <c r="R905" s="6"/>
      <c r="S905" s="6"/>
      <c r="T905" s="6"/>
      <c r="U905" s="6"/>
      <c r="V905" s="6"/>
      <c r="W905" s="6"/>
      <c r="X905" s="6"/>
      <c r="Y905" s="6"/>
      <c r="Z905" s="6"/>
      <c r="AA905" s="6"/>
      <c r="AB905" s="6"/>
      <c r="AC905" s="6"/>
      <c r="AD905" s="6"/>
      <c r="AE905" s="6"/>
    </row>
    <row r="906">
      <c r="A906" s="7" t="str">
        <f t="shared" si="2"/>
        <v/>
      </c>
      <c r="B906" s="6"/>
      <c r="C906" s="6"/>
      <c r="D906" s="113"/>
      <c r="E906" s="6"/>
      <c r="F906" s="6"/>
      <c r="G906" s="6"/>
      <c r="H906" s="6"/>
      <c r="I906" s="6"/>
      <c r="J906" s="6"/>
      <c r="K906" s="6"/>
      <c r="L906" s="6"/>
      <c r="M906" s="6"/>
      <c r="N906" s="6"/>
      <c r="O906" s="6"/>
      <c r="P906" s="35"/>
      <c r="Q906" s="35"/>
      <c r="R906" s="6"/>
      <c r="S906" s="6"/>
      <c r="T906" s="6"/>
      <c r="U906" s="6"/>
      <c r="V906" s="6"/>
      <c r="W906" s="6"/>
      <c r="X906" s="6"/>
      <c r="Y906" s="6"/>
      <c r="Z906" s="6"/>
      <c r="AA906" s="6"/>
      <c r="AB906" s="6"/>
      <c r="AC906" s="6"/>
      <c r="AD906" s="6"/>
      <c r="AE906" s="6"/>
    </row>
    <row r="907">
      <c r="A907" s="7" t="str">
        <f t="shared" si="2"/>
        <v/>
      </c>
      <c r="B907" s="6"/>
      <c r="C907" s="6"/>
      <c r="D907" s="113"/>
      <c r="E907" s="6"/>
      <c r="F907" s="6"/>
      <c r="G907" s="6"/>
      <c r="H907" s="6"/>
      <c r="I907" s="6"/>
      <c r="J907" s="6"/>
      <c r="K907" s="6"/>
      <c r="L907" s="6"/>
      <c r="M907" s="6"/>
      <c r="N907" s="6"/>
      <c r="O907" s="6"/>
      <c r="P907" s="35"/>
      <c r="Q907" s="35"/>
      <c r="R907" s="6"/>
      <c r="S907" s="6"/>
      <c r="T907" s="6"/>
      <c r="U907" s="6"/>
      <c r="V907" s="6"/>
      <c r="W907" s="6"/>
      <c r="X907" s="6"/>
      <c r="Y907" s="6"/>
      <c r="Z907" s="6"/>
      <c r="AA907" s="6"/>
      <c r="AB907" s="6"/>
      <c r="AC907" s="6"/>
      <c r="AD907" s="6"/>
      <c r="AE907" s="6"/>
    </row>
    <row r="908">
      <c r="A908" s="7" t="str">
        <f t="shared" si="2"/>
        <v/>
      </c>
      <c r="B908" s="6"/>
      <c r="C908" s="6"/>
      <c r="D908" s="113"/>
      <c r="E908" s="6"/>
      <c r="F908" s="6"/>
      <c r="G908" s="6"/>
      <c r="H908" s="6"/>
      <c r="I908" s="6"/>
      <c r="J908" s="6"/>
      <c r="K908" s="6"/>
      <c r="L908" s="6"/>
      <c r="M908" s="6"/>
      <c r="N908" s="6"/>
      <c r="O908" s="6"/>
      <c r="P908" s="35"/>
      <c r="Q908" s="35"/>
      <c r="R908" s="6"/>
      <c r="S908" s="6"/>
      <c r="T908" s="6"/>
      <c r="U908" s="6"/>
      <c r="V908" s="6"/>
      <c r="W908" s="6"/>
      <c r="X908" s="6"/>
      <c r="Y908" s="6"/>
      <c r="Z908" s="6"/>
      <c r="AA908" s="6"/>
      <c r="AB908" s="6"/>
      <c r="AC908" s="6"/>
      <c r="AD908" s="6"/>
      <c r="AE908" s="6"/>
    </row>
    <row r="909">
      <c r="A909" s="7" t="str">
        <f t="shared" si="2"/>
        <v/>
      </c>
      <c r="B909" s="6"/>
      <c r="C909" s="6"/>
      <c r="D909" s="113"/>
      <c r="E909" s="6"/>
      <c r="F909" s="6"/>
      <c r="G909" s="6"/>
      <c r="H909" s="6"/>
      <c r="I909" s="6"/>
      <c r="J909" s="6"/>
      <c r="K909" s="6"/>
      <c r="L909" s="6"/>
      <c r="M909" s="6"/>
      <c r="N909" s="6"/>
      <c r="O909" s="6"/>
      <c r="P909" s="35"/>
      <c r="Q909" s="35"/>
      <c r="R909" s="6"/>
      <c r="S909" s="6"/>
      <c r="T909" s="6"/>
      <c r="U909" s="6"/>
      <c r="V909" s="6"/>
      <c r="W909" s="6"/>
      <c r="X909" s="6"/>
      <c r="Y909" s="6"/>
      <c r="Z909" s="6"/>
      <c r="AA909" s="6"/>
      <c r="AB909" s="6"/>
      <c r="AC909" s="6"/>
      <c r="AD909" s="6"/>
      <c r="AE909" s="6"/>
    </row>
    <row r="910">
      <c r="A910" s="7" t="str">
        <f t="shared" si="2"/>
        <v/>
      </c>
      <c r="B910" s="6"/>
      <c r="C910" s="6"/>
      <c r="D910" s="113"/>
      <c r="E910" s="6"/>
      <c r="F910" s="6"/>
      <c r="G910" s="6"/>
      <c r="H910" s="6"/>
      <c r="I910" s="6"/>
      <c r="J910" s="6"/>
      <c r="K910" s="6"/>
      <c r="L910" s="6"/>
      <c r="M910" s="6"/>
      <c r="N910" s="6"/>
      <c r="O910" s="6"/>
      <c r="P910" s="35"/>
      <c r="Q910" s="35"/>
      <c r="R910" s="6"/>
      <c r="S910" s="6"/>
      <c r="T910" s="6"/>
      <c r="U910" s="6"/>
      <c r="V910" s="6"/>
      <c r="W910" s="6"/>
      <c r="X910" s="6"/>
      <c r="Y910" s="6"/>
      <c r="Z910" s="6"/>
      <c r="AA910" s="6"/>
      <c r="AB910" s="6"/>
      <c r="AC910" s="6"/>
      <c r="AD910" s="6"/>
      <c r="AE910" s="6"/>
    </row>
    <row r="911">
      <c r="A911" s="7" t="str">
        <f t="shared" si="2"/>
        <v/>
      </c>
      <c r="B911" s="6"/>
      <c r="C911" s="6"/>
      <c r="D911" s="113"/>
      <c r="E911" s="6"/>
      <c r="F911" s="6"/>
      <c r="G911" s="6"/>
      <c r="H911" s="6"/>
      <c r="I911" s="6"/>
      <c r="J911" s="6"/>
      <c r="K911" s="6"/>
      <c r="L911" s="6"/>
      <c r="M911" s="6"/>
      <c r="N911" s="6"/>
      <c r="O911" s="6"/>
      <c r="P911" s="35"/>
      <c r="Q911" s="35"/>
      <c r="R911" s="6"/>
      <c r="S911" s="6"/>
      <c r="T911" s="6"/>
      <c r="U911" s="6"/>
      <c r="V911" s="6"/>
      <c r="W911" s="6"/>
      <c r="X911" s="6"/>
      <c r="Y911" s="6"/>
      <c r="Z911" s="6"/>
      <c r="AA911" s="6"/>
      <c r="AB911" s="6"/>
      <c r="AC911" s="6"/>
      <c r="AD911" s="6"/>
      <c r="AE911" s="6"/>
    </row>
    <row r="912">
      <c r="A912" s="7" t="str">
        <f t="shared" si="2"/>
        <v/>
      </c>
      <c r="B912" s="6"/>
      <c r="C912" s="6"/>
      <c r="D912" s="113"/>
      <c r="E912" s="6"/>
      <c r="F912" s="6"/>
      <c r="G912" s="6"/>
      <c r="H912" s="6"/>
      <c r="I912" s="6"/>
      <c r="J912" s="6"/>
      <c r="K912" s="6"/>
      <c r="L912" s="6"/>
      <c r="M912" s="6"/>
      <c r="N912" s="6"/>
      <c r="O912" s="6"/>
      <c r="P912" s="35"/>
      <c r="Q912" s="35"/>
      <c r="R912" s="6"/>
      <c r="S912" s="6"/>
      <c r="T912" s="6"/>
      <c r="U912" s="6"/>
      <c r="V912" s="6"/>
      <c r="W912" s="6"/>
      <c r="X912" s="6"/>
      <c r="Y912" s="6"/>
      <c r="Z912" s="6"/>
      <c r="AA912" s="6"/>
      <c r="AB912" s="6"/>
      <c r="AC912" s="6"/>
      <c r="AD912" s="6"/>
      <c r="AE912" s="6"/>
    </row>
    <row r="913">
      <c r="A913" s="7" t="str">
        <f t="shared" si="2"/>
        <v/>
      </c>
      <c r="B913" s="6"/>
      <c r="C913" s="6"/>
      <c r="D913" s="113"/>
      <c r="E913" s="6"/>
      <c r="F913" s="6"/>
      <c r="G913" s="6"/>
      <c r="H913" s="6"/>
      <c r="I913" s="6"/>
      <c r="J913" s="6"/>
      <c r="K913" s="6"/>
      <c r="L913" s="6"/>
      <c r="M913" s="6"/>
      <c r="N913" s="6"/>
      <c r="O913" s="6"/>
      <c r="P913" s="35"/>
      <c r="Q913" s="35"/>
      <c r="R913" s="6"/>
      <c r="S913" s="6"/>
      <c r="T913" s="6"/>
      <c r="U913" s="6"/>
      <c r="V913" s="6"/>
      <c r="W913" s="6"/>
      <c r="X913" s="6"/>
      <c r="Y913" s="6"/>
      <c r="Z913" s="6"/>
      <c r="AA913" s="6"/>
      <c r="AB913" s="6"/>
      <c r="AC913" s="6"/>
      <c r="AD913" s="6"/>
      <c r="AE913" s="6"/>
    </row>
    <row r="914">
      <c r="A914" s="7" t="str">
        <f t="shared" si="2"/>
        <v/>
      </c>
      <c r="B914" s="6"/>
      <c r="C914" s="6"/>
      <c r="D914" s="113"/>
      <c r="E914" s="6"/>
      <c r="F914" s="6"/>
      <c r="G914" s="6"/>
      <c r="H914" s="6"/>
      <c r="I914" s="6"/>
      <c r="J914" s="6"/>
      <c r="K914" s="6"/>
      <c r="L914" s="6"/>
      <c r="M914" s="6"/>
      <c r="N914" s="6"/>
      <c r="O914" s="6"/>
      <c r="P914" s="35"/>
      <c r="Q914" s="35"/>
      <c r="R914" s="6"/>
      <c r="S914" s="6"/>
      <c r="T914" s="6"/>
      <c r="U914" s="6"/>
      <c r="V914" s="6"/>
      <c r="W914" s="6"/>
      <c r="X914" s="6"/>
      <c r="Y914" s="6"/>
      <c r="Z914" s="6"/>
      <c r="AA914" s="6"/>
      <c r="AB914" s="6"/>
      <c r="AC914" s="6"/>
      <c r="AD914" s="6"/>
      <c r="AE914" s="6"/>
    </row>
    <row r="915">
      <c r="A915" s="7" t="str">
        <f t="shared" si="2"/>
        <v/>
      </c>
      <c r="B915" s="6"/>
      <c r="C915" s="6"/>
      <c r="D915" s="113"/>
      <c r="E915" s="6"/>
      <c r="F915" s="6"/>
      <c r="G915" s="6"/>
      <c r="H915" s="6"/>
      <c r="I915" s="6"/>
      <c r="J915" s="6"/>
      <c r="K915" s="6"/>
      <c r="L915" s="6"/>
      <c r="M915" s="6"/>
      <c r="N915" s="6"/>
      <c r="O915" s="6"/>
      <c r="P915" s="35"/>
      <c r="Q915" s="35"/>
      <c r="R915" s="6"/>
      <c r="S915" s="6"/>
      <c r="T915" s="6"/>
      <c r="U915" s="6"/>
      <c r="V915" s="6"/>
      <c r="W915" s="6"/>
      <c r="X915" s="6"/>
      <c r="Y915" s="6"/>
      <c r="Z915" s="6"/>
      <c r="AA915" s="6"/>
      <c r="AB915" s="6"/>
      <c r="AC915" s="6"/>
      <c r="AD915" s="6"/>
      <c r="AE915" s="6"/>
    </row>
    <row r="916">
      <c r="A916" s="7" t="str">
        <f t="shared" si="2"/>
        <v/>
      </c>
      <c r="B916" s="6"/>
      <c r="C916" s="6"/>
      <c r="D916" s="113"/>
      <c r="E916" s="6"/>
      <c r="F916" s="6"/>
      <c r="G916" s="6"/>
      <c r="H916" s="6"/>
      <c r="I916" s="6"/>
      <c r="J916" s="6"/>
      <c r="K916" s="6"/>
      <c r="L916" s="6"/>
      <c r="M916" s="6"/>
      <c r="N916" s="6"/>
      <c r="O916" s="6"/>
      <c r="P916" s="35"/>
      <c r="Q916" s="35"/>
      <c r="R916" s="6"/>
      <c r="S916" s="6"/>
      <c r="T916" s="6"/>
      <c r="U916" s="6"/>
      <c r="V916" s="6"/>
      <c r="W916" s="6"/>
      <c r="X916" s="6"/>
      <c r="Y916" s="6"/>
      <c r="Z916" s="6"/>
      <c r="AA916" s="6"/>
      <c r="AB916" s="6"/>
      <c r="AC916" s="6"/>
      <c r="AD916" s="6"/>
      <c r="AE916" s="6"/>
    </row>
    <row r="917">
      <c r="A917" s="7" t="str">
        <f t="shared" si="2"/>
        <v/>
      </c>
      <c r="B917" s="6"/>
      <c r="C917" s="6"/>
      <c r="D917" s="113"/>
      <c r="E917" s="6"/>
      <c r="F917" s="6"/>
      <c r="G917" s="6"/>
      <c r="H917" s="6"/>
      <c r="I917" s="6"/>
      <c r="J917" s="6"/>
      <c r="K917" s="6"/>
      <c r="L917" s="6"/>
      <c r="M917" s="6"/>
      <c r="N917" s="6"/>
      <c r="O917" s="6"/>
      <c r="P917" s="35"/>
      <c r="Q917" s="35"/>
      <c r="R917" s="6"/>
      <c r="S917" s="6"/>
      <c r="T917" s="6"/>
      <c r="U917" s="6"/>
      <c r="V917" s="6"/>
      <c r="W917" s="6"/>
      <c r="X917" s="6"/>
      <c r="Y917" s="6"/>
      <c r="Z917" s="6"/>
      <c r="AA917" s="6"/>
      <c r="AB917" s="6"/>
      <c r="AC917" s="6"/>
      <c r="AD917" s="6"/>
      <c r="AE917" s="6"/>
    </row>
    <row r="918">
      <c r="A918" s="7" t="str">
        <f t="shared" si="2"/>
        <v/>
      </c>
      <c r="B918" s="6"/>
      <c r="C918" s="6"/>
      <c r="D918" s="113"/>
      <c r="E918" s="6"/>
      <c r="F918" s="6"/>
      <c r="G918" s="6"/>
      <c r="H918" s="6"/>
      <c r="I918" s="6"/>
      <c r="J918" s="6"/>
      <c r="K918" s="6"/>
      <c r="L918" s="6"/>
      <c r="M918" s="6"/>
      <c r="N918" s="6"/>
      <c r="O918" s="6"/>
      <c r="P918" s="35"/>
      <c r="Q918" s="35"/>
      <c r="R918" s="6"/>
      <c r="S918" s="6"/>
      <c r="T918" s="6"/>
      <c r="U918" s="6"/>
      <c r="V918" s="6"/>
      <c r="W918" s="6"/>
      <c r="X918" s="6"/>
      <c r="Y918" s="6"/>
      <c r="Z918" s="6"/>
      <c r="AA918" s="6"/>
      <c r="AB918" s="6"/>
      <c r="AC918" s="6"/>
      <c r="AD918" s="6"/>
      <c r="AE918" s="6"/>
    </row>
    <row r="919">
      <c r="A919" s="7" t="str">
        <f t="shared" si="2"/>
        <v/>
      </c>
      <c r="B919" s="6"/>
      <c r="C919" s="6"/>
      <c r="D919" s="113"/>
      <c r="E919" s="6"/>
      <c r="F919" s="6"/>
      <c r="G919" s="6"/>
      <c r="H919" s="6"/>
      <c r="I919" s="6"/>
      <c r="J919" s="6"/>
      <c r="K919" s="6"/>
      <c r="L919" s="6"/>
      <c r="M919" s="6"/>
      <c r="N919" s="6"/>
      <c r="O919" s="6"/>
      <c r="P919" s="35"/>
      <c r="Q919" s="35"/>
      <c r="R919" s="6"/>
      <c r="S919" s="6"/>
      <c r="T919" s="6"/>
      <c r="U919" s="6"/>
      <c r="V919" s="6"/>
      <c r="W919" s="6"/>
      <c r="X919" s="6"/>
      <c r="Y919" s="6"/>
      <c r="Z919" s="6"/>
      <c r="AA919" s="6"/>
      <c r="AB919" s="6"/>
      <c r="AC919" s="6"/>
      <c r="AD919" s="6"/>
      <c r="AE919" s="6"/>
    </row>
    <row r="920">
      <c r="A920" s="7" t="str">
        <f t="shared" si="2"/>
        <v/>
      </c>
      <c r="B920" s="6"/>
      <c r="C920" s="6"/>
      <c r="D920" s="113"/>
      <c r="E920" s="6"/>
      <c r="F920" s="6"/>
      <c r="G920" s="6"/>
      <c r="H920" s="6"/>
      <c r="I920" s="6"/>
      <c r="J920" s="6"/>
      <c r="K920" s="6"/>
      <c r="L920" s="6"/>
      <c r="M920" s="6"/>
      <c r="N920" s="6"/>
      <c r="O920" s="6"/>
      <c r="P920" s="35"/>
      <c r="Q920" s="35"/>
      <c r="R920" s="6"/>
      <c r="S920" s="6"/>
      <c r="T920" s="6"/>
      <c r="U920" s="6"/>
      <c r="V920" s="6"/>
      <c r="W920" s="6"/>
      <c r="X920" s="6"/>
      <c r="Y920" s="6"/>
      <c r="Z920" s="6"/>
      <c r="AA920" s="6"/>
      <c r="AB920" s="6"/>
      <c r="AC920" s="6"/>
      <c r="AD920" s="6"/>
      <c r="AE920" s="6"/>
    </row>
    <row r="921">
      <c r="A921" s="7" t="str">
        <f t="shared" si="2"/>
        <v/>
      </c>
      <c r="B921" s="6"/>
      <c r="C921" s="6"/>
      <c r="D921" s="113"/>
      <c r="E921" s="6"/>
      <c r="F921" s="6"/>
      <c r="G921" s="6"/>
      <c r="H921" s="6"/>
      <c r="I921" s="6"/>
      <c r="J921" s="6"/>
      <c r="K921" s="6"/>
      <c r="L921" s="6"/>
      <c r="M921" s="6"/>
      <c r="N921" s="6"/>
      <c r="O921" s="6"/>
      <c r="P921" s="35"/>
      <c r="Q921" s="35"/>
      <c r="R921" s="6"/>
      <c r="S921" s="6"/>
      <c r="T921" s="6"/>
      <c r="U921" s="6"/>
      <c r="V921" s="6"/>
      <c r="W921" s="6"/>
      <c r="X921" s="6"/>
      <c r="Y921" s="6"/>
      <c r="Z921" s="6"/>
      <c r="AA921" s="6"/>
      <c r="AB921" s="6"/>
      <c r="AC921" s="6"/>
      <c r="AD921" s="6"/>
      <c r="AE921" s="6"/>
    </row>
    <row r="922">
      <c r="A922" s="7" t="str">
        <f t="shared" si="2"/>
        <v/>
      </c>
      <c r="B922" s="6"/>
      <c r="C922" s="6"/>
      <c r="D922" s="113"/>
      <c r="E922" s="6"/>
      <c r="F922" s="6"/>
      <c r="G922" s="6"/>
      <c r="H922" s="6"/>
      <c r="I922" s="6"/>
      <c r="J922" s="6"/>
      <c r="K922" s="6"/>
      <c r="L922" s="6"/>
      <c r="M922" s="6"/>
      <c r="N922" s="6"/>
      <c r="O922" s="6"/>
      <c r="P922" s="35"/>
      <c r="Q922" s="35"/>
      <c r="R922" s="6"/>
      <c r="S922" s="6"/>
      <c r="T922" s="6"/>
      <c r="U922" s="6"/>
      <c r="V922" s="6"/>
      <c r="W922" s="6"/>
      <c r="X922" s="6"/>
      <c r="Y922" s="6"/>
      <c r="Z922" s="6"/>
      <c r="AA922" s="6"/>
      <c r="AB922" s="6"/>
      <c r="AC922" s="6"/>
      <c r="AD922" s="6"/>
      <c r="AE922" s="6"/>
    </row>
    <row r="923">
      <c r="A923" s="7" t="str">
        <f t="shared" si="2"/>
        <v/>
      </c>
      <c r="B923" s="6"/>
      <c r="C923" s="6"/>
      <c r="D923" s="113"/>
      <c r="E923" s="6"/>
      <c r="F923" s="6"/>
      <c r="G923" s="6"/>
      <c r="H923" s="6"/>
      <c r="I923" s="6"/>
      <c r="J923" s="6"/>
      <c r="K923" s="6"/>
      <c r="L923" s="6"/>
      <c r="M923" s="6"/>
      <c r="N923" s="6"/>
      <c r="O923" s="6"/>
      <c r="P923" s="35"/>
      <c r="Q923" s="35"/>
      <c r="R923" s="6"/>
      <c r="S923" s="6"/>
      <c r="T923" s="6"/>
      <c r="U923" s="6"/>
      <c r="V923" s="6"/>
      <c r="W923" s="6"/>
      <c r="X923" s="6"/>
      <c r="Y923" s="6"/>
      <c r="Z923" s="6"/>
      <c r="AA923" s="6"/>
      <c r="AB923" s="6"/>
      <c r="AC923" s="6"/>
      <c r="AD923" s="6"/>
      <c r="AE923" s="6"/>
    </row>
    <row r="924">
      <c r="A924" s="7" t="str">
        <f t="shared" si="2"/>
        <v/>
      </c>
      <c r="B924" s="6"/>
      <c r="C924" s="6"/>
      <c r="D924" s="113"/>
      <c r="E924" s="6"/>
      <c r="F924" s="6"/>
      <c r="G924" s="6"/>
      <c r="H924" s="6"/>
      <c r="I924" s="6"/>
      <c r="J924" s="6"/>
      <c r="K924" s="6"/>
      <c r="L924" s="6"/>
      <c r="M924" s="6"/>
      <c r="N924" s="6"/>
      <c r="O924" s="6"/>
      <c r="P924" s="35"/>
      <c r="Q924" s="35"/>
      <c r="R924" s="6"/>
      <c r="S924" s="6"/>
      <c r="T924" s="6"/>
      <c r="U924" s="6"/>
      <c r="V924" s="6"/>
      <c r="W924" s="6"/>
      <c r="X924" s="6"/>
      <c r="Y924" s="6"/>
      <c r="Z924" s="6"/>
      <c r="AA924" s="6"/>
      <c r="AB924" s="6"/>
      <c r="AC924" s="6"/>
      <c r="AD924" s="6"/>
      <c r="AE924" s="6"/>
    </row>
    <row r="925">
      <c r="A925" s="7" t="str">
        <f t="shared" si="2"/>
        <v/>
      </c>
      <c r="B925" s="6"/>
      <c r="C925" s="6"/>
      <c r="D925" s="113"/>
      <c r="E925" s="6"/>
      <c r="F925" s="6"/>
      <c r="G925" s="6"/>
      <c r="H925" s="6"/>
      <c r="I925" s="6"/>
      <c r="J925" s="6"/>
      <c r="K925" s="6"/>
      <c r="L925" s="6"/>
      <c r="M925" s="6"/>
      <c r="N925" s="6"/>
      <c r="O925" s="6"/>
      <c r="P925" s="35"/>
      <c r="Q925" s="35"/>
      <c r="R925" s="6"/>
      <c r="S925" s="6"/>
      <c r="T925" s="6"/>
      <c r="U925" s="6"/>
      <c r="V925" s="6"/>
      <c r="W925" s="6"/>
      <c r="X925" s="6"/>
      <c r="Y925" s="6"/>
      <c r="Z925" s="6"/>
      <c r="AA925" s="6"/>
      <c r="AB925" s="6"/>
      <c r="AC925" s="6"/>
      <c r="AD925" s="6"/>
      <c r="AE925" s="6"/>
    </row>
    <row r="926">
      <c r="A926" s="7" t="str">
        <f t="shared" si="2"/>
        <v/>
      </c>
      <c r="B926" s="6"/>
      <c r="C926" s="6"/>
      <c r="D926" s="113"/>
      <c r="E926" s="6"/>
      <c r="F926" s="6"/>
      <c r="G926" s="6"/>
      <c r="H926" s="6"/>
      <c r="I926" s="6"/>
      <c r="J926" s="6"/>
      <c r="K926" s="6"/>
      <c r="L926" s="6"/>
      <c r="M926" s="6"/>
      <c r="N926" s="6"/>
      <c r="O926" s="6"/>
      <c r="P926" s="35"/>
      <c r="Q926" s="35"/>
      <c r="R926" s="6"/>
      <c r="S926" s="6"/>
      <c r="T926" s="6"/>
      <c r="U926" s="6"/>
      <c r="V926" s="6"/>
      <c r="W926" s="6"/>
      <c r="X926" s="6"/>
      <c r="Y926" s="6"/>
      <c r="Z926" s="6"/>
      <c r="AA926" s="6"/>
      <c r="AB926" s="6"/>
      <c r="AC926" s="6"/>
      <c r="AD926" s="6"/>
      <c r="AE926" s="6"/>
    </row>
    <row r="927">
      <c r="A927" s="7" t="str">
        <f t="shared" si="2"/>
        <v/>
      </c>
      <c r="B927" s="6"/>
      <c r="C927" s="6"/>
      <c r="D927" s="113"/>
      <c r="E927" s="6"/>
      <c r="F927" s="6"/>
      <c r="G927" s="6"/>
      <c r="H927" s="6"/>
      <c r="I927" s="6"/>
      <c r="J927" s="6"/>
      <c r="K927" s="6"/>
      <c r="L927" s="6"/>
      <c r="M927" s="6"/>
      <c r="N927" s="6"/>
      <c r="O927" s="6"/>
      <c r="P927" s="35"/>
      <c r="Q927" s="35"/>
      <c r="R927" s="6"/>
      <c r="S927" s="6"/>
      <c r="T927" s="6"/>
      <c r="U927" s="6"/>
      <c r="V927" s="6"/>
      <c r="W927" s="6"/>
      <c r="X927" s="6"/>
      <c r="Y927" s="6"/>
      <c r="Z927" s="6"/>
      <c r="AA927" s="6"/>
      <c r="AB927" s="6"/>
      <c r="AC927" s="6"/>
      <c r="AD927" s="6"/>
      <c r="AE927" s="6"/>
    </row>
    <row r="928">
      <c r="A928" s="7" t="str">
        <f t="shared" si="2"/>
        <v/>
      </c>
      <c r="B928" s="6"/>
      <c r="C928" s="6"/>
      <c r="D928" s="113"/>
      <c r="E928" s="6"/>
      <c r="F928" s="6"/>
      <c r="G928" s="6"/>
      <c r="H928" s="6"/>
      <c r="I928" s="6"/>
      <c r="J928" s="6"/>
      <c r="K928" s="6"/>
      <c r="L928" s="6"/>
      <c r="M928" s="6"/>
      <c r="N928" s="6"/>
      <c r="O928" s="6"/>
      <c r="P928" s="35"/>
      <c r="Q928" s="35"/>
      <c r="R928" s="6"/>
      <c r="S928" s="6"/>
      <c r="T928" s="6"/>
      <c r="U928" s="6"/>
      <c r="V928" s="6"/>
      <c r="W928" s="6"/>
      <c r="X928" s="6"/>
      <c r="Y928" s="6"/>
      <c r="Z928" s="6"/>
      <c r="AA928" s="6"/>
      <c r="AB928" s="6"/>
      <c r="AC928" s="6"/>
      <c r="AD928" s="6"/>
      <c r="AE928" s="6"/>
    </row>
    <row r="929">
      <c r="A929" s="7" t="str">
        <f t="shared" si="2"/>
        <v/>
      </c>
      <c r="B929" s="6"/>
      <c r="C929" s="6"/>
      <c r="D929" s="113"/>
      <c r="E929" s="6"/>
      <c r="F929" s="6"/>
      <c r="G929" s="6"/>
      <c r="H929" s="6"/>
      <c r="I929" s="6"/>
      <c r="J929" s="6"/>
      <c r="K929" s="6"/>
      <c r="L929" s="6"/>
      <c r="M929" s="6"/>
      <c r="N929" s="6"/>
      <c r="O929" s="6"/>
      <c r="P929" s="35"/>
      <c r="Q929" s="35"/>
      <c r="R929" s="6"/>
      <c r="S929" s="6"/>
      <c r="T929" s="6"/>
      <c r="U929" s="6"/>
      <c r="V929" s="6"/>
      <c r="W929" s="6"/>
      <c r="X929" s="6"/>
      <c r="Y929" s="6"/>
      <c r="Z929" s="6"/>
      <c r="AA929" s="6"/>
      <c r="AB929" s="6"/>
      <c r="AC929" s="6"/>
      <c r="AD929" s="6"/>
      <c r="AE929" s="6"/>
    </row>
    <row r="930">
      <c r="A930" s="7" t="str">
        <f t="shared" si="2"/>
        <v/>
      </c>
      <c r="B930" s="6"/>
      <c r="C930" s="6"/>
      <c r="D930" s="113"/>
      <c r="E930" s="6"/>
      <c r="F930" s="6"/>
      <c r="G930" s="6"/>
      <c r="H930" s="6"/>
      <c r="I930" s="6"/>
      <c r="J930" s="6"/>
      <c r="K930" s="6"/>
      <c r="L930" s="6"/>
      <c r="M930" s="6"/>
      <c r="N930" s="6"/>
      <c r="O930" s="6"/>
      <c r="P930" s="35"/>
      <c r="Q930" s="35"/>
      <c r="R930" s="6"/>
      <c r="S930" s="6"/>
      <c r="T930" s="6"/>
      <c r="U930" s="6"/>
      <c r="V930" s="6"/>
      <c r="W930" s="6"/>
      <c r="X930" s="6"/>
      <c r="Y930" s="6"/>
      <c r="Z930" s="6"/>
      <c r="AA930" s="6"/>
      <c r="AB930" s="6"/>
      <c r="AC930" s="6"/>
      <c r="AD930" s="6"/>
      <c r="AE930" s="6"/>
    </row>
    <row r="931">
      <c r="A931" s="7" t="str">
        <f t="shared" si="2"/>
        <v/>
      </c>
      <c r="B931" s="6"/>
      <c r="C931" s="6"/>
      <c r="D931" s="113"/>
      <c r="E931" s="6"/>
      <c r="F931" s="6"/>
      <c r="G931" s="6"/>
      <c r="H931" s="6"/>
      <c r="I931" s="6"/>
      <c r="J931" s="6"/>
      <c r="K931" s="6"/>
      <c r="L931" s="6"/>
      <c r="M931" s="6"/>
      <c r="N931" s="6"/>
      <c r="O931" s="6"/>
      <c r="P931" s="35"/>
      <c r="Q931" s="35"/>
      <c r="R931" s="6"/>
      <c r="S931" s="6"/>
      <c r="T931" s="6"/>
      <c r="U931" s="6"/>
      <c r="V931" s="6"/>
      <c r="W931" s="6"/>
      <c r="X931" s="6"/>
      <c r="Y931" s="6"/>
      <c r="Z931" s="6"/>
      <c r="AA931" s="6"/>
      <c r="AB931" s="6"/>
      <c r="AC931" s="6"/>
      <c r="AD931" s="6"/>
      <c r="AE931" s="6"/>
    </row>
    <row r="932">
      <c r="A932" s="7" t="str">
        <f t="shared" si="2"/>
        <v/>
      </c>
      <c r="B932" s="6"/>
      <c r="C932" s="6"/>
      <c r="D932" s="113"/>
      <c r="E932" s="6"/>
      <c r="F932" s="6"/>
      <c r="G932" s="6"/>
      <c r="H932" s="6"/>
      <c r="I932" s="6"/>
      <c r="J932" s="6"/>
      <c r="K932" s="6"/>
      <c r="L932" s="6"/>
      <c r="M932" s="6"/>
      <c r="N932" s="6"/>
      <c r="O932" s="6"/>
      <c r="P932" s="35"/>
      <c r="Q932" s="35"/>
      <c r="R932" s="6"/>
      <c r="S932" s="6"/>
      <c r="T932" s="6"/>
      <c r="U932" s="6"/>
      <c r="V932" s="6"/>
      <c r="W932" s="6"/>
      <c r="X932" s="6"/>
      <c r="Y932" s="6"/>
      <c r="Z932" s="6"/>
      <c r="AA932" s="6"/>
      <c r="AB932" s="6"/>
      <c r="AC932" s="6"/>
      <c r="AD932" s="6"/>
      <c r="AE932" s="6"/>
    </row>
    <row r="933">
      <c r="A933" s="7" t="str">
        <f t="shared" si="2"/>
        <v/>
      </c>
      <c r="B933" s="6"/>
      <c r="C933" s="6"/>
      <c r="D933" s="113"/>
      <c r="E933" s="6"/>
      <c r="F933" s="6"/>
      <c r="G933" s="6"/>
      <c r="H933" s="6"/>
      <c r="I933" s="6"/>
      <c r="J933" s="6"/>
      <c r="K933" s="6"/>
      <c r="L933" s="6"/>
      <c r="M933" s="6"/>
      <c r="N933" s="6"/>
      <c r="O933" s="6"/>
      <c r="P933" s="35"/>
      <c r="Q933" s="35"/>
      <c r="R933" s="6"/>
      <c r="S933" s="6"/>
      <c r="T933" s="6"/>
      <c r="U933" s="6"/>
      <c r="V933" s="6"/>
      <c r="W933" s="6"/>
      <c r="X933" s="6"/>
      <c r="Y933" s="6"/>
      <c r="Z933" s="6"/>
      <c r="AA933" s="6"/>
      <c r="AB933" s="6"/>
      <c r="AC933" s="6"/>
      <c r="AD933" s="6"/>
      <c r="AE933" s="6"/>
    </row>
    <row r="934">
      <c r="A934" s="7" t="str">
        <f t="shared" si="2"/>
        <v/>
      </c>
      <c r="B934" s="6"/>
      <c r="C934" s="6"/>
      <c r="D934" s="113"/>
      <c r="E934" s="6"/>
      <c r="F934" s="6"/>
      <c r="G934" s="6"/>
      <c r="H934" s="6"/>
      <c r="I934" s="6"/>
      <c r="J934" s="6"/>
      <c r="K934" s="6"/>
      <c r="L934" s="6"/>
      <c r="M934" s="6"/>
      <c r="N934" s="6"/>
      <c r="O934" s="6"/>
      <c r="P934" s="35"/>
      <c r="Q934" s="35"/>
      <c r="R934" s="6"/>
      <c r="S934" s="6"/>
      <c r="T934" s="6"/>
      <c r="U934" s="6"/>
      <c r="V934" s="6"/>
      <c r="W934" s="6"/>
      <c r="X934" s="6"/>
      <c r="Y934" s="6"/>
      <c r="Z934" s="6"/>
      <c r="AA934" s="6"/>
      <c r="AB934" s="6"/>
      <c r="AC934" s="6"/>
      <c r="AD934" s="6"/>
      <c r="AE934" s="6"/>
    </row>
    <row r="935">
      <c r="A935" s="7" t="str">
        <f t="shared" si="2"/>
        <v/>
      </c>
      <c r="B935" s="6"/>
      <c r="C935" s="6"/>
      <c r="D935" s="113"/>
      <c r="E935" s="6"/>
      <c r="F935" s="6"/>
      <c r="G935" s="6"/>
      <c r="H935" s="6"/>
      <c r="I935" s="6"/>
      <c r="J935" s="6"/>
      <c r="K935" s="6"/>
      <c r="L935" s="6"/>
      <c r="M935" s="6"/>
      <c r="N935" s="6"/>
      <c r="O935" s="6"/>
      <c r="P935" s="35"/>
      <c r="Q935" s="35"/>
      <c r="R935" s="6"/>
      <c r="S935" s="6"/>
      <c r="T935" s="6"/>
      <c r="U935" s="6"/>
      <c r="V935" s="6"/>
      <c r="W935" s="6"/>
      <c r="X935" s="6"/>
      <c r="Y935" s="6"/>
      <c r="Z935" s="6"/>
      <c r="AA935" s="6"/>
      <c r="AB935" s="6"/>
      <c r="AC935" s="6"/>
      <c r="AD935" s="6"/>
      <c r="AE935" s="6"/>
    </row>
    <row r="936">
      <c r="A936" s="7" t="str">
        <f t="shared" si="2"/>
        <v/>
      </c>
      <c r="B936" s="6"/>
      <c r="C936" s="6"/>
      <c r="D936" s="113"/>
      <c r="E936" s="6"/>
      <c r="F936" s="6"/>
      <c r="G936" s="6"/>
      <c r="H936" s="6"/>
      <c r="I936" s="6"/>
      <c r="J936" s="6"/>
      <c r="K936" s="6"/>
      <c r="L936" s="6"/>
      <c r="M936" s="6"/>
      <c r="N936" s="6"/>
      <c r="O936" s="6"/>
      <c r="P936" s="35"/>
      <c r="Q936" s="35"/>
      <c r="R936" s="6"/>
      <c r="S936" s="6"/>
      <c r="T936" s="6"/>
      <c r="U936" s="6"/>
      <c r="V936" s="6"/>
      <c r="W936" s="6"/>
      <c r="X936" s="6"/>
      <c r="Y936" s="6"/>
      <c r="Z936" s="6"/>
      <c r="AA936" s="6"/>
      <c r="AB936" s="6"/>
      <c r="AC936" s="6"/>
      <c r="AD936" s="6"/>
      <c r="AE936" s="6"/>
    </row>
    <row r="937">
      <c r="A937" s="7" t="str">
        <f t="shared" si="2"/>
        <v/>
      </c>
      <c r="B937" s="6"/>
      <c r="C937" s="6"/>
      <c r="D937" s="113"/>
      <c r="E937" s="6"/>
      <c r="F937" s="6"/>
      <c r="G937" s="6"/>
      <c r="H937" s="6"/>
      <c r="I937" s="6"/>
      <c r="J937" s="6"/>
      <c r="K937" s="6"/>
      <c r="L937" s="6"/>
      <c r="M937" s="6"/>
      <c r="N937" s="6"/>
      <c r="O937" s="6"/>
      <c r="P937" s="35"/>
      <c r="Q937" s="35"/>
      <c r="R937" s="6"/>
      <c r="S937" s="6"/>
      <c r="T937" s="6"/>
      <c r="U937" s="6"/>
      <c r="V937" s="6"/>
      <c r="W937" s="6"/>
      <c r="X937" s="6"/>
      <c r="Y937" s="6"/>
      <c r="Z937" s="6"/>
      <c r="AA937" s="6"/>
      <c r="AB937" s="6"/>
      <c r="AC937" s="6"/>
      <c r="AD937" s="6"/>
      <c r="AE937" s="6"/>
    </row>
    <row r="938">
      <c r="A938" s="7" t="str">
        <f t="shared" si="2"/>
        <v/>
      </c>
      <c r="B938" s="6"/>
      <c r="C938" s="6"/>
      <c r="D938" s="113"/>
      <c r="E938" s="6"/>
      <c r="F938" s="6"/>
      <c r="G938" s="6"/>
      <c r="H938" s="6"/>
      <c r="I938" s="6"/>
      <c r="J938" s="6"/>
      <c r="K938" s="6"/>
      <c r="L938" s="6"/>
      <c r="M938" s="6"/>
      <c r="N938" s="6"/>
      <c r="O938" s="6"/>
      <c r="P938" s="35"/>
      <c r="Q938" s="35"/>
      <c r="R938" s="6"/>
      <c r="S938" s="6"/>
      <c r="T938" s="6"/>
      <c r="U938" s="6"/>
      <c r="V938" s="6"/>
      <c r="W938" s="6"/>
      <c r="X938" s="6"/>
      <c r="Y938" s="6"/>
      <c r="Z938" s="6"/>
      <c r="AA938" s="6"/>
      <c r="AB938" s="6"/>
      <c r="AC938" s="6"/>
      <c r="AD938" s="6"/>
      <c r="AE938" s="6"/>
    </row>
    <row r="939">
      <c r="A939" s="7" t="str">
        <f t="shared" si="2"/>
        <v/>
      </c>
      <c r="B939" s="6"/>
      <c r="C939" s="6"/>
      <c r="D939" s="113"/>
      <c r="E939" s="6"/>
      <c r="F939" s="6"/>
      <c r="G939" s="6"/>
      <c r="H939" s="6"/>
      <c r="I939" s="6"/>
      <c r="J939" s="6"/>
      <c r="K939" s="6"/>
      <c r="L939" s="6"/>
      <c r="M939" s="6"/>
      <c r="N939" s="6"/>
      <c r="O939" s="6"/>
      <c r="P939" s="35"/>
      <c r="Q939" s="35"/>
      <c r="R939" s="6"/>
      <c r="S939" s="6"/>
      <c r="T939" s="6"/>
      <c r="U939" s="6"/>
      <c r="V939" s="6"/>
      <c r="W939" s="6"/>
      <c r="X939" s="6"/>
      <c r="Y939" s="6"/>
      <c r="Z939" s="6"/>
      <c r="AA939" s="6"/>
      <c r="AB939" s="6"/>
      <c r="AC939" s="6"/>
      <c r="AD939" s="6"/>
      <c r="AE939" s="6"/>
    </row>
    <row r="940">
      <c r="A940" s="7" t="str">
        <f t="shared" si="2"/>
        <v/>
      </c>
      <c r="B940" s="6"/>
      <c r="C940" s="6"/>
      <c r="D940" s="113"/>
      <c r="E940" s="6"/>
      <c r="F940" s="6"/>
      <c r="G940" s="6"/>
      <c r="H940" s="6"/>
      <c r="I940" s="6"/>
      <c r="J940" s="6"/>
      <c r="K940" s="6"/>
      <c r="L940" s="6"/>
      <c r="M940" s="6"/>
      <c r="N940" s="6"/>
      <c r="O940" s="6"/>
      <c r="P940" s="35"/>
      <c r="Q940" s="35"/>
      <c r="R940" s="6"/>
      <c r="S940" s="6"/>
      <c r="T940" s="6"/>
      <c r="U940" s="6"/>
      <c r="V940" s="6"/>
      <c r="W940" s="6"/>
      <c r="X940" s="6"/>
      <c r="Y940" s="6"/>
      <c r="Z940" s="6"/>
      <c r="AA940" s="6"/>
      <c r="AB940" s="6"/>
      <c r="AC940" s="6"/>
      <c r="AD940" s="6"/>
      <c r="AE940" s="6"/>
    </row>
    <row r="941">
      <c r="A941" s="7" t="str">
        <f t="shared" si="2"/>
        <v/>
      </c>
      <c r="B941" s="6"/>
      <c r="C941" s="6"/>
      <c r="D941" s="113"/>
      <c r="E941" s="6"/>
      <c r="F941" s="6"/>
      <c r="G941" s="6"/>
      <c r="H941" s="6"/>
      <c r="I941" s="6"/>
      <c r="J941" s="6"/>
      <c r="K941" s="6"/>
      <c r="L941" s="6"/>
      <c r="M941" s="6"/>
      <c r="N941" s="6"/>
      <c r="O941" s="6"/>
      <c r="P941" s="35"/>
      <c r="Q941" s="35"/>
      <c r="R941" s="6"/>
      <c r="S941" s="6"/>
      <c r="T941" s="6"/>
      <c r="U941" s="6"/>
      <c r="V941" s="6"/>
      <c r="W941" s="6"/>
      <c r="X941" s="6"/>
      <c r="Y941" s="6"/>
      <c r="Z941" s="6"/>
      <c r="AA941" s="6"/>
      <c r="AB941" s="6"/>
      <c r="AC941" s="6"/>
      <c r="AD941" s="6"/>
      <c r="AE941" s="6"/>
    </row>
    <row r="942">
      <c r="A942" s="7" t="str">
        <f t="shared" si="2"/>
        <v/>
      </c>
      <c r="B942" s="6"/>
      <c r="C942" s="6"/>
      <c r="D942" s="113"/>
      <c r="E942" s="6"/>
      <c r="F942" s="6"/>
      <c r="G942" s="6"/>
      <c r="H942" s="6"/>
      <c r="I942" s="6"/>
      <c r="J942" s="6"/>
      <c r="K942" s="6"/>
      <c r="L942" s="6"/>
      <c r="M942" s="6"/>
      <c r="N942" s="6"/>
      <c r="O942" s="6"/>
      <c r="P942" s="35"/>
      <c r="Q942" s="35"/>
      <c r="R942" s="6"/>
      <c r="S942" s="6"/>
      <c r="T942" s="6"/>
      <c r="U942" s="6"/>
      <c r="V942" s="6"/>
      <c r="W942" s="6"/>
      <c r="X942" s="6"/>
      <c r="Y942" s="6"/>
      <c r="Z942" s="6"/>
      <c r="AA942" s="6"/>
      <c r="AB942" s="6"/>
      <c r="AC942" s="6"/>
      <c r="AD942" s="6"/>
      <c r="AE942" s="6"/>
    </row>
    <row r="943">
      <c r="A943" s="7" t="str">
        <f t="shared" si="2"/>
        <v/>
      </c>
      <c r="B943" s="6"/>
      <c r="C943" s="6"/>
      <c r="D943" s="113"/>
      <c r="E943" s="6"/>
      <c r="F943" s="6"/>
      <c r="G943" s="6"/>
      <c r="H943" s="6"/>
      <c r="I943" s="6"/>
      <c r="J943" s="6"/>
      <c r="K943" s="6"/>
      <c r="L943" s="6"/>
      <c r="M943" s="6"/>
      <c r="N943" s="6"/>
      <c r="O943" s="6"/>
      <c r="P943" s="35"/>
      <c r="Q943" s="35"/>
      <c r="R943" s="6"/>
      <c r="S943" s="6"/>
      <c r="T943" s="6"/>
      <c r="U943" s="6"/>
      <c r="V943" s="6"/>
      <c r="W943" s="6"/>
      <c r="X943" s="6"/>
      <c r="Y943" s="6"/>
      <c r="Z943" s="6"/>
      <c r="AA943" s="6"/>
      <c r="AB943" s="6"/>
      <c r="AC943" s="6"/>
      <c r="AD943" s="6"/>
      <c r="AE943" s="6"/>
    </row>
    <row r="944">
      <c r="A944" s="7" t="str">
        <f t="shared" si="2"/>
        <v/>
      </c>
      <c r="B944" s="6"/>
      <c r="C944" s="6"/>
      <c r="D944" s="113"/>
      <c r="E944" s="6"/>
      <c r="F944" s="6"/>
      <c r="G944" s="6"/>
      <c r="H944" s="6"/>
      <c r="I944" s="6"/>
      <c r="J944" s="6"/>
      <c r="K944" s="6"/>
      <c r="L944" s="6"/>
      <c r="M944" s="6"/>
      <c r="N944" s="6"/>
      <c r="O944" s="6"/>
      <c r="P944" s="35"/>
      <c r="Q944" s="35"/>
      <c r="R944" s="6"/>
      <c r="S944" s="6"/>
      <c r="T944" s="6"/>
      <c r="U944" s="6"/>
      <c r="V944" s="6"/>
      <c r="W944" s="6"/>
      <c r="X944" s="6"/>
      <c r="Y944" s="6"/>
      <c r="Z944" s="6"/>
      <c r="AA944" s="6"/>
      <c r="AB944" s="6"/>
      <c r="AC944" s="6"/>
      <c r="AD944" s="6"/>
      <c r="AE944" s="6"/>
    </row>
    <row r="945">
      <c r="A945" s="7" t="str">
        <f t="shared" si="2"/>
        <v/>
      </c>
      <c r="B945" s="6"/>
      <c r="C945" s="6"/>
      <c r="D945" s="113"/>
      <c r="E945" s="6"/>
      <c r="F945" s="6"/>
      <c r="G945" s="6"/>
      <c r="H945" s="6"/>
      <c r="I945" s="6"/>
      <c r="J945" s="6"/>
      <c r="K945" s="6"/>
      <c r="L945" s="6"/>
      <c r="M945" s="6"/>
      <c r="N945" s="6"/>
      <c r="O945" s="6"/>
      <c r="P945" s="35"/>
      <c r="Q945" s="35"/>
      <c r="R945" s="6"/>
      <c r="S945" s="6"/>
      <c r="T945" s="6"/>
      <c r="U945" s="6"/>
      <c r="V945" s="6"/>
      <c r="W945" s="6"/>
      <c r="X945" s="6"/>
      <c r="Y945" s="6"/>
      <c r="Z945" s="6"/>
      <c r="AA945" s="6"/>
      <c r="AB945" s="6"/>
      <c r="AC945" s="6"/>
      <c r="AD945" s="6"/>
      <c r="AE945" s="6"/>
    </row>
    <row r="946">
      <c r="A946" s="7" t="str">
        <f t="shared" si="2"/>
        <v/>
      </c>
      <c r="B946" s="6"/>
      <c r="C946" s="6"/>
      <c r="D946" s="113"/>
      <c r="E946" s="6"/>
      <c r="F946" s="6"/>
      <c r="G946" s="6"/>
      <c r="H946" s="6"/>
      <c r="I946" s="6"/>
      <c r="J946" s="6"/>
      <c r="K946" s="6"/>
      <c r="L946" s="6"/>
      <c r="M946" s="6"/>
      <c r="N946" s="6"/>
      <c r="O946" s="6"/>
      <c r="P946" s="35"/>
      <c r="Q946" s="35"/>
      <c r="R946" s="6"/>
      <c r="S946" s="6"/>
      <c r="T946" s="6"/>
      <c r="U946" s="6"/>
      <c r="V946" s="6"/>
      <c r="W946" s="6"/>
      <c r="X946" s="6"/>
      <c r="Y946" s="6"/>
      <c r="Z946" s="6"/>
      <c r="AA946" s="6"/>
      <c r="AB946" s="6"/>
      <c r="AC946" s="6"/>
      <c r="AD946" s="6"/>
      <c r="AE946" s="6"/>
    </row>
    <row r="947">
      <c r="A947" s="7" t="str">
        <f t="shared" si="2"/>
        <v/>
      </c>
      <c r="B947" s="6"/>
      <c r="C947" s="6"/>
      <c r="D947" s="113"/>
      <c r="E947" s="6"/>
      <c r="F947" s="6"/>
      <c r="G947" s="6"/>
      <c r="H947" s="6"/>
      <c r="I947" s="6"/>
      <c r="J947" s="6"/>
      <c r="K947" s="6"/>
      <c r="L947" s="6"/>
      <c r="M947" s="6"/>
      <c r="N947" s="6"/>
      <c r="O947" s="6"/>
      <c r="P947" s="35"/>
      <c r="Q947" s="35"/>
      <c r="R947" s="6"/>
      <c r="S947" s="6"/>
      <c r="T947" s="6"/>
      <c r="U947" s="6"/>
      <c r="V947" s="6"/>
      <c r="W947" s="6"/>
      <c r="X947" s="6"/>
      <c r="Y947" s="6"/>
      <c r="Z947" s="6"/>
      <c r="AA947" s="6"/>
      <c r="AB947" s="6"/>
      <c r="AC947" s="6"/>
      <c r="AD947" s="6"/>
      <c r="AE947" s="6"/>
    </row>
    <row r="948">
      <c r="A948" s="7" t="str">
        <f t="shared" si="2"/>
        <v/>
      </c>
      <c r="B948" s="6"/>
      <c r="C948" s="6"/>
      <c r="D948" s="113"/>
      <c r="E948" s="6"/>
      <c r="F948" s="6"/>
      <c r="G948" s="6"/>
      <c r="H948" s="6"/>
      <c r="I948" s="6"/>
      <c r="J948" s="6"/>
      <c r="K948" s="6"/>
      <c r="L948" s="6"/>
      <c r="M948" s="6"/>
      <c r="N948" s="6"/>
      <c r="O948" s="6"/>
      <c r="P948" s="35"/>
      <c r="Q948" s="35"/>
      <c r="R948" s="6"/>
      <c r="S948" s="6"/>
      <c r="T948" s="6"/>
      <c r="U948" s="6"/>
      <c r="V948" s="6"/>
      <c r="W948" s="6"/>
      <c r="X948" s="6"/>
      <c r="Y948" s="6"/>
      <c r="Z948" s="6"/>
      <c r="AA948" s="6"/>
      <c r="AB948" s="6"/>
      <c r="AC948" s="6"/>
      <c r="AD948" s="6"/>
      <c r="AE948" s="6"/>
    </row>
    <row r="949">
      <c r="A949" s="7" t="str">
        <f t="shared" si="2"/>
        <v/>
      </c>
      <c r="B949" s="6"/>
      <c r="C949" s="6"/>
      <c r="D949" s="113"/>
      <c r="E949" s="6"/>
      <c r="F949" s="6"/>
      <c r="G949" s="6"/>
      <c r="H949" s="6"/>
      <c r="I949" s="6"/>
      <c r="J949" s="6"/>
      <c r="K949" s="6"/>
      <c r="L949" s="6"/>
      <c r="M949" s="6"/>
      <c r="N949" s="6"/>
      <c r="O949" s="6"/>
      <c r="P949" s="35"/>
      <c r="Q949" s="35"/>
      <c r="R949" s="6"/>
      <c r="S949" s="6"/>
      <c r="T949" s="6"/>
      <c r="U949" s="6"/>
      <c r="V949" s="6"/>
      <c r="W949" s="6"/>
      <c r="X949" s="6"/>
      <c r="Y949" s="6"/>
      <c r="Z949" s="6"/>
      <c r="AA949" s="6"/>
      <c r="AB949" s="6"/>
      <c r="AC949" s="6"/>
      <c r="AD949" s="6"/>
      <c r="AE949" s="6"/>
    </row>
    <row r="950">
      <c r="A950" s="7" t="str">
        <f t="shared" si="2"/>
        <v/>
      </c>
      <c r="B950" s="6"/>
      <c r="C950" s="6"/>
      <c r="D950" s="113"/>
      <c r="E950" s="6"/>
      <c r="F950" s="6"/>
      <c r="G950" s="6"/>
      <c r="H950" s="6"/>
      <c r="I950" s="6"/>
      <c r="J950" s="6"/>
      <c r="K950" s="6"/>
      <c r="L950" s="6"/>
      <c r="M950" s="6"/>
      <c r="N950" s="6"/>
      <c r="O950" s="6"/>
      <c r="P950" s="35"/>
      <c r="Q950" s="35"/>
      <c r="R950" s="6"/>
      <c r="S950" s="6"/>
      <c r="T950" s="6"/>
      <c r="U950" s="6"/>
      <c r="V950" s="6"/>
      <c r="W950" s="6"/>
      <c r="X950" s="6"/>
      <c r="Y950" s="6"/>
      <c r="Z950" s="6"/>
      <c r="AA950" s="6"/>
      <c r="AB950" s="6"/>
      <c r="AC950" s="6"/>
      <c r="AD950" s="6"/>
      <c r="AE950" s="6"/>
    </row>
    <row r="951">
      <c r="A951" s="7" t="str">
        <f t="shared" si="2"/>
        <v/>
      </c>
      <c r="B951" s="6"/>
      <c r="C951" s="6"/>
      <c r="D951" s="113"/>
      <c r="E951" s="6"/>
      <c r="F951" s="6"/>
      <c r="G951" s="6"/>
      <c r="H951" s="6"/>
      <c r="I951" s="6"/>
      <c r="J951" s="6"/>
      <c r="K951" s="6"/>
      <c r="L951" s="6"/>
      <c r="M951" s="6"/>
      <c r="N951" s="6"/>
      <c r="O951" s="6"/>
      <c r="P951" s="35"/>
      <c r="Q951" s="35"/>
      <c r="R951" s="6"/>
      <c r="S951" s="6"/>
      <c r="T951" s="6"/>
      <c r="U951" s="6"/>
      <c r="V951" s="6"/>
      <c r="W951" s="6"/>
      <c r="X951" s="6"/>
      <c r="Y951" s="6"/>
      <c r="Z951" s="6"/>
      <c r="AA951" s="6"/>
      <c r="AB951" s="6"/>
      <c r="AC951" s="6"/>
      <c r="AD951" s="6"/>
      <c r="AE951" s="6"/>
    </row>
    <row r="952">
      <c r="A952" s="7" t="str">
        <f t="shared" si="2"/>
        <v/>
      </c>
      <c r="B952" s="6"/>
      <c r="C952" s="6"/>
      <c r="D952" s="113"/>
      <c r="E952" s="6"/>
      <c r="F952" s="6"/>
      <c r="G952" s="6"/>
      <c r="H952" s="6"/>
      <c r="I952" s="6"/>
      <c r="J952" s="6"/>
      <c r="K952" s="6"/>
      <c r="L952" s="6"/>
      <c r="M952" s="6"/>
      <c r="N952" s="6"/>
      <c r="O952" s="6"/>
      <c r="P952" s="35"/>
      <c r="Q952" s="35"/>
      <c r="R952" s="6"/>
      <c r="S952" s="6"/>
      <c r="T952" s="6"/>
      <c r="U952" s="6"/>
      <c r="V952" s="6"/>
      <c r="W952" s="6"/>
      <c r="X952" s="6"/>
      <c r="Y952" s="6"/>
      <c r="Z952" s="6"/>
      <c r="AA952" s="6"/>
      <c r="AB952" s="6"/>
      <c r="AC952" s="6"/>
      <c r="AD952" s="6"/>
      <c r="AE952" s="6"/>
    </row>
    <row r="953">
      <c r="A953" s="7" t="str">
        <f t="shared" si="2"/>
        <v/>
      </c>
      <c r="B953" s="6"/>
      <c r="C953" s="6"/>
      <c r="D953" s="113"/>
      <c r="E953" s="6"/>
      <c r="F953" s="6"/>
      <c r="G953" s="6"/>
      <c r="H953" s="6"/>
      <c r="I953" s="6"/>
      <c r="J953" s="6"/>
      <c r="K953" s="6"/>
      <c r="L953" s="6"/>
      <c r="M953" s="6"/>
      <c r="N953" s="6"/>
      <c r="O953" s="6"/>
      <c r="P953" s="35"/>
      <c r="Q953" s="35"/>
      <c r="R953" s="6"/>
      <c r="S953" s="6"/>
      <c r="T953" s="6"/>
      <c r="U953" s="6"/>
      <c r="V953" s="6"/>
      <c r="W953" s="6"/>
      <c r="X953" s="6"/>
      <c r="Y953" s="6"/>
      <c r="Z953" s="6"/>
      <c r="AA953" s="6"/>
      <c r="AB953" s="6"/>
      <c r="AC953" s="6"/>
      <c r="AD953" s="6"/>
      <c r="AE953" s="6"/>
    </row>
    <row r="954">
      <c r="A954" s="7" t="str">
        <f t="shared" si="2"/>
        <v/>
      </c>
      <c r="B954" s="6"/>
      <c r="C954" s="6"/>
      <c r="D954" s="113"/>
      <c r="E954" s="6"/>
      <c r="F954" s="6"/>
      <c r="G954" s="6"/>
      <c r="H954" s="6"/>
      <c r="I954" s="6"/>
      <c r="J954" s="6"/>
      <c r="K954" s="6"/>
      <c r="L954" s="6"/>
      <c r="M954" s="6"/>
      <c r="N954" s="6"/>
      <c r="O954" s="6"/>
      <c r="P954" s="35"/>
      <c r="Q954" s="35"/>
      <c r="R954" s="6"/>
      <c r="S954" s="6"/>
      <c r="T954" s="6"/>
      <c r="U954" s="6"/>
      <c r="V954" s="6"/>
      <c r="W954" s="6"/>
      <c r="X954" s="6"/>
      <c r="Y954" s="6"/>
      <c r="Z954" s="6"/>
      <c r="AA954" s="6"/>
      <c r="AB954" s="6"/>
      <c r="AC954" s="6"/>
      <c r="AD954" s="6"/>
      <c r="AE954" s="6"/>
    </row>
    <row r="955">
      <c r="A955" s="7" t="str">
        <f t="shared" si="2"/>
        <v/>
      </c>
      <c r="B955" s="6"/>
      <c r="C955" s="6"/>
      <c r="D955" s="113"/>
      <c r="E955" s="6"/>
      <c r="F955" s="6"/>
      <c r="G955" s="6"/>
      <c r="H955" s="6"/>
      <c r="I955" s="6"/>
      <c r="J955" s="6"/>
      <c r="K955" s="6"/>
      <c r="L955" s="6"/>
      <c r="M955" s="6"/>
      <c r="N955" s="6"/>
      <c r="O955" s="6"/>
      <c r="P955" s="35"/>
      <c r="Q955" s="35"/>
      <c r="R955" s="6"/>
      <c r="S955" s="6"/>
      <c r="T955" s="6"/>
      <c r="U955" s="6"/>
      <c r="V955" s="6"/>
      <c r="W955" s="6"/>
      <c r="X955" s="6"/>
      <c r="Y955" s="6"/>
      <c r="Z955" s="6"/>
      <c r="AA955" s="6"/>
      <c r="AB955" s="6"/>
      <c r="AC955" s="6"/>
      <c r="AD955" s="6"/>
      <c r="AE955" s="6"/>
    </row>
    <row r="956">
      <c r="A956" s="7" t="str">
        <f t="shared" si="2"/>
        <v/>
      </c>
      <c r="B956" s="6"/>
      <c r="C956" s="6"/>
      <c r="D956" s="113"/>
      <c r="E956" s="6"/>
      <c r="F956" s="6"/>
      <c r="G956" s="6"/>
      <c r="H956" s="6"/>
      <c r="I956" s="6"/>
      <c r="J956" s="6"/>
      <c r="K956" s="6"/>
      <c r="L956" s="6"/>
      <c r="M956" s="6"/>
      <c r="N956" s="6"/>
      <c r="O956" s="6"/>
      <c r="P956" s="35"/>
      <c r="Q956" s="35"/>
      <c r="R956" s="6"/>
      <c r="S956" s="6"/>
      <c r="T956" s="6"/>
      <c r="U956" s="6"/>
      <c r="V956" s="6"/>
      <c r="W956" s="6"/>
      <c r="X956" s="6"/>
      <c r="Y956" s="6"/>
      <c r="Z956" s="6"/>
      <c r="AA956" s="6"/>
      <c r="AB956" s="6"/>
      <c r="AC956" s="6"/>
      <c r="AD956" s="6"/>
      <c r="AE956" s="6"/>
    </row>
    <row r="957">
      <c r="A957" s="7" t="str">
        <f t="shared" si="2"/>
        <v/>
      </c>
      <c r="B957" s="6"/>
      <c r="C957" s="6"/>
      <c r="D957" s="113"/>
      <c r="E957" s="6"/>
      <c r="F957" s="6"/>
      <c r="G957" s="6"/>
      <c r="H957" s="6"/>
      <c r="I957" s="6"/>
      <c r="J957" s="6"/>
      <c r="K957" s="6"/>
      <c r="L957" s="6"/>
      <c r="M957" s="6"/>
      <c r="N957" s="6"/>
      <c r="O957" s="6"/>
      <c r="P957" s="35"/>
      <c r="Q957" s="35"/>
      <c r="R957" s="6"/>
      <c r="S957" s="6"/>
      <c r="T957" s="6"/>
      <c r="U957" s="6"/>
      <c r="V957" s="6"/>
      <c r="W957" s="6"/>
      <c r="X957" s="6"/>
      <c r="Y957" s="6"/>
      <c r="Z957" s="6"/>
      <c r="AA957" s="6"/>
      <c r="AB957" s="6"/>
      <c r="AC957" s="6"/>
      <c r="AD957" s="6"/>
      <c r="AE957" s="6"/>
    </row>
    <row r="958">
      <c r="A958" s="7" t="str">
        <f t="shared" si="2"/>
        <v/>
      </c>
      <c r="B958" s="6"/>
      <c r="C958" s="6"/>
      <c r="D958" s="113"/>
      <c r="E958" s="6"/>
      <c r="F958" s="6"/>
      <c r="G958" s="6"/>
      <c r="H958" s="6"/>
      <c r="I958" s="6"/>
      <c r="J958" s="6"/>
      <c r="K958" s="6"/>
      <c r="L958" s="6"/>
      <c r="M958" s="6"/>
      <c r="N958" s="6"/>
      <c r="O958" s="6"/>
      <c r="P958" s="35"/>
      <c r="Q958" s="35"/>
      <c r="R958" s="6"/>
      <c r="S958" s="6"/>
      <c r="T958" s="6"/>
      <c r="U958" s="6"/>
      <c r="V958" s="6"/>
      <c r="W958" s="6"/>
      <c r="X958" s="6"/>
      <c r="Y958" s="6"/>
      <c r="Z958" s="6"/>
      <c r="AA958" s="6"/>
      <c r="AB958" s="6"/>
      <c r="AC958" s="6"/>
      <c r="AD958" s="6"/>
      <c r="AE958" s="6"/>
    </row>
    <row r="959">
      <c r="A959" s="7" t="str">
        <f t="shared" si="2"/>
        <v/>
      </c>
      <c r="B959" s="6"/>
      <c r="C959" s="6"/>
      <c r="D959" s="113"/>
      <c r="E959" s="6"/>
      <c r="F959" s="6"/>
      <c r="G959" s="6"/>
      <c r="H959" s="6"/>
      <c r="I959" s="6"/>
      <c r="J959" s="6"/>
      <c r="K959" s="6"/>
      <c r="L959" s="6"/>
      <c r="M959" s="6"/>
      <c r="N959" s="6"/>
      <c r="O959" s="6"/>
      <c r="P959" s="35"/>
      <c r="Q959" s="35"/>
      <c r="R959" s="6"/>
      <c r="S959" s="6"/>
      <c r="T959" s="6"/>
      <c r="U959" s="6"/>
      <c r="V959" s="6"/>
      <c r="W959" s="6"/>
      <c r="X959" s="6"/>
      <c r="Y959" s="6"/>
      <c r="Z959" s="6"/>
      <c r="AA959" s="6"/>
      <c r="AB959" s="6"/>
      <c r="AC959" s="6"/>
      <c r="AD959" s="6"/>
      <c r="AE959" s="6"/>
    </row>
    <row r="960">
      <c r="A960" s="7" t="str">
        <f t="shared" si="2"/>
        <v/>
      </c>
      <c r="B960" s="6"/>
      <c r="C960" s="6"/>
      <c r="D960" s="113"/>
      <c r="E960" s="6"/>
      <c r="F960" s="6"/>
      <c r="G960" s="6"/>
      <c r="H960" s="6"/>
      <c r="I960" s="6"/>
      <c r="J960" s="6"/>
      <c r="K960" s="6"/>
      <c r="L960" s="6"/>
      <c r="M960" s="6"/>
      <c r="N960" s="6"/>
      <c r="O960" s="6"/>
      <c r="P960" s="35"/>
      <c r="Q960" s="35"/>
      <c r="R960" s="6"/>
      <c r="S960" s="6"/>
      <c r="T960" s="6"/>
      <c r="U960" s="6"/>
      <c r="V960" s="6"/>
      <c r="W960" s="6"/>
      <c r="X960" s="6"/>
      <c r="Y960" s="6"/>
      <c r="Z960" s="6"/>
      <c r="AA960" s="6"/>
      <c r="AB960" s="6"/>
      <c r="AC960" s="6"/>
      <c r="AD960" s="6"/>
      <c r="AE960" s="6"/>
    </row>
    <row r="961">
      <c r="A961" s="7" t="str">
        <f t="shared" si="2"/>
        <v/>
      </c>
      <c r="B961" s="6"/>
      <c r="C961" s="6"/>
      <c r="D961" s="113"/>
      <c r="E961" s="6"/>
      <c r="F961" s="6"/>
      <c r="G961" s="6"/>
      <c r="H961" s="6"/>
      <c r="I961" s="6"/>
      <c r="J961" s="6"/>
      <c r="K961" s="6"/>
      <c r="L961" s="6"/>
      <c r="M961" s="6"/>
      <c r="N961" s="6"/>
      <c r="O961" s="6"/>
      <c r="P961" s="35"/>
      <c r="Q961" s="35"/>
      <c r="R961" s="6"/>
      <c r="S961" s="6"/>
      <c r="T961" s="6"/>
      <c r="U961" s="6"/>
      <c r="V961" s="6"/>
      <c r="W961" s="6"/>
      <c r="X961" s="6"/>
      <c r="Y961" s="6"/>
      <c r="Z961" s="6"/>
      <c r="AA961" s="6"/>
      <c r="AB961" s="6"/>
      <c r="AC961" s="6"/>
      <c r="AD961" s="6"/>
      <c r="AE961" s="6"/>
    </row>
    <row r="962">
      <c r="A962" s="7" t="str">
        <f t="shared" si="2"/>
        <v/>
      </c>
      <c r="B962" s="6"/>
      <c r="C962" s="6"/>
      <c r="D962" s="113"/>
      <c r="E962" s="6"/>
      <c r="F962" s="6"/>
      <c r="G962" s="6"/>
      <c r="H962" s="6"/>
      <c r="I962" s="6"/>
      <c r="J962" s="6"/>
      <c r="K962" s="6"/>
      <c r="L962" s="6"/>
      <c r="M962" s="6"/>
      <c r="N962" s="6"/>
      <c r="O962" s="6"/>
      <c r="P962" s="35"/>
      <c r="Q962" s="35"/>
      <c r="R962" s="6"/>
      <c r="S962" s="6"/>
      <c r="T962" s="6"/>
      <c r="U962" s="6"/>
      <c r="V962" s="6"/>
      <c r="W962" s="6"/>
      <c r="X962" s="6"/>
      <c r="Y962" s="6"/>
      <c r="Z962" s="6"/>
      <c r="AA962" s="6"/>
      <c r="AB962" s="6"/>
      <c r="AC962" s="6"/>
      <c r="AD962" s="6"/>
      <c r="AE962" s="6"/>
    </row>
    <row r="963">
      <c r="A963" s="7" t="str">
        <f t="shared" si="2"/>
        <v/>
      </c>
      <c r="B963" s="6"/>
      <c r="C963" s="6"/>
      <c r="D963" s="113"/>
      <c r="E963" s="6"/>
      <c r="F963" s="6"/>
      <c r="G963" s="6"/>
      <c r="H963" s="6"/>
      <c r="I963" s="6"/>
      <c r="J963" s="6"/>
      <c r="K963" s="6"/>
      <c r="L963" s="6"/>
      <c r="M963" s="6"/>
      <c r="N963" s="6"/>
      <c r="O963" s="6"/>
      <c r="P963" s="35"/>
      <c r="Q963" s="35"/>
      <c r="R963" s="6"/>
      <c r="S963" s="6"/>
      <c r="T963" s="6"/>
      <c r="U963" s="6"/>
      <c r="V963" s="6"/>
      <c r="W963" s="6"/>
      <c r="X963" s="6"/>
      <c r="Y963" s="6"/>
      <c r="Z963" s="6"/>
      <c r="AA963" s="6"/>
      <c r="AB963" s="6"/>
      <c r="AC963" s="6"/>
      <c r="AD963" s="6"/>
      <c r="AE963" s="6"/>
    </row>
    <row r="964">
      <c r="A964" s="7" t="str">
        <f t="shared" si="2"/>
        <v/>
      </c>
      <c r="B964" s="6"/>
      <c r="C964" s="6"/>
      <c r="D964" s="113"/>
      <c r="E964" s="6"/>
      <c r="F964" s="6"/>
      <c r="G964" s="6"/>
      <c r="H964" s="6"/>
      <c r="I964" s="6"/>
      <c r="J964" s="6"/>
      <c r="K964" s="6"/>
      <c r="L964" s="6"/>
      <c r="M964" s="6"/>
      <c r="N964" s="6"/>
      <c r="O964" s="6"/>
      <c r="P964" s="35"/>
      <c r="Q964" s="35"/>
      <c r="R964" s="6"/>
      <c r="S964" s="6"/>
      <c r="T964" s="6"/>
      <c r="U964" s="6"/>
      <c r="V964" s="6"/>
      <c r="W964" s="6"/>
      <c r="X964" s="6"/>
      <c r="Y964" s="6"/>
      <c r="Z964" s="6"/>
      <c r="AA964" s="6"/>
      <c r="AB964" s="6"/>
      <c r="AC964" s="6"/>
      <c r="AD964" s="6"/>
      <c r="AE964" s="6"/>
    </row>
    <row r="965">
      <c r="A965" s="7" t="str">
        <f t="shared" si="2"/>
        <v/>
      </c>
      <c r="B965" s="6"/>
      <c r="C965" s="6"/>
      <c r="D965" s="113"/>
      <c r="E965" s="6"/>
      <c r="F965" s="6"/>
      <c r="G965" s="6"/>
      <c r="H965" s="6"/>
      <c r="I965" s="6"/>
      <c r="J965" s="6"/>
      <c r="K965" s="6"/>
      <c r="L965" s="6"/>
      <c r="M965" s="6"/>
      <c r="N965" s="6"/>
      <c r="O965" s="6"/>
      <c r="P965" s="35"/>
      <c r="Q965" s="35"/>
      <c r="R965" s="6"/>
      <c r="S965" s="6"/>
      <c r="T965" s="6"/>
      <c r="U965" s="6"/>
      <c r="V965" s="6"/>
      <c r="W965" s="6"/>
      <c r="X965" s="6"/>
      <c r="Y965" s="6"/>
      <c r="Z965" s="6"/>
      <c r="AA965" s="6"/>
      <c r="AB965" s="6"/>
      <c r="AC965" s="6"/>
      <c r="AD965" s="6"/>
      <c r="AE965" s="6"/>
    </row>
    <row r="966">
      <c r="A966" s="7" t="str">
        <f t="shared" si="2"/>
        <v/>
      </c>
      <c r="B966" s="6"/>
      <c r="C966" s="6"/>
      <c r="D966" s="113"/>
      <c r="E966" s="6"/>
      <c r="F966" s="6"/>
      <c r="G966" s="6"/>
      <c r="H966" s="6"/>
      <c r="I966" s="6"/>
      <c r="J966" s="6"/>
      <c r="K966" s="6"/>
      <c r="L966" s="6"/>
      <c r="M966" s="6"/>
      <c r="N966" s="6"/>
      <c r="O966" s="6"/>
      <c r="P966" s="35"/>
      <c r="Q966" s="35"/>
      <c r="R966" s="6"/>
      <c r="S966" s="6"/>
      <c r="T966" s="6"/>
      <c r="U966" s="6"/>
      <c r="V966" s="6"/>
      <c r="W966" s="6"/>
      <c r="X966" s="6"/>
      <c r="Y966" s="6"/>
      <c r="Z966" s="6"/>
      <c r="AA966" s="6"/>
      <c r="AB966" s="6"/>
      <c r="AC966" s="6"/>
      <c r="AD966" s="6"/>
      <c r="AE966" s="6"/>
    </row>
    <row r="967">
      <c r="A967" s="7" t="str">
        <f t="shared" si="2"/>
        <v/>
      </c>
      <c r="B967" s="6"/>
      <c r="C967" s="6"/>
      <c r="D967" s="113"/>
      <c r="E967" s="6"/>
      <c r="F967" s="6"/>
      <c r="G967" s="6"/>
      <c r="H967" s="6"/>
      <c r="I967" s="6"/>
      <c r="J967" s="6"/>
      <c r="K967" s="6"/>
      <c r="L967" s="6"/>
      <c r="M967" s="6"/>
      <c r="N967" s="6"/>
      <c r="O967" s="6"/>
      <c r="P967" s="35"/>
      <c r="Q967" s="35"/>
      <c r="R967" s="6"/>
      <c r="S967" s="6"/>
      <c r="T967" s="6"/>
      <c r="U967" s="6"/>
      <c r="V967" s="6"/>
      <c r="W967" s="6"/>
      <c r="X967" s="6"/>
      <c r="Y967" s="6"/>
      <c r="Z967" s="6"/>
      <c r="AA967" s="6"/>
      <c r="AB967" s="6"/>
      <c r="AC967" s="6"/>
      <c r="AD967" s="6"/>
      <c r="AE967" s="6"/>
    </row>
    <row r="968">
      <c r="A968" s="7" t="str">
        <f t="shared" si="2"/>
        <v/>
      </c>
      <c r="B968" s="6"/>
      <c r="C968" s="6"/>
      <c r="D968" s="113"/>
      <c r="E968" s="6"/>
      <c r="F968" s="6"/>
      <c r="G968" s="6"/>
      <c r="H968" s="6"/>
      <c r="I968" s="6"/>
      <c r="J968" s="6"/>
      <c r="K968" s="6"/>
      <c r="L968" s="6"/>
      <c r="M968" s="6"/>
      <c r="N968" s="6"/>
      <c r="O968" s="6"/>
      <c r="P968" s="35"/>
      <c r="Q968" s="35"/>
      <c r="R968" s="6"/>
      <c r="S968" s="6"/>
      <c r="T968" s="6"/>
      <c r="U968" s="6"/>
      <c r="V968" s="6"/>
      <c r="W968" s="6"/>
      <c r="X968" s="6"/>
      <c r="Y968" s="6"/>
      <c r="Z968" s="6"/>
      <c r="AA968" s="6"/>
      <c r="AB968" s="6"/>
      <c r="AC968" s="6"/>
      <c r="AD968" s="6"/>
      <c r="AE968" s="6"/>
    </row>
    <row r="969">
      <c r="A969" s="7" t="str">
        <f t="shared" si="2"/>
        <v/>
      </c>
      <c r="B969" s="6"/>
      <c r="C969" s="6"/>
      <c r="D969" s="113"/>
      <c r="E969" s="6"/>
      <c r="F969" s="6"/>
      <c r="G969" s="6"/>
      <c r="H969" s="6"/>
      <c r="I969" s="6"/>
      <c r="J969" s="6"/>
      <c r="K969" s="6"/>
      <c r="L969" s="6"/>
      <c r="M969" s="6"/>
      <c r="N969" s="6"/>
      <c r="O969" s="6"/>
      <c r="P969" s="35"/>
      <c r="Q969" s="35"/>
      <c r="R969" s="6"/>
      <c r="S969" s="6"/>
      <c r="T969" s="6"/>
      <c r="U969" s="6"/>
      <c r="V969" s="6"/>
      <c r="W969" s="6"/>
      <c r="X969" s="6"/>
      <c r="Y969" s="6"/>
      <c r="Z969" s="6"/>
      <c r="AA969" s="6"/>
      <c r="AB969" s="6"/>
      <c r="AC969" s="6"/>
      <c r="AD969" s="6"/>
      <c r="AE969" s="6"/>
    </row>
    <row r="970">
      <c r="A970" s="7" t="str">
        <f t="shared" si="2"/>
        <v/>
      </c>
      <c r="B970" s="6"/>
      <c r="C970" s="6"/>
      <c r="D970" s="113"/>
      <c r="E970" s="6"/>
      <c r="F970" s="6"/>
      <c r="G970" s="6"/>
      <c r="H970" s="6"/>
      <c r="I970" s="6"/>
      <c r="J970" s="6"/>
      <c r="K970" s="6"/>
      <c r="L970" s="6"/>
      <c r="M970" s="6"/>
      <c r="N970" s="6"/>
      <c r="O970" s="6"/>
      <c r="P970" s="35"/>
      <c r="Q970" s="35"/>
      <c r="R970" s="6"/>
      <c r="S970" s="6"/>
      <c r="T970" s="6"/>
      <c r="U970" s="6"/>
      <c r="V970" s="6"/>
      <c r="W970" s="6"/>
      <c r="X970" s="6"/>
      <c r="Y970" s="6"/>
      <c r="Z970" s="6"/>
      <c r="AA970" s="6"/>
      <c r="AB970" s="6"/>
      <c r="AC970" s="6"/>
      <c r="AD970" s="6"/>
      <c r="AE970" s="6"/>
    </row>
    <row r="971">
      <c r="A971" s="7" t="str">
        <f t="shared" si="2"/>
        <v/>
      </c>
      <c r="B971" s="6"/>
      <c r="C971" s="6"/>
      <c r="D971" s="113"/>
      <c r="E971" s="6"/>
      <c r="F971" s="6"/>
      <c r="G971" s="6"/>
      <c r="H971" s="6"/>
      <c r="I971" s="6"/>
      <c r="J971" s="6"/>
      <c r="K971" s="6"/>
      <c r="L971" s="6"/>
      <c r="M971" s="6"/>
      <c r="N971" s="6"/>
      <c r="O971" s="6"/>
      <c r="P971" s="35"/>
      <c r="Q971" s="35"/>
      <c r="R971" s="6"/>
      <c r="S971" s="6"/>
      <c r="T971" s="6"/>
      <c r="U971" s="6"/>
      <c r="V971" s="6"/>
      <c r="W971" s="6"/>
      <c r="X971" s="6"/>
      <c r="Y971" s="6"/>
      <c r="Z971" s="6"/>
      <c r="AA971" s="6"/>
      <c r="AB971" s="6"/>
      <c r="AC971" s="6"/>
      <c r="AD971" s="6"/>
      <c r="AE971" s="6"/>
    </row>
    <row r="972">
      <c r="A972" s="7" t="str">
        <f t="shared" si="2"/>
        <v/>
      </c>
      <c r="B972" s="6"/>
      <c r="C972" s="6"/>
      <c r="D972" s="113"/>
      <c r="E972" s="6"/>
      <c r="F972" s="6"/>
      <c r="G972" s="6"/>
      <c r="H972" s="6"/>
      <c r="I972" s="6"/>
      <c r="J972" s="6"/>
      <c r="K972" s="6"/>
      <c r="L972" s="6"/>
      <c r="M972" s="6"/>
      <c r="N972" s="6"/>
      <c r="O972" s="6"/>
      <c r="P972" s="35"/>
      <c r="Q972" s="35"/>
      <c r="R972" s="6"/>
      <c r="S972" s="6"/>
      <c r="T972" s="6"/>
      <c r="U972" s="6"/>
      <c r="V972" s="6"/>
      <c r="W972" s="6"/>
      <c r="X972" s="6"/>
      <c r="Y972" s="6"/>
      <c r="Z972" s="6"/>
      <c r="AA972" s="6"/>
      <c r="AB972" s="6"/>
      <c r="AC972" s="6"/>
      <c r="AD972" s="6"/>
      <c r="AE972" s="6"/>
    </row>
    <row r="973">
      <c r="A973" s="7" t="str">
        <f t="shared" si="2"/>
        <v/>
      </c>
      <c r="B973" s="6"/>
      <c r="C973" s="6"/>
      <c r="D973" s="113"/>
      <c r="E973" s="6"/>
      <c r="F973" s="6"/>
      <c r="G973" s="6"/>
      <c r="H973" s="6"/>
      <c r="I973" s="6"/>
      <c r="J973" s="6"/>
      <c r="K973" s="6"/>
      <c r="L973" s="6"/>
      <c r="M973" s="6"/>
      <c r="N973" s="6"/>
      <c r="O973" s="6"/>
      <c r="P973" s="35"/>
      <c r="Q973" s="35"/>
      <c r="R973" s="6"/>
      <c r="S973" s="6"/>
      <c r="T973" s="6"/>
      <c r="U973" s="6"/>
      <c r="V973" s="6"/>
      <c r="W973" s="6"/>
      <c r="X973" s="6"/>
      <c r="Y973" s="6"/>
      <c r="Z973" s="6"/>
      <c r="AA973" s="6"/>
      <c r="AB973" s="6"/>
      <c r="AC973" s="6"/>
      <c r="AD973" s="6"/>
      <c r="AE973" s="6"/>
    </row>
    <row r="974">
      <c r="A974" s="7" t="str">
        <f t="shared" si="2"/>
        <v/>
      </c>
      <c r="B974" s="6"/>
      <c r="C974" s="6"/>
      <c r="D974" s="113"/>
      <c r="E974" s="6"/>
      <c r="F974" s="6"/>
      <c r="G974" s="6"/>
      <c r="H974" s="6"/>
      <c r="I974" s="6"/>
      <c r="J974" s="6"/>
      <c r="K974" s="6"/>
      <c r="L974" s="6"/>
      <c r="M974" s="6"/>
      <c r="N974" s="6"/>
      <c r="O974" s="6"/>
      <c r="P974" s="35"/>
      <c r="Q974" s="35"/>
      <c r="R974" s="6"/>
      <c r="S974" s="6"/>
      <c r="T974" s="6"/>
      <c r="U974" s="6"/>
      <c r="V974" s="6"/>
      <c r="W974" s="6"/>
      <c r="X974" s="6"/>
      <c r="Y974" s="6"/>
      <c r="Z974" s="6"/>
      <c r="AA974" s="6"/>
      <c r="AB974" s="6"/>
      <c r="AC974" s="6"/>
      <c r="AD974" s="6"/>
      <c r="AE974" s="6"/>
    </row>
    <row r="975">
      <c r="A975" s="7" t="str">
        <f t="shared" si="2"/>
        <v/>
      </c>
      <c r="B975" s="6"/>
      <c r="C975" s="6"/>
      <c r="D975" s="113"/>
      <c r="E975" s="6"/>
      <c r="F975" s="6"/>
      <c r="G975" s="6"/>
      <c r="H975" s="6"/>
      <c r="I975" s="6"/>
      <c r="J975" s="6"/>
      <c r="K975" s="6"/>
      <c r="L975" s="6"/>
      <c r="M975" s="6"/>
      <c r="N975" s="6"/>
      <c r="O975" s="6"/>
      <c r="P975" s="35"/>
      <c r="Q975" s="35"/>
      <c r="R975" s="6"/>
      <c r="S975" s="6"/>
      <c r="T975" s="6"/>
      <c r="U975" s="6"/>
      <c r="V975" s="6"/>
      <c r="W975" s="6"/>
      <c r="X975" s="6"/>
      <c r="Y975" s="6"/>
      <c r="Z975" s="6"/>
      <c r="AA975" s="6"/>
      <c r="AB975" s="6"/>
      <c r="AC975" s="6"/>
      <c r="AD975" s="6"/>
      <c r="AE975" s="6"/>
    </row>
    <row r="976">
      <c r="A976" s="7" t="str">
        <f t="shared" si="2"/>
        <v/>
      </c>
      <c r="B976" s="6"/>
      <c r="C976" s="6"/>
      <c r="D976" s="113"/>
      <c r="E976" s="6"/>
      <c r="F976" s="6"/>
      <c r="G976" s="6"/>
      <c r="H976" s="6"/>
      <c r="I976" s="6"/>
      <c r="J976" s="6"/>
      <c r="K976" s="6"/>
      <c r="L976" s="6"/>
      <c r="M976" s="6"/>
      <c r="N976" s="6"/>
      <c r="O976" s="6"/>
      <c r="P976" s="35"/>
      <c r="Q976" s="35"/>
      <c r="R976" s="6"/>
      <c r="S976" s="6"/>
      <c r="T976" s="6"/>
      <c r="U976" s="6"/>
      <c r="V976" s="6"/>
      <c r="W976" s="6"/>
      <c r="X976" s="6"/>
      <c r="Y976" s="6"/>
      <c r="Z976" s="6"/>
      <c r="AA976" s="6"/>
      <c r="AB976" s="6"/>
      <c r="AC976" s="6"/>
      <c r="AD976" s="6"/>
      <c r="AE976" s="6"/>
    </row>
    <row r="977">
      <c r="A977" s="7" t="str">
        <f t="shared" si="2"/>
        <v/>
      </c>
      <c r="B977" s="6"/>
      <c r="C977" s="6"/>
      <c r="D977" s="113"/>
      <c r="E977" s="6"/>
      <c r="F977" s="6"/>
      <c r="G977" s="6"/>
      <c r="H977" s="6"/>
      <c r="I977" s="6"/>
      <c r="J977" s="6"/>
      <c r="K977" s="6"/>
      <c r="L977" s="6"/>
      <c r="M977" s="6"/>
      <c r="N977" s="6"/>
      <c r="O977" s="6"/>
      <c r="P977" s="35"/>
      <c r="Q977" s="35"/>
      <c r="R977" s="6"/>
      <c r="S977" s="6"/>
      <c r="T977" s="6"/>
      <c r="U977" s="6"/>
      <c r="V977" s="6"/>
      <c r="W977" s="6"/>
      <c r="X977" s="6"/>
      <c r="Y977" s="6"/>
      <c r="Z977" s="6"/>
      <c r="AA977" s="6"/>
      <c r="AB977" s="6"/>
      <c r="AC977" s="6"/>
      <c r="AD977" s="6"/>
      <c r="AE977" s="6"/>
    </row>
    <row r="978">
      <c r="A978" s="7" t="str">
        <f t="shared" si="2"/>
        <v/>
      </c>
      <c r="B978" s="6"/>
      <c r="C978" s="6"/>
      <c r="D978" s="113"/>
      <c r="E978" s="6"/>
      <c r="F978" s="6"/>
      <c r="G978" s="6"/>
      <c r="H978" s="6"/>
      <c r="I978" s="6"/>
      <c r="J978" s="6"/>
      <c r="K978" s="6"/>
      <c r="L978" s="6"/>
      <c r="M978" s="6"/>
      <c r="N978" s="6"/>
      <c r="O978" s="6"/>
      <c r="P978" s="35"/>
      <c r="Q978" s="35"/>
      <c r="R978" s="6"/>
      <c r="S978" s="6"/>
      <c r="T978" s="6"/>
      <c r="U978" s="6"/>
      <c r="V978" s="6"/>
      <c r="W978" s="6"/>
      <c r="X978" s="6"/>
      <c r="Y978" s="6"/>
      <c r="Z978" s="6"/>
      <c r="AA978" s="6"/>
      <c r="AB978" s="6"/>
      <c r="AC978" s="6"/>
      <c r="AD978" s="6"/>
      <c r="AE978" s="6"/>
    </row>
    <row r="979">
      <c r="A979" s="7" t="str">
        <f t="shared" si="2"/>
        <v/>
      </c>
      <c r="B979" s="6"/>
      <c r="C979" s="6"/>
      <c r="D979" s="113"/>
      <c r="E979" s="6"/>
      <c r="F979" s="6"/>
      <c r="G979" s="6"/>
      <c r="H979" s="6"/>
      <c r="I979" s="6"/>
      <c r="J979" s="6"/>
      <c r="K979" s="6"/>
      <c r="L979" s="6"/>
      <c r="M979" s="6"/>
      <c r="N979" s="6"/>
      <c r="O979" s="6"/>
      <c r="P979" s="35"/>
      <c r="Q979" s="35"/>
      <c r="R979" s="6"/>
      <c r="S979" s="6"/>
      <c r="T979" s="6"/>
      <c r="U979" s="6"/>
      <c r="V979" s="6"/>
      <c r="W979" s="6"/>
      <c r="X979" s="6"/>
      <c r="Y979" s="6"/>
      <c r="Z979" s="6"/>
      <c r="AA979" s="6"/>
      <c r="AB979" s="6"/>
      <c r="AC979" s="6"/>
      <c r="AD979" s="6"/>
      <c r="AE979" s="6"/>
    </row>
    <row r="980">
      <c r="A980" s="7" t="str">
        <f t="shared" si="2"/>
        <v/>
      </c>
      <c r="B980" s="6"/>
      <c r="C980" s="6"/>
      <c r="D980" s="113"/>
      <c r="E980" s="6"/>
      <c r="F980" s="6"/>
      <c r="G980" s="6"/>
      <c r="H980" s="6"/>
      <c r="I980" s="6"/>
      <c r="J980" s="6"/>
      <c r="K980" s="6"/>
      <c r="L980" s="6"/>
      <c r="M980" s="6"/>
      <c r="N980" s="6"/>
      <c r="O980" s="6"/>
      <c r="P980" s="35"/>
      <c r="Q980" s="35"/>
      <c r="R980" s="6"/>
      <c r="S980" s="6"/>
      <c r="T980" s="6"/>
      <c r="U980" s="6"/>
      <c r="V980" s="6"/>
      <c r="W980" s="6"/>
      <c r="X980" s="6"/>
      <c r="Y980" s="6"/>
      <c r="Z980" s="6"/>
      <c r="AA980" s="6"/>
      <c r="AB980" s="6"/>
      <c r="AC980" s="6"/>
      <c r="AD980" s="6"/>
      <c r="AE980" s="6"/>
    </row>
    <row r="981">
      <c r="A981" s="7" t="str">
        <f t="shared" si="2"/>
        <v/>
      </c>
      <c r="B981" s="6"/>
      <c r="C981" s="6"/>
      <c r="D981" s="113"/>
      <c r="E981" s="6"/>
      <c r="F981" s="6"/>
      <c r="G981" s="6"/>
      <c r="H981" s="6"/>
      <c r="I981" s="6"/>
      <c r="J981" s="6"/>
      <c r="K981" s="6"/>
      <c r="L981" s="6"/>
      <c r="M981" s="6"/>
      <c r="N981" s="6"/>
      <c r="O981" s="6"/>
      <c r="P981" s="35"/>
      <c r="Q981" s="35"/>
      <c r="R981" s="6"/>
      <c r="S981" s="6"/>
      <c r="T981" s="6"/>
      <c r="U981" s="6"/>
      <c r="V981" s="6"/>
      <c r="W981" s="6"/>
      <c r="X981" s="6"/>
      <c r="Y981" s="6"/>
      <c r="Z981" s="6"/>
      <c r="AA981" s="6"/>
      <c r="AB981" s="6"/>
      <c r="AC981" s="6"/>
      <c r="AD981" s="6"/>
      <c r="AE981" s="6"/>
    </row>
    <row r="982">
      <c r="A982" s="7" t="str">
        <f t="shared" si="2"/>
        <v/>
      </c>
      <c r="B982" s="6"/>
      <c r="C982" s="6"/>
      <c r="D982" s="113"/>
      <c r="E982" s="6"/>
      <c r="F982" s="6"/>
      <c r="G982" s="6"/>
      <c r="H982" s="6"/>
      <c r="I982" s="6"/>
      <c r="J982" s="6"/>
      <c r="K982" s="6"/>
      <c r="L982" s="6"/>
      <c r="M982" s="6"/>
      <c r="N982" s="6"/>
      <c r="O982" s="6"/>
      <c r="P982" s="35"/>
      <c r="Q982" s="35"/>
      <c r="R982" s="6"/>
      <c r="S982" s="6"/>
      <c r="T982" s="6"/>
      <c r="U982" s="6"/>
      <c r="V982" s="6"/>
      <c r="W982" s="6"/>
      <c r="X982" s="6"/>
      <c r="Y982" s="6"/>
      <c r="Z982" s="6"/>
      <c r="AA982" s="6"/>
      <c r="AB982" s="6"/>
      <c r="AC982" s="6"/>
      <c r="AD982" s="6"/>
      <c r="AE982" s="6"/>
    </row>
    <row r="983">
      <c r="A983" s="7" t="str">
        <f t="shared" si="2"/>
        <v/>
      </c>
      <c r="B983" s="6"/>
      <c r="C983" s="6"/>
      <c r="D983" s="113"/>
      <c r="E983" s="6"/>
      <c r="F983" s="6"/>
      <c r="G983" s="6"/>
      <c r="H983" s="6"/>
      <c r="I983" s="6"/>
      <c r="J983" s="6"/>
      <c r="K983" s="6"/>
      <c r="L983" s="6"/>
      <c r="M983" s="6"/>
      <c r="N983" s="6"/>
      <c r="O983" s="6"/>
      <c r="P983" s="35"/>
      <c r="Q983" s="35"/>
      <c r="R983" s="6"/>
      <c r="S983" s="6"/>
      <c r="T983" s="6"/>
      <c r="U983" s="6"/>
      <c r="V983" s="6"/>
      <c r="W983" s="6"/>
      <c r="X983" s="6"/>
      <c r="Y983" s="6"/>
      <c r="Z983" s="6"/>
      <c r="AA983" s="6"/>
      <c r="AB983" s="6"/>
      <c r="AC983" s="6"/>
      <c r="AD983" s="6"/>
      <c r="AE983" s="6"/>
    </row>
    <row r="984">
      <c r="A984" s="7" t="str">
        <f t="shared" si="2"/>
        <v/>
      </c>
      <c r="B984" s="6"/>
      <c r="C984" s="6"/>
      <c r="D984" s="113"/>
      <c r="E984" s="6"/>
      <c r="F984" s="6"/>
      <c r="G984" s="6"/>
      <c r="H984" s="6"/>
      <c r="I984" s="6"/>
      <c r="J984" s="6"/>
      <c r="K984" s="6"/>
      <c r="L984" s="6"/>
      <c r="M984" s="6"/>
      <c r="N984" s="6"/>
      <c r="O984" s="6"/>
      <c r="P984" s="35"/>
      <c r="Q984" s="35"/>
      <c r="R984" s="6"/>
      <c r="S984" s="6"/>
      <c r="T984" s="6"/>
      <c r="U984" s="6"/>
      <c r="V984" s="6"/>
      <c r="W984" s="6"/>
      <c r="X984" s="6"/>
      <c r="Y984" s="6"/>
      <c r="Z984" s="6"/>
      <c r="AA984" s="6"/>
      <c r="AB984" s="6"/>
      <c r="AC984" s="6"/>
      <c r="AD984" s="6"/>
      <c r="AE984" s="6"/>
    </row>
    <row r="985">
      <c r="A985" s="7" t="str">
        <f t="shared" si="2"/>
        <v/>
      </c>
      <c r="B985" s="6"/>
      <c r="C985" s="6"/>
      <c r="D985" s="113"/>
      <c r="E985" s="6"/>
      <c r="F985" s="6"/>
      <c r="G985" s="6"/>
      <c r="H985" s="6"/>
      <c r="I985" s="6"/>
      <c r="J985" s="6"/>
      <c r="K985" s="6"/>
      <c r="L985" s="6"/>
      <c r="M985" s="6"/>
      <c r="N985" s="6"/>
      <c r="O985" s="6"/>
      <c r="P985" s="35"/>
      <c r="Q985" s="35"/>
      <c r="R985" s="6"/>
      <c r="S985" s="6"/>
      <c r="T985" s="6"/>
      <c r="U985" s="6"/>
      <c r="V985" s="6"/>
      <c r="W985" s="6"/>
      <c r="X985" s="6"/>
      <c r="Y985" s="6"/>
      <c r="Z985" s="6"/>
      <c r="AA985" s="6"/>
      <c r="AB985" s="6"/>
      <c r="AC985" s="6"/>
      <c r="AD985" s="6"/>
      <c r="AE985" s="6"/>
    </row>
    <row r="986">
      <c r="A986" s="7" t="str">
        <f t="shared" si="2"/>
        <v/>
      </c>
      <c r="B986" s="6"/>
      <c r="C986" s="6"/>
      <c r="D986" s="113"/>
      <c r="E986" s="6"/>
      <c r="F986" s="6"/>
      <c r="G986" s="6"/>
      <c r="H986" s="6"/>
      <c r="I986" s="6"/>
      <c r="J986" s="6"/>
      <c r="K986" s="6"/>
      <c r="L986" s="6"/>
      <c r="M986" s="6"/>
      <c r="N986" s="6"/>
      <c r="O986" s="6"/>
      <c r="P986" s="35"/>
      <c r="Q986" s="35"/>
      <c r="R986" s="6"/>
      <c r="S986" s="6"/>
      <c r="T986" s="6"/>
      <c r="U986" s="6"/>
      <c r="V986" s="6"/>
      <c r="W986" s="6"/>
      <c r="X986" s="6"/>
      <c r="Y986" s="6"/>
      <c r="Z986" s="6"/>
      <c r="AA986" s="6"/>
      <c r="AB986" s="6"/>
      <c r="AC986" s="6"/>
      <c r="AD986" s="6"/>
      <c r="AE986" s="6"/>
    </row>
    <row r="987">
      <c r="A987" s="7" t="str">
        <f t="shared" si="2"/>
        <v/>
      </c>
      <c r="B987" s="6"/>
      <c r="C987" s="6"/>
      <c r="D987" s="113"/>
      <c r="E987" s="6"/>
      <c r="F987" s="6"/>
      <c r="G987" s="6"/>
      <c r="H987" s="6"/>
      <c r="I987" s="6"/>
      <c r="J987" s="6"/>
      <c r="K987" s="6"/>
      <c r="L987" s="6"/>
      <c r="M987" s="6"/>
      <c r="N987" s="6"/>
      <c r="O987" s="6"/>
      <c r="P987" s="35"/>
      <c r="Q987" s="35"/>
      <c r="R987" s="6"/>
      <c r="S987" s="6"/>
      <c r="T987" s="6"/>
      <c r="U987" s="6"/>
      <c r="V987" s="6"/>
      <c r="W987" s="6"/>
      <c r="X987" s="6"/>
      <c r="Y987" s="6"/>
      <c r="Z987" s="6"/>
      <c r="AA987" s="6"/>
      <c r="AB987" s="6"/>
      <c r="AC987" s="6"/>
      <c r="AD987" s="6"/>
      <c r="AE987" s="6"/>
    </row>
    <row r="988">
      <c r="A988" s="7" t="str">
        <f t="shared" si="2"/>
        <v/>
      </c>
      <c r="B988" s="6"/>
      <c r="C988" s="6"/>
      <c r="D988" s="113"/>
      <c r="E988" s="6"/>
      <c r="F988" s="6"/>
      <c r="G988" s="6"/>
      <c r="H988" s="6"/>
      <c r="I988" s="6"/>
      <c r="J988" s="6"/>
      <c r="K988" s="6"/>
      <c r="L988" s="6"/>
      <c r="M988" s="6"/>
      <c r="N988" s="6"/>
      <c r="O988" s="6"/>
      <c r="P988" s="35"/>
      <c r="Q988" s="35"/>
      <c r="R988" s="6"/>
      <c r="S988" s="6"/>
      <c r="T988" s="6"/>
      <c r="U988" s="6"/>
      <c r="V988" s="6"/>
      <c r="W988" s="6"/>
      <c r="X988" s="6"/>
      <c r="Y988" s="6"/>
      <c r="Z988" s="6"/>
      <c r="AA988" s="6"/>
      <c r="AB988" s="6"/>
      <c r="AC988" s="6"/>
      <c r="AD988" s="6"/>
      <c r="AE988" s="6"/>
    </row>
    <row r="989">
      <c r="A989" s="7" t="str">
        <f t="shared" si="2"/>
        <v/>
      </c>
      <c r="B989" s="6"/>
      <c r="C989" s="6"/>
      <c r="D989" s="113"/>
      <c r="E989" s="6"/>
      <c r="F989" s="6"/>
      <c r="G989" s="6"/>
      <c r="H989" s="6"/>
      <c r="I989" s="6"/>
      <c r="J989" s="6"/>
      <c r="K989" s="6"/>
      <c r="L989" s="6"/>
      <c r="M989" s="6"/>
      <c r="N989" s="6"/>
      <c r="O989" s="6"/>
      <c r="P989" s="35"/>
      <c r="Q989" s="35"/>
      <c r="R989" s="6"/>
      <c r="S989" s="6"/>
      <c r="T989" s="6"/>
      <c r="U989" s="6"/>
      <c r="V989" s="6"/>
      <c r="W989" s="6"/>
      <c r="X989" s="6"/>
      <c r="Y989" s="6"/>
      <c r="Z989" s="6"/>
      <c r="AA989" s="6"/>
      <c r="AB989" s="6"/>
      <c r="AC989" s="6"/>
      <c r="AD989" s="6"/>
      <c r="AE989" s="6"/>
    </row>
    <row r="990">
      <c r="A990" s="7" t="str">
        <f t="shared" si="2"/>
        <v/>
      </c>
      <c r="B990" s="6"/>
      <c r="C990" s="6"/>
      <c r="D990" s="113"/>
      <c r="E990" s="6"/>
      <c r="F990" s="6"/>
      <c r="G990" s="6"/>
      <c r="H990" s="6"/>
      <c r="I990" s="6"/>
      <c r="J990" s="6"/>
      <c r="K990" s="6"/>
      <c r="L990" s="6"/>
      <c r="M990" s="6"/>
      <c r="N990" s="6"/>
      <c r="O990" s="6"/>
      <c r="P990" s="35"/>
      <c r="Q990" s="35"/>
      <c r="R990" s="6"/>
      <c r="S990" s="6"/>
      <c r="T990" s="6"/>
      <c r="U990" s="6"/>
      <c r="V990" s="6"/>
      <c r="W990" s="6"/>
      <c r="X990" s="6"/>
      <c r="Y990" s="6"/>
      <c r="Z990" s="6"/>
      <c r="AA990" s="6"/>
      <c r="AB990" s="6"/>
      <c r="AC990" s="6"/>
      <c r="AD990" s="6"/>
      <c r="AE990" s="6"/>
    </row>
    <row r="991">
      <c r="A991" s="7" t="str">
        <f t="shared" si="2"/>
        <v/>
      </c>
      <c r="B991" s="6"/>
      <c r="C991" s="6"/>
      <c r="D991" s="113"/>
      <c r="E991" s="6"/>
      <c r="F991" s="6"/>
      <c r="G991" s="6"/>
      <c r="H991" s="6"/>
      <c r="I991" s="6"/>
      <c r="J991" s="6"/>
      <c r="K991" s="6"/>
      <c r="L991" s="6"/>
      <c r="M991" s="6"/>
      <c r="N991" s="6"/>
      <c r="O991" s="6"/>
      <c r="P991" s="35"/>
      <c r="Q991" s="35"/>
      <c r="R991" s="6"/>
      <c r="S991" s="6"/>
      <c r="T991" s="6"/>
      <c r="U991" s="6"/>
      <c r="V991" s="6"/>
      <c r="W991" s="6"/>
      <c r="X991" s="6"/>
      <c r="Y991" s="6"/>
      <c r="Z991" s="6"/>
      <c r="AA991" s="6"/>
      <c r="AB991" s="6"/>
      <c r="AC991" s="6"/>
      <c r="AD991" s="6"/>
      <c r="AE991" s="6"/>
    </row>
    <row r="992">
      <c r="A992" s="7" t="str">
        <f t="shared" si="2"/>
        <v/>
      </c>
      <c r="B992" s="6"/>
      <c r="C992" s="6"/>
      <c r="D992" s="113"/>
      <c r="E992" s="6"/>
      <c r="F992" s="6"/>
      <c r="G992" s="6"/>
      <c r="H992" s="6"/>
      <c r="I992" s="6"/>
      <c r="J992" s="6"/>
      <c r="K992" s="6"/>
      <c r="L992" s="6"/>
      <c r="M992" s="6"/>
      <c r="N992" s="6"/>
      <c r="O992" s="6"/>
      <c r="P992" s="35"/>
      <c r="Q992" s="35"/>
      <c r="R992" s="6"/>
      <c r="S992" s="6"/>
      <c r="T992" s="6"/>
      <c r="U992" s="6"/>
      <c r="V992" s="6"/>
      <c r="W992" s="6"/>
      <c r="X992" s="6"/>
      <c r="Y992" s="6"/>
      <c r="Z992" s="6"/>
      <c r="AA992" s="6"/>
      <c r="AB992" s="6"/>
      <c r="AC992" s="6"/>
      <c r="AD992" s="6"/>
      <c r="AE992" s="6"/>
    </row>
    <row r="993">
      <c r="A993" s="7" t="str">
        <f t="shared" si="2"/>
        <v/>
      </c>
      <c r="B993" s="6"/>
      <c r="C993" s="6"/>
      <c r="D993" s="113"/>
      <c r="E993" s="6"/>
      <c r="F993" s="6"/>
      <c r="G993" s="6"/>
      <c r="H993" s="6"/>
      <c r="I993" s="6"/>
      <c r="J993" s="6"/>
      <c r="K993" s="6"/>
      <c r="L993" s="6"/>
      <c r="M993" s="6"/>
      <c r="N993" s="6"/>
      <c r="O993" s="6"/>
      <c r="P993" s="35"/>
      <c r="Q993" s="35"/>
      <c r="R993" s="6"/>
      <c r="S993" s="6"/>
      <c r="T993" s="6"/>
      <c r="U993" s="6"/>
      <c r="V993" s="6"/>
      <c r="W993" s="6"/>
      <c r="X993" s="6"/>
      <c r="Y993" s="6"/>
      <c r="Z993" s="6"/>
      <c r="AA993" s="6"/>
      <c r="AB993" s="6"/>
      <c r="AC993" s="6"/>
      <c r="AD993" s="6"/>
      <c r="AE993" s="6"/>
    </row>
    <row r="994">
      <c r="A994" s="7" t="str">
        <f t="shared" si="2"/>
        <v/>
      </c>
      <c r="B994" s="6"/>
      <c r="C994" s="6"/>
      <c r="D994" s="113"/>
      <c r="E994" s="6"/>
      <c r="F994" s="6"/>
      <c r="G994" s="6"/>
      <c r="H994" s="6"/>
      <c r="I994" s="6"/>
      <c r="J994" s="6"/>
      <c r="K994" s="6"/>
      <c r="L994" s="6"/>
      <c r="M994" s="6"/>
      <c r="N994" s="6"/>
      <c r="O994" s="6"/>
      <c r="P994" s="35"/>
      <c r="Q994" s="35"/>
      <c r="R994" s="6"/>
      <c r="S994" s="6"/>
      <c r="T994" s="6"/>
      <c r="U994" s="6"/>
      <c r="V994" s="6"/>
      <c r="W994" s="6"/>
      <c r="X994" s="6"/>
      <c r="Y994" s="6"/>
      <c r="Z994" s="6"/>
      <c r="AA994" s="6"/>
      <c r="AB994" s="6"/>
      <c r="AC994" s="6"/>
      <c r="AD994" s="6"/>
      <c r="AE994" s="6"/>
    </row>
    <row r="995">
      <c r="A995" s="7" t="str">
        <f t="shared" si="2"/>
        <v/>
      </c>
      <c r="B995" s="6"/>
      <c r="C995" s="6"/>
      <c r="D995" s="113"/>
      <c r="E995" s="6"/>
      <c r="F995" s="6"/>
      <c r="G995" s="6"/>
      <c r="H995" s="6"/>
      <c r="I995" s="6"/>
      <c r="J995" s="6"/>
      <c r="K995" s="6"/>
      <c r="L995" s="6"/>
      <c r="M995" s="6"/>
      <c r="N995" s="6"/>
      <c r="O995" s="6"/>
      <c r="P995" s="35"/>
      <c r="Q995" s="35"/>
      <c r="R995" s="6"/>
      <c r="S995" s="6"/>
      <c r="T995" s="6"/>
      <c r="U995" s="6"/>
      <c r="V995" s="6"/>
      <c r="W995" s="6"/>
      <c r="X995" s="6"/>
      <c r="Y995" s="6"/>
      <c r="Z995" s="6"/>
      <c r="AA995" s="6"/>
      <c r="AB995" s="6"/>
      <c r="AC995" s="6"/>
      <c r="AD995" s="6"/>
      <c r="AE995" s="6"/>
    </row>
    <row r="996">
      <c r="A996" s="7" t="str">
        <f t="shared" si="2"/>
        <v/>
      </c>
      <c r="B996" s="6"/>
      <c r="C996" s="6"/>
      <c r="D996" s="113"/>
      <c r="E996" s="6"/>
      <c r="F996" s="6"/>
      <c r="G996" s="6"/>
      <c r="H996" s="6"/>
      <c r="I996" s="6"/>
      <c r="J996" s="6"/>
      <c r="K996" s="6"/>
      <c r="L996" s="6"/>
      <c r="M996" s="6"/>
      <c r="N996" s="6"/>
      <c r="O996" s="6"/>
      <c r="P996" s="35"/>
      <c r="Q996" s="35"/>
      <c r="R996" s="6"/>
      <c r="S996" s="6"/>
      <c r="T996" s="6"/>
      <c r="U996" s="6"/>
      <c r="V996" s="6"/>
      <c r="W996" s="6"/>
      <c r="X996" s="6"/>
      <c r="Y996" s="6"/>
      <c r="Z996" s="6"/>
      <c r="AA996" s="6"/>
      <c r="AB996" s="6"/>
      <c r="AC996" s="6"/>
      <c r="AD996" s="6"/>
      <c r="AE996" s="6"/>
    </row>
    <row r="997">
      <c r="A997" s="7" t="str">
        <f t="shared" si="2"/>
        <v/>
      </c>
      <c r="B997" s="6"/>
      <c r="C997" s="6"/>
      <c r="D997" s="113"/>
      <c r="E997" s="6"/>
      <c r="F997" s="6"/>
      <c r="G997" s="6"/>
      <c r="H997" s="6"/>
      <c r="I997" s="6"/>
      <c r="J997" s="6"/>
      <c r="K997" s="6"/>
      <c r="L997" s="6"/>
      <c r="M997" s="6"/>
      <c r="N997" s="6"/>
      <c r="O997" s="6"/>
      <c r="P997" s="35"/>
      <c r="Q997" s="35"/>
      <c r="R997" s="6"/>
      <c r="S997" s="6"/>
      <c r="T997" s="6"/>
      <c r="U997" s="6"/>
      <c r="V997" s="6"/>
      <c r="W997" s="6"/>
      <c r="X997" s="6"/>
      <c r="Y997" s="6"/>
      <c r="Z997" s="6"/>
      <c r="AA997" s="6"/>
      <c r="AB997" s="6"/>
      <c r="AC997" s="6"/>
      <c r="AD997" s="6"/>
      <c r="AE997" s="6"/>
    </row>
    <row r="998">
      <c r="A998" s="7" t="str">
        <f t="shared" si="2"/>
        <v/>
      </c>
      <c r="B998" s="6"/>
      <c r="C998" s="6"/>
      <c r="D998" s="113"/>
      <c r="E998" s="6"/>
      <c r="F998" s="6"/>
      <c r="G998" s="6"/>
      <c r="H998" s="6"/>
      <c r="I998" s="6"/>
      <c r="J998" s="6"/>
      <c r="K998" s="6"/>
      <c r="L998" s="6"/>
      <c r="M998" s="6"/>
      <c r="N998" s="6"/>
      <c r="O998" s="6"/>
      <c r="P998" s="35"/>
      <c r="Q998" s="35"/>
      <c r="R998" s="6"/>
      <c r="S998" s="6"/>
      <c r="T998" s="6"/>
      <c r="U998" s="6"/>
      <c r="V998" s="6"/>
      <c r="W998" s="6"/>
      <c r="X998" s="6"/>
      <c r="Y998" s="6"/>
      <c r="Z998" s="6"/>
      <c r="AA998" s="6"/>
      <c r="AB998" s="6"/>
      <c r="AC998" s="6"/>
      <c r="AD998" s="6"/>
      <c r="AE998" s="6"/>
    </row>
    <row r="999">
      <c r="A999" s="7" t="str">
        <f t="shared" si="2"/>
        <v/>
      </c>
      <c r="B999" s="6"/>
      <c r="C999" s="6"/>
      <c r="D999" s="113"/>
      <c r="E999" s="6"/>
      <c r="F999" s="6"/>
      <c r="G999" s="6"/>
      <c r="H999" s="6"/>
      <c r="I999" s="6"/>
      <c r="J999" s="6"/>
      <c r="K999" s="6"/>
      <c r="L999" s="6"/>
      <c r="M999" s="6"/>
      <c r="N999" s="6"/>
      <c r="O999" s="6"/>
      <c r="P999" s="35"/>
      <c r="Q999" s="35"/>
      <c r="R999" s="6"/>
      <c r="S999" s="6"/>
      <c r="T999" s="6"/>
      <c r="U999" s="6"/>
      <c r="V999" s="6"/>
      <c r="W999" s="6"/>
      <c r="X999" s="6"/>
      <c r="Y999" s="6"/>
      <c r="Z999" s="6"/>
      <c r="AA999" s="6"/>
      <c r="AB999" s="6"/>
      <c r="AC999" s="6"/>
      <c r="AD999" s="6"/>
      <c r="AE999" s="6"/>
    </row>
  </sheetData>
  <dataValidations>
    <dataValidation type="list" allowBlank="1" showErrorMessage="1" sqref="S2:S288 D2:D999">
      <formula1>"組合員契約書締結,契約書送付済,契約書未送付,契約破棄,不要データ"</formula1>
    </dataValidation>
  </dataValidations>
  <hyperlinks>
    <hyperlink r:id="rId1" ref="Q4"/>
    <hyperlink r:id="rId2" ref="Q5"/>
    <hyperlink r:id="rId3" ref="Q7"/>
    <hyperlink r:id="rId4" ref="Q9"/>
    <hyperlink r:id="rId5" ref="Q10"/>
    <hyperlink r:id="rId6" ref="Q12"/>
    <hyperlink r:id="rId7" ref="Q14"/>
    <hyperlink r:id="rId8" ref="Q16"/>
    <hyperlink r:id="rId9" ref="Q17"/>
    <hyperlink r:id="rId10" ref="Q23"/>
    <hyperlink r:id="rId11" ref="Q27"/>
    <hyperlink r:id="rId12" ref="Q30"/>
    <hyperlink r:id="rId13" ref="Q31"/>
    <hyperlink r:id="rId14" ref="V34"/>
    <hyperlink r:id="rId15" ref="Q37"/>
    <hyperlink r:id="rId16" ref="Q38"/>
    <hyperlink r:id="rId17" ref="V39"/>
    <hyperlink r:id="rId18" ref="V40"/>
    <hyperlink r:id="rId19" ref="Q43"/>
    <hyperlink r:id="rId20" ref="C46"/>
    <hyperlink r:id="rId21" ref="V46"/>
    <hyperlink r:id="rId22" ref="W46"/>
    <hyperlink r:id="rId23" ref="V47"/>
    <hyperlink r:id="rId24" ref="Q49"/>
    <hyperlink r:id="rId25" ref="Q50"/>
    <hyperlink r:id="rId26" ref="Q52"/>
    <hyperlink r:id="rId27" ref="V52"/>
    <hyperlink r:id="rId28" ref="V53"/>
    <hyperlink r:id="rId29" ref="Q56"/>
    <hyperlink r:id="rId30" ref="V61"/>
    <hyperlink r:id="rId31" ref="Q63"/>
    <hyperlink r:id="rId32" ref="V65"/>
    <hyperlink r:id="rId33" ref="Q66"/>
    <hyperlink r:id="rId34" ref="Q68"/>
    <hyperlink r:id="rId35" ref="Q69"/>
    <hyperlink r:id="rId36" ref="V76"/>
    <hyperlink r:id="rId37" ref="Q77"/>
    <hyperlink r:id="rId38" ref="Q80"/>
    <hyperlink r:id="rId39" ref="V82"/>
    <hyperlink r:id="rId40" ref="Q83"/>
    <hyperlink r:id="rId41" ref="Q85"/>
    <hyperlink r:id="rId42" ref="Q86"/>
    <hyperlink r:id="rId43" ref="Q87"/>
    <hyperlink r:id="rId44" ref="Q88"/>
    <hyperlink r:id="rId45" ref="Q90"/>
    <hyperlink r:id="rId46" ref="V93"/>
    <hyperlink r:id="rId47" ref="V98"/>
    <hyperlink r:id="rId48" ref="Q101"/>
    <hyperlink r:id="rId49" ref="Q102"/>
    <hyperlink r:id="rId50" ref="V104"/>
    <hyperlink r:id="rId51" ref="Q105"/>
    <hyperlink r:id="rId52" ref="Q109"/>
    <hyperlink r:id="rId53" ref="Q112"/>
    <hyperlink r:id="rId54" ref="V113"/>
    <hyperlink r:id="rId55" ref="V114"/>
    <hyperlink r:id="rId56" ref="Q116"/>
    <hyperlink r:id="rId57" ref="Q117"/>
    <hyperlink r:id="rId58" ref="Q118"/>
    <hyperlink r:id="rId59" ref="V119"/>
    <hyperlink r:id="rId60" ref="Q124"/>
    <hyperlink r:id="rId61" ref="Q125"/>
    <hyperlink r:id="rId62" ref="Q126"/>
    <hyperlink r:id="rId63" ref="Q127"/>
    <hyperlink r:id="rId64" ref="Q128"/>
    <hyperlink r:id="rId65" ref="V128"/>
    <hyperlink r:id="rId66" ref="Q129"/>
    <hyperlink r:id="rId67" ref="Q131"/>
    <hyperlink r:id="rId68" ref="V131"/>
    <hyperlink r:id="rId69" ref="V132"/>
    <hyperlink r:id="rId70" ref="V133"/>
    <hyperlink r:id="rId71" ref="V134"/>
    <hyperlink r:id="rId72" ref="Q135"/>
    <hyperlink r:id="rId73" ref="Q136"/>
    <hyperlink r:id="rId74" ref="V137"/>
    <hyperlink r:id="rId75" ref="V138"/>
    <hyperlink r:id="rId76" ref="V139"/>
    <hyperlink r:id="rId77" ref="Q140"/>
    <hyperlink r:id="rId78" ref="V141"/>
    <hyperlink r:id="rId79" ref="V142"/>
    <hyperlink r:id="rId80" ref="Q145"/>
    <hyperlink r:id="rId81" ref="V146"/>
    <hyperlink r:id="rId82" ref="Q147"/>
    <hyperlink r:id="rId83" ref="V148"/>
    <hyperlink r:id="rId84" ref="V151"/>
    <hyperlink r:id="rId85" ref="Q152"/>
    <hyperlink r:id="rId86" ref="V152"/>
    <hyperlink r:id="rId87" ref="Q155"/>
    <hyperlink r:id="rId88" ref="V155"/>
    <hyperlink r:id="rId89" ref="Q156"/>
    <hyperlink r:id="rId90" ref="Q158"/>
    <hyperlink r:id="rId91" ref="V159"/>
    <hyperlink r:id="rId92" ref="W159"/>
    <hyperlink r:id="rId93" ref="V160"/>
    <hyperlink r:id="rId94" ref="V161"/>
    <hyperlink r:id="rId95" ref="Q162"/>
    <hyperlink r:id="rId96" ref="V162"/>
    <hyperlink r:id="rId97" ref="Q163"/>
    <hyperlink r:id="rId98" ref="Q164"/>
    <hyperlink r:id="rId99" ref="Q165"/>
    <hyperlink r:id="rId100" ref="V166"/>
    <hyperlink r:id="rId101" ref="W166"/>
    <hyperlink r:id="rId102" ref="V167"/>
    <hyperlink r:id="rId103" ref="W167"/>
    <hyperlink r:id="rId104" ref="Q168"/>
    <hyperlink r:id="rId105" ref="W168"/>
    <hyperlink r:id="rId106" ref="Q169"/>
    <hyperlink r:id="rId107" ref="W169"/>
    <hyperlink r:id="rId108" ref="Q170"/>
    <hyperlink r:id="rId109" ref="Q172"/>
    <hyperlink r:id="rId110" ref="Q173"/>
    <hyperlink r:id="rId111" ref="Q174"/>
    <hyperlink r:id="rId112" ref="Q175"/>
    <hyperlink r:id="rId113" ref="W175"/>
    <hyperlink r:id="rId114" ref="Q176"/>
    <hyperlink r:id="rId115" ref="Q177"/>
    <hyperlink r:id="rId116" ref="Q178"/>
    <hyperlink r:id="rId117" ref="Q179"/>
    <hyperlink r:id="rId118" ref="W179"/>
    <hyperlink r:id="rId119" ref="Q180"/>
    <hyperlink r:id="rId120" ref="Q181"/>
    <hyperlink r:id="rId121" ref="Q183"/>
    <hyperlink r:id="rId122" ref="V184"/>
    <hyperlink r:id="rId123" ref="V185"/>
    <hyperlink r:id="rId124" ref="V186"/>
    <hyperlink r:id="rId125" ref="V187"/>
    <hyperlink r:id="rId126" ref="Q188"/>
    <hyperlink r:id="rId127" ref="Q189"/>
    <hyperlink r:id="rId128" ref="Q190"/>
    <hyperlink r:id="rId129" ref="Q191"/>
    <hyperlink r:id="rId130" ref="Q192"/>
    <hyperlink r:id="rId131" ref="Q193"/>
    <hyperlink r:id="rId132" ref="Q194"/>
    <hyperlink r:id="rId133" ref="Q196"/>
    <hyperlink r:id="rId134" ref="Q197"/>
    <hyperlink r:id="rId135" ref="Q198"/>
    <hyperlink r:id="rId136" ref="W198"/>
    <hyperlink r:id="rId137" ref="V199"/>
    <hyperlink r:id="rId138" ref="Q203"/>
    <hyperlink r:id="rId139" ref="Q204"/>
    <hyperlink r:id="rId140" ref="Q205"/>
    <hyperlink r:id="rId141" ref="Q208"/>
    <hyperlink r:id="rId142" ref="Q213"/>
    <hyperlink r:id="rId143" ref="Q214"/>
    <hyperlink r:id="rId144" ref="Q215"/>
    <hyperlink r:id="rId145" ref="Q217"/>
    <hyperlink r:id="rId146" ref="Q218"/>
    <hyperlink r:id="rId147" ref="W222"/>
    <hyperlink r:id="rId148" ref="Q223"/>
    <hyperlink r:id="rId149" ref="Q227"/>
    <hyperlink r:id="rId150" ref="Q228"/>
    <hyperlink r:id="rId151" ref="W228"/>
    <hyperlink r:id="rId152" ref="Q229"/>
    <hyperlink r:id="rId153" ref="W229"/>
    <hyperlink r:id="rId154" ref="Q231"/>
    <hyperlink r:id="rId155" ref="W236"/>
    <hyperlink r:id="rId156" ref="W237"/>
    <hyperlink r:id="rId157" ref="W238"/>
    <hyperlink r:id="rId158" ref="Q240"/>
    <hyperlink r:id="rId159" ref="W240"/>
    <hyperlink r:id="rId160" ref="Q241"/>
    <hyperlink r:id="rId161" ref="Q242"/>
    <hyperlink r:id="rId162" ref="W242"/>
    <hyperlink r:id="rId163" ref="Q243"/>
    <hyperlink r:id="rId164" ref="W243"/>
    <hyperlink r:id="rId165" ref="W244"/>
    <hyperlink r:id="rId166" ref="Q245"/>
    <hyperlink r:id="rId167" ref="W245"/>
    <hyperlink r:id="rId168" ref="W246"/>
    <hyperlink r:id="rId169" ref="Q248"/>
    <hyperlink r:id="rId170" ref="W248"/>
    <hyperlink r:id="rId171" ref="Q249"/>
    <hyperlink r:id="rId172" ref="W249"/>
    <hyperlink r:id="rId173" ref="Q250"/>
    <hyperlink r:id="rId174" ref="W250"/>
    <hyperlink r:id="rId175" ref="W251"/>
    <hyperlink r:id="rId176" ref="Q252"/>
    <hyperlink r:id="rId177" ref="W252"/>
    <hyperlink r:id="rId178" ref="Q253"/>
    <hyperlink r:id="rId179" ref="W253"/>
    <hyperlink r:id="rId180" ref="W255"/>
    <hyperlink r:id="rId181" ref="Q256"/>
    <hyperlink r:id="rId182" ref="W256"/>
    <hyperlink r:id="rId183" ref="Q257"/>
    <hyperlink r:id="rId184" ref="W257"/>
    <hyperlink r:id="rId185" ref="Q260"/>
    <hyperlink r:id="rId186" ref="W260"/>
    <hyperlink r:id="rId187" ref="W261"/>
    <hyperlink r:id="rId188" ref="Q262"/>
    <hyperlink r:id="rId189" ref="W262"/>
    <hyperlink r:id="rId190" ref="W263"/>
    <hyperlink r:id="rId191" ref="W264"/>
    <hyperlink r:id="rId192" ref="Q266"/>
    <hyperlink r:id="rId193" ref="W266"/>
    <hyperlink r:id="rId194" ref="Q267"/>
    <hyperlink r:id="rId195" ref="W267"/>
    <hyperlink r:id="rId196" ref="Q268"/>
    <hyperlink r:id="rId197" ref="W270"/>
    <hyperlink r:id="rId198" ref="Q271"/>
    <hyperlink r:id="rId199" ref="W271"/>
    <hyperlink r:id="rId200" ref="W272"/>
    <hyperlink r:id="rId201" ref="Q273"/>
    <hyperlink r:id="rId202" ref="Q274"/>
    <hyperlink r:id="rId203" ref="W274"/>
    <hyperlink r:id="rId204" ref="Q275"/>
    <hyperlink r:id="rId205" ref="W275"/>
    <hyperlink r:id="rId206" ref="Q277"/>
    <hyperlink r:id="rId207" ref="Q279"/>
    <hyperlink r:id="rId208" ref="Q281"/>
    <hyperlink r:id="rId209" ref="Q284"/>
    <hyperlink r:id="rId210" ref="Q287"/>
    <hyperlink r:id="rId211" ref="Q288"/>
    <hyperlink r:id="rId212" ref="Q289"/>
    <hyperlink r:id="rId213" ref="Q292"/>
    <hyperlink r:id="rId214" ref="Q293"/>
    <hyperlink r:id="rId215" ref="Q295"/>
    <hyperlink r:id="rId216" ref="Q296"/>
    <hyperlink r:id="rId217" ref="Q297"/>
    <hyperlink r:id="rId218" ref="Q299"/>
    <hyperlink r:id="rId219" ref="Q304"/>
    <hyperlink r:id="rId220" ref="Q305"/>
    <hyperlink r:id="rId221" ref="Q308"/>
    <hyperlink r:id="rId222" ref="Q309"/>
    <hyperlink r:id="rId223" ref="Q310"/>
    <hyperlink r:id="rId224" ref="Q311"/>
    <hyperlink r:id="rId225" ref="Q314"/>
    <hyperlink r:id="rId226" ref="Q315"/>
    <hyperlink r:id="rId227" ref="Q319"/>
    <hyperlink r:id="rId228" ref="Q320"/>
    <hyperlink r:id="rId229" ref="Q321"/>
    <hyperlink r:id="rId230" ref="Q323"/>
    <hyperlink r:id="rId231" ref="Q324"/>
    <hyperlink r:id="rId232" ref="Q327"/>
    <hyperlink r:id="rId233" ref="Q330"/>
    <hyperlink r:id="rId234" ref="Q331"/>
    <hyperlink r:id="rId235" ref="Q332"/>
    <hyperlink r:id="rId236" ref="Q333"/>
    <hyperlink r:id="rId237" ref="Q334"/>
    <hyperlink r:id="rId238" ref="Q335"/>
    <hyperlink r:id="rId239" ref="Q336"/>
    <hyperlink r:id="rId240" ref="Q337"/>
    <hyperlink r:id="rId241" ref="Q339"/>
    <hyperlink r:id="rId242" ref="Q340"/>
    <hyperlink r:id="rId243" ref="Q341"/>
    <hyperlink r:id="rId244" ref="Q342"/>
    <hyperlink r:id="rId245" ref="Q343"/>
    <hyperlink r:id="rId246" ref="Q344"/>
    <hyperlink r:id="rId247" ref="Q345"/>
    <hyperlink r:id="rId248" ref="Q346"/>
    <hyperlink r:id="rId249" ref="Q347"/>
    <hyperlink r:id="rId250" ref="Q348"/>
    <hyperlink r:id="rId251" ref="Q350"/>
    <hyperlink r:id="rId252" ref="Q351"/>
    <hyperlink r:id="rId253" ref="Q355"/>
    <hyperlink r:id="rId254" ref="Q356"/>
  </hyperlinks>
  <drawing r:id="rId25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8" max="8" width="19.57"/>
  </cols>
  <sheetData>
    <row r="1">
      <c r="A1" s="11" t="s">
        <v>1784</v>
      </c>
      <c r="B1" s="11" t="s">
        <v>1</v>
      </c>
      <c r="C1" s="11" t="s">
        <v>1785</v>
      </c>
      <c r="D1" s="11" t="s">
        <v>1786</v>
      </c>
      <c r="E1" s="11" t="s">
        <v>200</v>
      </c>
      <c r="F1" s="11" t="s">
        <v>12</v>
      </c>
      <c r="G1" s="11" t="s">
        <v>1787</v>
      </c>
      <c r="H1" s="11" t="s">
        <v>3</v>
      </c>
    </row>
    <row r="2">
      <c r="B2" s="11" t="s">
        <v>1788</v>
      </c>
      <c r="C2" s="11"/>
      <c r="D2" s="114">
        <v>46035.0</v>
      </c>
      <c r="E2" s="11" t="s">
        <v>1789</v>
      </c>
      <c r="G2" s="11" t="s">
        <v>1790</v>
      </c>
      <c r="H2" s="11" t="s">
        <v>1791</v>
      </c>
    </row>
    <row r="3">
      <c r="B3" s="11" t="s">
        <v>1792</v>
      </c>
      <c r="C3" s="11"/>
      <c r="D3" s="114">
        <v>46042.0</v>
      </c>
      <c r="E3" s="11" t="s">
        <v>1789</v>
      </c>
      <c r="G3" s="11" t="s">
        <v>1790</v>
      </c>
      <c r="H3" s="11" t="s">
        <v>1791</v>
      </c>
    </row>
    <row r="4">
      <c r="B4" s="11" t="s">
        <v>1793</v>
      </c>
      <c r="C4" s="11" t="s">
        <v>187</v>
      </c>
      <c r="D4" s="114">
        <v>46049.0</v>
      </c>
      <c r="E4" s="11" t="s">
        <v>1789</v>
      </c>
      <c r="F4" s="11" t="s">
        <v>1794</v>
      </c>
      <c r="H4" s="11" t="s">
        <v>1795</v>
      </c>
    </row>
    <row r="5">
      <c r="B5" s="11" t="s">
        <v>1796</v>
      </c>
      <c r="C5" s="11" t="s">
        <v>80</v>
      </c>
      <c r="D5" s="114">
        <v>46049.0</v>
      </c>
      <c r="E5" s="11" t="s">
        <v>1789</v>
      </c>
      <c r="F5" s="11" t="s">
        <v>1794</v>
      </c>
      <c r="H5" s="11" t="s">
        <v>1797</v>
      </c>
    </row>
    <row r="6">
      <c r="B6" s="11" t="s">
        <v>1798</v>
      </c>
      <c r="C6" s="11" t="s">
        <v>1799</v>
      </c>
      <c r="D6" s="114">
        <v>46051.0</v>
      </c>
      <c r="E6" s="11" t="s">
        <v>1789</v>
      </c>
      <c r="G6" s="11" t="s">
        <v>1790</v>
      </c>
      <c r="H6" s="11" t="s">
        <v>1791</v>
      </c>
    </row>
    <row r="7">
      <c r="B7" s="11" t="s">
        <v>1800</v>
      </c>
      <c r="C7" s="11" t="s">
        <v>1801</v>
      </c>
      <c r="D7" s="114">
        <v>46051.0</v>
      </c>
      <c r="E7" s="11" t="s">
        <v>1789</v>
      </c>
      <c r="G7" s="11" t="s">
        <v>1790</v>
      </c>
      <c r="H7" s="11" t="s">
        <v>1791</v>
      </c>
    </row>
    <row r="8">
      <c r="B8" s="11" t="s">
        <v>1802</v>
      </c>
      <c r="D8" s="114">
        <v>46052.0</v>
      </c>
      <c r="E8" s="11" t="s">
        <v>1789</v>
      </c>
      <c r="G8" s="11" t="s">
        <v>1790</v>
      </c>
      <c r="H8" s="11" t="s">
        <v>1791</v>
      </c>
    </row>
    <row r="9">
      <c r="B9" s="11" t="s">
        <v>1803</v>
      </c>
      <c r="D9" s="114">
        <v>46052.0</v>
      </c>
      <c r="E9" s="11" t="s">
        <v>1789</v>
      </c>
      <c r="G9" s="11" t="s">
        <v>1790</v>
      </c>
      <c r="H9" s="11" t="s">
        <v>1791</v>
      </c>
    </row>
    <row r="10">
      <c r="H10" s="115"/>
    </row>
    <row r="11">
      <c r="H11" s="115"/>
    </row>
    <row r="12">
      <c r="H12" s="115"/>
    </row>
    <row r="13">
      <c r="H13" s="115"/>
    </row>
    <row r="14">
      <c r="H14" s="115"/>
    </row>
    <row r="15">
      <c r="H15" s="115"/>
    </row>
    <row r="16">
      <c r="H16" s="115"/>
    </row>
    <row r="17">
      <c r="H17" s="115"/>
    </row>
    <row r="18">
      <c r="H18" s="115"/>
    </row>
    <row r="19">
      <c r="H19" s="115"/>
    </row>
    <row r="20">
      <c r="H20" s="115"/>
    </row>
    <row r="21">
      <c r="H21" s="115"/>
    </row>
    <row r="22">
      <c r="H22" s="115"/>
    </row>
    <row r="23">
      <c r="H23" s="115"/>
    </row>
    <row r="24">
      <c r="H24" s="115"/>
    </row>
    <row r="25">
      <c r="H25" s="115"/>
    </row>
    <row r="26">
      <c r="H26" s="115"/>
    </row>
    <row r="27">
      <c r="H27" s="115"/>
    </row>
    <row r="28">
      <c r="H28" s="115"/>
    </row>
    <row r="29">
      <c r="H29" s="115"/>
    </row>
    <row r="30">
      <c r="H30" s="115"/>
    </row>
    <row r="31">
      <c r="H31" s="115"/>
    </row>
    <row r="32">
      <c r="H32" s="115"/>
    </row>
    <row r="33">
      <c r="H33" s="115"/>
    </row>
    <row r="34">
      <c r="H34" s="115"/>
    </row>
    <row r="35">
      <c r="H35" s="115"/>
    </row>
    <row r="36">
      <c r="H36" s="115"/>
    </row>
    <row r="37">
      <c r="H37" s="115"/>
    </row>
    <row r="38">
      <c r="H38" s="115"/>
    </row>
    <row r="39">
      <c r="H39" s="115"/>
    </row>
    <row r="40">
      <c r="H40" s="115"/>
    </row>
    <row r="41">
      <c r="H41" s="115"/>
    </row>
    <row r="42">
      <c r="H42" s="115"/>
    </row>
    <row r="43">
      <c r="H43" s="115"/>
    </row>
    <row r="44">
      <c r="H44" s="115"/>
    </row>
    <row r="45">
      <c r="H45" s="115"/>
    </row>
    <row r="46">
      <c r="H46" s="115"/>
    </row>
    <row r="47">
      <c r="H47" s="115"/>
    </row>
    <row r="48">
      <c r="H48" s="115"/>
    </row>
    <row r="49">
      <c r="H49" s="115"/>
    </row>
    <row r="50">
      <c r="H50" s="115"/>
    </row>
    <row r="51">
      <c r="H51" s="115"/>
    </row>
    <row r="52">
      <c r="H52" s="115"/>
    </row>
    <row r="53">
      <c r="H53" s="115"/>
    </row>
    <row r="54">
      <c r="H54" s="115"/>
    </row>
    <row r="55">
      <c r="H55" s="115"/>
    </row>
    <row r="56">
      <c r="H56" s="115"/>
    </row>
    <row r="57">
      <c r="H57" s="115"/>
    </row>
    <row r="58">
      <c r="H58" s="115"/>
    </row>
    <row r="59">
      <c r="H59" s="115"/>
    </row>
    <row r="60">
      <c r="H60" s="115"/>
    </row>
    <row r="61">
      <c r="H61" s="115"/>
    </row>
    <row r="62">
      <c r="H62" s="115"/>
    </row>
    <row r="63">
      <c r="H63" s="115"/>
    </row>
    <row r="64">
      <c r="H64" s="115"/>
    </row>
    <row r="65">
      <c r="H65" s="115"/>
    </row>
    <row r="66">
      <c r="H66" s="115"/>
    </row>
    <row r="67">
      <c r="H67" s="115"/>
    </row>
    <row r="68">
      <c r="H68" s="115"/>
    </row>
    <row r="69">
      <c r="H69" s="115"/>
    </row>
    <row r="70">
      <c r="H70" s="115"/>
    </row>
    <row r="71">
      <c r="H71" s="115"/>
    </row>
    <row r="72">
      <c r="H72" s="115"/>
    </row>
    <row r="73">
      <c r="H73" s="115"/>
    </row>
    <row r="74">
      <c r="H74" s="115"/>
    </row>
    <row r="75">
      <c r="H75" s="115"/>
    </row>
    <row r="76">
      <c r="H76" s="115"/>
    </row>
    <row r="77">
      <c r="H77" s="115"/>
    </row>
    <row r="78">
      <c r="H78" s="115"/>
    </row>
    <row r="79">
      <c r="H79" s="115"/>
    </row>
    <row r="80">
      <c r="H80" s="115"/>
    </row>
    <row r="81">
      <c r="H81" s="115"/>
    </row>
    <row r="82">
      <c r="H82" s="115"/>
    </row>
    <row r="83">
      <c r="H83" s="115"/>
    </row>
    <row r="84">
      <c r="H84" s="115"/>
    </row>
    <row r="85">
      <c r="H85" s="115"/>
    </row>
    <row r="86">
      <c r="H86" s="115"/>
    </row>
    <row r="87">
      <c r="H87" s="115"/>
    </row>
    <row r="88">
      <c r="H88" s="115"/>
    </row>
    <row r="89">
      <c r="H89" s="115"/>
    </row>
    <row r="90">
      <c r="H90" s="115"/>
    </row>
    <row r="91">
      <c r="H91" s="115"/>
    </row>
    <row r="92">
      <c r="H92" s="115"/>
    </row>
    <row r="93">
      <c r="H93" s="115"/>
    </row>
    <row r="94">
      <c r="H94" s="115"/>
    </row>
    <row r="95">
      <c r="H95" s="115"/>
    </row>
    <row r="96">
      <c r="H96" s="115"/>
    </row>
    <row r="97">
      <c r="H97" s="115"/>
    </row>
    <row r="98">
      <c r="H98" s="115"/>
    </row>
    <row r="99">
      <c r="H99" s="115"/>
    </row>
    <row r="100">
      <c r="H100" s="115"/>
    </row>
    <row r="101">
      <c r="H101" s="115"/>
    </row>
    <row r="102">
      <c r="H102" s="115"/>
    </row>
    <row r="103">
      <c r="H103" s="115"/>
    </row>
    <row r="104">
      <c r="H104" s="115"/>
    </row>
    <row r="105">
      <c r="H105" s="115"/>
    </row>
    <row r="106">
      <c r="H106" s="115"/>
    </row>
    <row r="107">
      <c r="H107" s="115"/>
    </row>
    <row r="108">
      <c r="H108" s="115"/>
    </row>
    <row r="109">
      <c r="H109" s="115"/>
    </row>
    <row r="110">
      <c r="H110" s="115"/>
    </row>
    <row r="111">
      <c r="H111" s="115"/>
    </row>
    <row r="112">
      <c r="H112" s="115"/>
    </row>
    <row r="113">
      <c r="H113" s="115"/>
    </row>
    <row r="114">
      <c r="H114" s="115"/>
    </row>
    <row r="115">
      <c r="H115" s="115"/>
    </row>
    <row r="116">
      <c r="H116" s="115"/>
    </row>
    <row r="117">
      <c r="H117" s="115"/>
    </row>
    <row r="118">
      <c r="H118" s="115"/>
    </row>
    <row r="119">
      <c r="H119" s="115"/>
    </row>
    <row r="120">
      <c r="H120" s="115"/>
    </row>
    <row r="121">
      <c r="H121" s="115"/>
    </row>
    <row r="122">
      <c r="H122" s="115"/>
    </row>
    <row r="123">
      <c r="H123" s="115"/>
    </row>
    <row r="124">
      <c r="H124" s="115"/>
    </row>
    <row r="125">
      <c r="H125" s="115"/>
    </row>
    <row r="126">
      <c r="H126" s="115"/>
    </row>
    <row r="127">
      <c r="H127" s="115"/>
    </row>
    <row r="128">
      <c r="H128" s="115"/>
    </row>
    <row r="129">
      <c r="H129" s="115"/>
    </row>
    <row r="130">
      <c r="H130" s="115"/>
    </row>
    <row r="131">
      <c r="H131" s="115"/>
    </row>
    <row r="132">
      <c r="H132" s="115"/>
    </row>
    <row r="133">
      <c r="H133" s="115"/>
    </row>
    <row r="134">
      <c r="H134" s="115"/>
    </row>
    <row r="135">
      <c r="H135" s="115"/>
    </row>
    <row r="136">
      <c r="H136" s="115"/>
    </row>
    <row r="137">
      <c r="H137" s="115"/>
    </row>
    <row r="138">
      <c r="H138" s="115"/>
    </row>
    <row r="139">
      <c r="H139" s="115"/>
    </row>
    <row r="140">
      <c r="H140" s="115"/>
    </row>
    <row r="141">
      <c r="H141" s="115"/>
    </row>
    <row r="142">
      <c r="H142" s="115"/>
    </row>
    <row r="143">
      <c r="H143" s="115"/>
    </row>
    <row r="144">
      <c r="H144" s="115"/>
    </row>
    <row r="145">
      <c r="H145" s="115"/>
    </row>
    <row r="146">
      <c r="H146" s="115"/>
    </row>
    <row r="147">
      <c r="H147" s="115"/>
    </row>
    <row r="148">
      <c r="H148" s="115"/>
    </row>
    <row r="149">
      <c r="H149" s="115"/>
    </row>
    <row r="150">
      <c r="H150" s="115"/>
    </row>
    <row r="151">
      <c r="H151" s="115"/>
    </row>
    <row r="152">
      <c r="H152" s="115"/>
    </row>
    <row r="153">
      <c r="H153" s="115"/>
    </row>
    <row r="154">
      <c r="H154" s="115"/>
    </row>
    <row r="155">
      <c r="H155" s="115"/>
    </row>
    <row r="156">
      <c r="H156" s="115"/>
    </row>
    <row r="157">
      <c r="H157" s="115"/>
    </row>
    <row r="158">
      <c r="H158" s="115"/>
    </row>
    <row r="159">
      <c r="H159" s="115"/>
    </row>
    <row r="160">
      <c r="H160" s="115"/>
    </row>
    <row r="161">
      <c r="H161" s="115"/>
    </row>
    <row r="162">
      <c r="H162" s="115"/>
    </row>
    <row r="163">
      <c r="H163" s="115"/>
    </row>
    <row r="164">
      <c r="H164" s="115"/>
    </row>
    <row r="165">
      <c r="H165" s="115"/>
    </row>
    <row r="166">
      <c r="H166" s="115"/>
    </row>
    <row r="167">
      <c r="H167" s="115"/>
    </row>
    <row r="168">
      <c r="H168" s="115"/>
    </row>
    <row r="169">
      <c r="H169" s="115"/>
    </row>
    <row r="170">
      <c r="H170" s="115"/>
    </row>
    <row r="171">
      <c r="H171" s="115"/>
    </row>
    <row r="172">
      <c r="H172" s="115"/>
    </row>
    <row r="173">
      <c r="H173" s="115"/>
    </row>
    <row r="174">
      <c r="H174" s="115"/>
    </row>
    <row r="175">
      <c r="H175" s="115"/>
    </row>
    <row r="176">
      <c r="H176" s="115"/>
    </row>
    <row r="177">
      <c r="H177" s="115"/>
    </row>
    <row r="178">
      <c r="H178" s="115"/>
    </row>
    <row r="179">
      <c r="H179" s="115"/>
    </row>
    <row r="180">
      <c r="H180" s="115"/>
    </row>
    <row r="181">
      <c r="H181" s="115"/>
    </row>
    <row r="182">
      <c r="H182" s="115"/>
    </row>
    <row r="183">
      <c r="H183" s="115"/>
    </row>
    <row r="184">
      <c r="H184" s="115"/>
    </row>
    <row r="185">
      <c r="H185" s="115"/>
    </row>
    <row r="186">
      <c r="H186" s="115"/>
    </row>
    <row r="187">
      <c r="H187" s="115"/>
    </row>
    <row r="188">
      <c r="H188" s="115"/>
    </row>
    <row r="189">
      <c r="H189" s="115"/>
    </row>
    <row r="190">
      <c r="H190" s="115"/>
    </row>
    <row r="191">
      <c r="H191" s="115"/>
    </row>
    <row r="192">
      <c r="H192" s="115"/>
    </row>
    <row r="193">
      <c r="H193" s="115"/>
    </row>
    <row r="194">
      <c r="H194" s="115"/>
    </row>
    <row r="195">
      <c r="H195" s="115"/>
    </row>
    <row r="196">
      <c r="H196" s="115"/>
    </row>
    <row r="197">
      <c r="H197" s="115"/>
    </row>
    <row r="198">
      <c r="H198" s="115"/>
    </row>
    <row r="199">
      <c r="H199" s="115"/>
    </row>
    <row r="200">
      <c r="H200" s="115"/>
    </row>
    <row r="201">
      <c r="H201" s="115"/>
    </row>
    <row r="202">
      <c r="H202" s="115"/>
    </row>
    <row r="203">
      <c r="H203" s="115"/>
    </row>
    <row r="204">
      <c r="H204" s="115"/>
    </row>
    <row r="205">
      <c r="H205" s="115"/>
    </row>
    <row r="206">
      <c r="H206" s="115"/>
    </row>
    <row r="207">
      <c r="H207" s="115"/>
    </row>
    <row r="208">
      <c r="H208" s="115"/>
    </row>
    <row r="209">
      <c r="H209" s="115"/>
    </row>
    <row r="210">
      <c r="H210" s="115"/>
    </row>
    <row r="211">
      <c r="H211" s="115"/>
    </row>
    <row r="212">
      <c r="H212" s="115"/>
    </row>
    <row r="213">
      <c r="H213" s="115"/>
    </row>
    <row r="214">
      <c r="H214" s="115"/>
    </row>
    <row r="215">
      <c r="H215" s="115"/>
    </row>
    <row r="216">
      <c r="H216" s="115"/>
    </row>
    <row r="217">
      <c r="H217" s="115"/>
    </row>
    <row r="218">
      <c r="H218" s="115"/>
    </row>
    <row r="219">
      <c r="H219" s="115"/>
    </row>
    <row r="220">
      <c r="H220" s="115"/>
    </row>
    <row r="221">
      <c r="H221" s="115"/>
    </row>
    <row r="222">
      <c r="H222" s="115"/>
    </row>
    <row r="223">
      <c r="H223" s="115"/>
    </row>
    <row r="224">
      <c r="H224" s="115"/>
    </row>
    <row r="225">
      <c r="H225" s="115"/>
    </row>
    <row r="226">
      <c r="H226" s="115"/>
    </row>
    <row r="227">
      <c r="H227" s="115"/>
    </row>
    <row r="228">
      <c r="H228" s="115"/>
    </row>
    <row r="229">
      <c r="H229" s="115"/>
    </row>
    <row r="230">
      <c r="H230" s="115"/>
    </row>
    <row r="231">
      <c r="H231" s="115"/>
    </row>
    <row r="232">
      <c r="H232" s="115"/>
    </row>
    <row r="233">
      <c r="H233" s="115"/>
    </row>
    <row r="234">
      <c r="H234" s="115"/>
    </row>
    <row r="235">
      <c r="H235" s="115"/>
    </row>
    <row r="236">
      <c r="H236" s="115"/>
    </row>
    <row r="237">
      <c r="H237" s="115"/>
    </row>
    <row r="238">
      <c r="H238" s="115"/>
    </row>
    <row r="239">
      <c r="H239" s="115"/>
    </row>
    <row r="240">
      <c r="H240" s="115"/>
    </row>
    <row r="241">
      <c r="H241" s="115"/>
    </row>
    <row r="242">
      <c r="H242" s="115"/>
    </row>
    <row r="243">
      <c r="H243" s="115"/>
    </row>
    <row r="244">
      <c r="H244" s="115"/>
    </row>
    <row r="245">
      <c r="H245" s="115"/>
    </row>
    <row r="246">
      <c r="H246" s="115"/>
    </row>
    <row r="247">
      <c r="H247" s="115"/>
    </row>
    <row r="248">
      <c r="H248" s="115"/>
    </row>
    <row r="249">
      <c r="H249" s="115"/>
    </row>
    <row r="250">
      <c r="H250" s="115"/>
    </row>
    <row r="251">
      <c r="H251" s="115"/>
    </row>
    <row r="252">
      <c r="H252" s="115"/>
    </row>
    <row r="253">
      <c r="H253" s="115"/>
    </row>
    <row r="254">
      <c r="H254" s="115"/>
    </row>
    <row r="255">
      <c r="H255" s="115"/>
    </row>
    <row r="256">
      <c r="H256" s="115"/>
    </row>
    <row r="257">
      <c r="H257" s="115"/>
    </row>
    <row r="258">
      <c r="H258" s="115"/>
    </row>
    <row r="259">
      <c r="H259" s="115"/>
    </row>
    <row r="260">
      <c r="H260" s="115"/>
    </row>
    <row r="261">
      <c r="H261" s="115"/>
    </row>
    <row r="262">
      <c r="H262" s="115"/>
    </row>
    <row r="263">
      <c r="H263" s="115"/>
    </row>
    <row r="264">
      <c r="H264" s="115"/>
    </row>
    <row r="265">
      <c r="H265" s="115"/>
    </row>
    <row r="266">
      <c r="H266" s="115"/>
    </row>
    <row r="267">
      <c r="H267" s="115"/>
    </row>
    <row r="268">
      <c r="H268" s="115"/>
    </row>
    <row r="269">
      <c r="H269" s="115"/>
    </row>
    <row r="270">
      <c r="H270" s="115"/>
    </row>
    <row r="271">
      <c r="H271" s="115"/>
    </row>
    <row r="272">
      <c r="H272" s="115"/>
    </row>
    <row r="273">
      <c r="H273" s="115"/>
    </row>
    <row r="274">
      <c r="H274" s="115"/>
    </row>
    <row r="275">
      <c r="H275" s="115"/>
    </row>
    <row r="276">
      <c r="H276" s="115"/>
    </row>
    <row r="277">
      <c r="H277" s="115"/>
    </row>
    <row r="278">
      <c r="H278" s="115"/>
    </row>
    <row r="279">
      <c r="H279" s="115"/>
    </row>
    <row r="280">
      <c r="H280" s="115"/>
    </row>
    <row r="281">
      <c r="H281" s="115"/>
    </row>
    <row r="282">
      <c r="H282" s="115"/>
    </row>
    <row r="283">
      <c r="H283" s="115"/>
    </row>
    <row r="284">
      <c r="H284" s="115"/>
    </row>
    <row r="285">
      <c r="H285" s="115"/>
    </row>
    <row r="286">
      <c r="H286" s="115"/>
    </row>
    <row r="287">
      <c r="H287" s="115"/>
    </row>
    <row r="288">
      <c r="H288" s="115"/>
    </row>
    <row r="289">
      <c r="H289" s="115"/>
    </row>
    <row r="290">
      <c r="H290" s="115"/>
    </row>
    <row r="291">
      <c r="H291" s="115"/>
    </row>
    <row r="292">
      <c r="H292" s="115"/>
    </row>
    <row r="293">
      <c r="H293" s="115"/>
    </row>
    <row r="294">
      <c r="H294" s="115"/>
    </row>
    <row r="295">
      <c r="H295" s="115"/>
    </row>
    <row r="296">
      <c r="H296" s="115"/>
    </row>
    <row r="297">
      <c r="H297" s="115"/>
    </row>
    <row r="298">
      <c r="H298" s="115"/>
    </row>
    <row r="299">
      <c r="H299" s="115"/>
    </row>
    <row r="300">
      <c r="H300" s="115"/>
    </row>
    <row r="301">
      <c r="H301" s="115"/>
    </row>
    <row r="302">
      <c r="H302" s="115"/>
    </row>
    <row r="303">
      <c r="H303" s="115"/>
    </row>
    <row r="304">
      <c r="H304" s="115"/>
    </row>
    <row r="305">
      <c r="H305" s="115"/>
    </row>
    <row r="306">
      <c r="H306" s="115"/>
    </row>
    <row r="307">
      <c r="H307" s="115"/>
    </row>
    <row r="308">
      <c r="H308" s="115"/>
    </row>
    <row r="309">
      <c r="H309" s="115"/>
    </row>
    <row r="310">
      <c r="H310" s="115"/>
    </row>
    <row r="311">
      <c r="H311" s="115"/>
    </row>
    <row r="312">
      <c r="H312" s="115"/>
    </row>
    <row r="313">
      <c r="H313" s="115"/>
    </row>
    <row r="314">
      <c r="H314" s="115"/>
    </row>
    <row r="315">
      <c r="H315" s="115"/>
    </row>
    <row r="316">
      <c r="H316" s="115"/>
    </row>
    <row r="317">
      <c r="H317" s="115"/>
    </row>
    <row r="318">
      <c r="H318" s="115"/>
    </row>
    <row r="319">
      <c r="H319" s="115"/>
    </row>
    <row r="320">
      <c r="H320" s="115"/>
    </row>
    <row r="321">
      <c r="H321" s="115"/>
    </row>
    <row r="322">
      <c r="H322" s="115"/>
    </row>
    <row r="323">
      <c r="H323" s="115"/>
    </row>
    <row r="324">
      <c r="H324" s="115"/>
    </row>
    <row r="325">
      <c r="H325" s="115"/>
    </row>
    <row r="326">
      <c r="H326" s="115"/>
    </row>
    <row r="327">
      <c r="H327" s="115"/>
    </row>
    <row r="328">
      <c r="H328" s="115"/>
    </row>
    <row r="329">
      <c r="H329" s="115"/>
    </row>
    <row r="330">
      <c r="H330" s="115"/>
    </row>
    <row r="331">
      <c r="H331" s="115"/>
    </row>
    <row r="332">
      <c r="H332" s="115"/>
    </row>
    <row r="333">
      <c r="H333" s="115"/>
    </row>
    <row r="334">
      <c r="H334" s="115"/>
    </row>
    <row r="335">
      <c r="H335" s="115"/>
    </row>
    <row r="336">
      <c r="H336" s="115"/>
    </row>
    <row r="337">
      <c r="H337" s="115"/>
    </row>
    <row r="338">
      <c r="H338" s="115"/>
    </row>
    <row r="339">
      <c r="H339" s="115"/>
    </row>
    <row r="340">
      <c r="H340" s="115"/>
    </row>
    <row r="341">
      <c r="H341" s="115"/>
    </row>
    <row r="342">
      <c r="H342" s="115"/>
    </row>
    <row r="343">
      <c r="H343" s="115"/>
    </row>
    <row r="344">
      <c r="H344" s="115"/>
    </row>
    <row r="345">
      <c r="H345" s="115"/>
    </row>
    <row r="346">
      <c r="H346" s="115"/>
    </row>
    <row r="347">
      <c r="H347" s="115"/>
    </row>
    <row r="348">
      <c r="H348" s="115"/>
    </row>
    <row r="349">
      <c r="H349" s="115"/>
    </row>
    <row r="350">
      <c r="H350" s="115"/>
    </row>
    <row r="351">
      <c r="H351" s="115"/>
    </row>
    <row r="352">
      <c r="H352" s="115"/>
    </row>
    <row r="353">
      <c r="H353" s="115"/>
    </row>
    <row r="354">
      <c r="H354" s="115"/>
    </row>
    <row r="355">
      <c r="H355" s="115"/>
    </row>
    <row r="356">
      <c r="H356" s="115"/>
    </row>
    <row r="357">
      <c r="H357" s="115"/>
    </row>
    <row r="358">
      <c r="H358" s="115"/>
    </row>
    <row r="359">
      <c r="H359" s="115"/>
    </row>
    <row r="360">
      <c r="H360" s="115"/>
    </row>
    <row r="361">
      <c r="H361" s="115"/>
    </row>
    <row r="362">
      <c r="H362" s="115"/>
    </row>
    <row r="363">
      <c r="H363" s="115"/>
    </row>
    <row r="364">
      <c r="H364" s="115"/>
    </row>
    <row r="365">
      <c r="H365" s="115"/>
    </row>
    <row r="366">
      <c r="H366" s="115"/>
    </row>
    <row r="367">
      <c r="H367" s="115"/>
    </row>
    <row r="368">
      <c r="H368" s="115"/>
    </row>
    <row r="369">
      <c r="H369" s="115"/>
    </row>
    <row r="370">
      <c r="H370" s="115"/>
    </row>
    <row r="371">
      <c r="H371" s="115"/>
    </row>
    <row r="372">
      <c r="H372" s="115"/>
    </row>
    <row r="373">
      <c r="H373" s="115"/>
    </row>
    <row r="374">
      <c r="H374" s="115"/>
    </row>
    <row r="375">
      <c r="H375" s="115"/>
    </row>
    <row r="376">
      <c r="H376" s="115"/>
    </row>
    <row r="377">
      <c r="H377" s="115"/>
    </row>
    <row r="378">
      <c r="H378" s="115"/>
    </row>
    <row r="379">
      <c r="H379" s="115"/>
    </row>
    <row r="380">
      <c r="H380" s="115"/>
    </row>
    <row r="381">
      <c r="H381" s="115"/>
    </row>
    <row r="382">
      <c r="H382" s="115"/>
    </row>
    <row r="383">
      <c r="H383" s="115"/>
    </row>
    <row r="384">
      <c r="H384" s="115"/>
    </row>
    <row r="385">
      <c r="H385" s="115"/>
    </row>
    <row r="386">
      <c r="H386" s="115"/>
    </row>
    <row r="387">
      <c r="H387" s="115"/>
    </row>
    <row r="388">
      <c r="H388" s="115"/>
    </row>
    <row r="389">
      <c r="H389" s="115"/>
    </row>
    <row r="390">
      <c r="H390" s="115"/>
    </row>
    <row r="391">
      <c r="H391" s="115"/>
    </row>
    <row r="392">
      <c r="H392" s="115"/>
    </row>
    <row r="393">
      <c r="H393" s="115"/>
    </row>
    <row r="394">
      <c r="H394" s="115"/>
    </row>
    <row r="395">
      <c r="H395" s="115"/>
    </row>
    <row r="396">
      <c r="H396" s="115"/>
    </row>
    <row r="397">
      <c r="H397" s="115"/>
    </row>
    <row r="398">
      <c r="H398" s="115"/>
    </row>
    <row r="399">
      <c r="H399" s="115"/>
    </row>
    <row r="400">
      <c r="H400" s="115"/>
    </row>
    <row r="401">
      <c r="H401" s="115"/>
    </row>
    <row r="402">
      <c r="H402" s="115"/>
    </row>
    <row r="403">
      <c r="H403" s="115"/>
    </row>
    <row r="404">
      <c r="H404" s="115"/>
    </row>
    <row r="405">
      <c r="H405" s="115"/>
    </row>
    <row r="406">
      <c r="H406" s="115"/>
    </row>
    <row r="407">
      <c r="H407" s="115"/>
    </row>
    <row r="408">
      <c r="H408" s="115"/>
    </row>
    <row r="409">
      <c r="H409" s="115"/>
    </row>
    <row r="410">
      <c r="H410" s="115"/>
    </row>
    <row r="411">
      <c r="H411" s="115"/>
    </row>
    <row r="412">
      <c r="H412" s="115"/>
    </row>
    <row r="413">
      <c r="H413" s="115"/>
    </row>
    <row r="414">
      <c r="H414" s="115"/>
    </row>
    <row r="415">
      <c r="H415" s="115"/>
    </row>
    <row r="416">
      <c r="H416" s="115"/>
    </row>
    <row r="417">
      <c r="H417" s="115"/>
    </row>
    <row r="418">
      <c r="H418" s="115"/>
    </row>
    <row r="419">
      <c r="H419" s="115"/>
    </row>
    <row r="420">
      <c r="H420" s="115"/>
    </row>
    <row r="421">
      <c r="H421" s="115"/>
    </row>
    <row r="422">
      <c r="H422" s="115"/>
    </row>
    <row r="423">
      <c r="H423" s="115"/>
    </row>
    <row r="424">
      <c r="H424" s="115"/>
    </row>
    <row r="425">
      <c r="H425" s="115"/>
    </row>
    <row r="426">
      <c r="H426" s="115"/>
    </row>
    <row r="427">
      <c r="H427" s="115"/>
    </row>
    <row r="428">
      <c r="H428" s="115"/>
    </row>
    <row r="429">
      <c r="H429" s="115"/>
    </row>
    <row r="430">
      <c r="H430" s="115"/>
    </row>
    <row r="431">
      <c r="H431" s="115"/>
    </row>
    <row r="432">
      <c r="H432" s="115"/>
    </row>
    <row r="433">
      <c r="H433" s="115"/>
    </row>
    <row r="434">
      <c r="H434" s="115"/>
    </row>
    <row r="435">
      <c r="H435" s="115"/>
    </row>
    <row r="436">
      <c r="H436" s="115"/>
    </row>
    <row r="437">
      <c r="H437" s="115"/>
    </row>
    <row r="438">
      <c r="H438" s="115"/>
    </row>
    <row r="439">
      <c r="H439" s="115"/>
    </row>
    <row r="440">
      <c r="H440" s="115"/>
    </row>
    <row r="441">
      <c r="H441" s="115"/>
    </row>
    <row r="442">
      <c r="H442" s="115"/>
    </row>
    <row r="443">
      <c r="H443" s="115"/>
    </row>
    <row r="444">
      <c r="H444" s="115"/>
    </row>
    <row r="445">
      <c r="H445" s="115"/>
    </row>
    <row r="446">
      <c r="H446" s="115"/>
    </row>
    <row r="447">
      <c r="H447" s="115"/>
    </row>
    <row r="448">
      <c r="H448" s="115"/>
    </row>
    <row r="449">
      <c r="H449" s="115"/>
    </row>
    <row r="450">
      <c r="H450" s="115"/>
    </row>
    <row r="451">
      <c r="H451" s="115"/>
    </row>
    <row r="452">
      <c r="H452" s="115"/>
    </row>
    <row r="453">
      <c r="H453" s="115"/>
    </row>
    <row r="454">
      <c r="H454" s="115"/>
    </row>
    <row r="455">
      <c r="H455" s="115"/>
    </row>
    <row r="456">
      <c r="H456" s="115"/>
    </row>
    <row r="457">
      <c r="H457" s="115"/>
    </row>
    <row r="458">
      <c r="H458" s="115"/>
    </row>
    <row r="459">
      <c r="H459" s="115"/>
    </row>
    <row r="460">
      <c r="H460" s="115"/>
    </row>
    <row r="461">
      <c r="H461" s="115"/>
    </row>
    <row r="462">
      <c r="H462" s="115"/>
    </row>
    <row r="463">
      <c r="H463" s="115"/>
    </row>
    <row r="464">
      <c r="H464" s="115"/>
    </row>
    <row r="465">
      <c r="H465" s="115"/>
    </row>
    <row r="466">
      <c r="H466" s="115"/>
    </row>
    <row r="467">
      <c r="H467" s="115"/>
    </row>
    <row r="468">
      <c r="H468" s="115"/>
    </row>
    <row r="469">
      <c r="H469" s="115"/>
    </row>
    <row r="470">
      <c r="H470" s="115"/>
    </row>
    <row r="471">
      <c r="H471" s="115"/>
    </row>
    <row r="472">
      <c r="H472" s="115"/>
    </row>
    <row r="473">
      <c r="H473" s="115"/>
    </row>
    <row r="474">
      <c r="H474" s="115"/>
    </row>
    <row r="475">
      <c r="H475" s="115"/>
    </row>
    <row r="476">
      <c r="H476" s="115"/>
    </row>
    <row r="477">
      <c r="H477" s="115"/>
    </row>
    <row r="478">
      <c r="H478" s="115"/>
    </row>
    <row r="479">
      <c r="H479" s="115"/>
    </row>
    <row r="480">
      <c r="H480" s="115"/>
    </row>
    <row r="481">
      <c r="H481" s="115"/>
    </row>
    <row r="482">
      <c r="H482" s="115"/>
    </row>
    <row r="483">
      <c r="H483" s="115"/>
    </row>
    <row r="484">
      <c r="H484" s="115"/>
    </row>
    <row r="485">
      <c r="H485" s="115"/>
    </row>
    <row r="486">
      <c r="H486" s="115"/>
    </row>
    <row r="487">
      <c r="H487" s="115"/>
    </row>
    <row r="488">
      <c r="H488" s="115"/>
    </row>
    <row r="489">
      <c r="H489" s="115"/>
    </row>
    <row r="490">
      <c r="H490" s="115"/>
    </row>
    <row r="491">
      <c r="H491" s="115"/>
    </row>
    <row r="492">
      <c r="H492" s="115"/>
    </row>
    <row r="493">
      <c r="H493" s="115"/>
    </row>
    <row r="494">
      <c r="H494" s="115"/>
    </row>
    <row r="495">
      <c r="H495" s="115"/>
    </row>
    <row r="496">
      <c r="H496" s="115"/>
    </row>
    <row r="497">
      <c r="H497" s="115"/>
    </row>
    <row r="498">
      <c r="H498" s="115"/>
    </row>
    <row r="499">
      <c r="H499" s="115"/>
    </row>
    <row r="500">
      <c r="H500" s="115"/>
    </row>
    <row r="501">
      <c r="H501" s="115"/>
    </row>
    <row r="502">
      <c r="H502" s="115"/>
    </row>
    <row r="503">
      <c r="H503" s="115"/>
    </row>
    <row r="504">
      <c r="H504" s="115"/>
    </row>
    <row r="505">
      <c r="H505" s="115"/>
    </row>
    <row r="506">
      <c r="H506" s="115"/>
    </row>
    <row r="507">
      <c r="H507" s="115"/>
    </row>
    <row r="508">
      <c r="H508" s="115"/>
    </row>
    <row r="509">
      <c r="H509" s="115"/>
    </row>
    <row r="510">
      <c r="H510" s="115"/>
    </row>
    <row r="511">
      <c r="H511" s="115"/>
    </row>
    <row r="512">
      <c r="H512" s="115"/>
    </row>
    <row r="513">
      <c r="H513" s="115"/>
    </row>
    <row r="514">
      <c r="H514" s="115"/>
    </row>
    <row r="515">
      <c r="H515" s="115"/>
    </row>
    <row r="516">
      <c r="H516" s="115"/>
    </row>
    <row r="517">
      <c r="H517" s="115"/>
    </row>
    <row r="518">
      <c r="H518" s="115"/>
    </row>
    <row r="519">
      <c r="H519" s="115"/>
    </row>
    <row r="520">
      <c r="H520" s="115"/>
    </row>
    <row r="521">
      <c r="H521" s="115"/>
    </row>
    <row r="522">
      <c r="H522" s="115"/>
    </row>
    <row r="523">
      <c r="H523" s="115"/>
    </row>
    <row r="524">
      <c r="H524" s="115"/>
    </row>
    <row r="525">
      <c r="H525" s="115"/>
    </row>
    <row r="526">
      <c r="H526" s="115"/>
    </row>
    <row r="527">
      <c r="H527" s="115"/>
    </row>
    <row r="528">
      <c r="H528" s="115"/>
    </row>
    <row r="529">
      <c r="H529" s="115"/>
    </row>
    <row r="530">
      <c r="H530" s="115"/>
    </row>
    <row r="531">
      <c r="H531" s="115"/>
    </row>
    <row r="532">
      <c r="H532" s="115"/>
    </row>
    <row r="533">
      <c r="H533" s="115"/>
    </row>
    <row r="534">
      <c r="H534" s="115"/>
    </row>
    <row r="535">
      <c r="H535" s="115"/>
    </row>
    <row r="536">
      <c r="H536" s="115"/>
    </row>
    <row r="537">
      <c r="H537" s="115"/>
    </row>
    <row r="538">
      <c r="H538" s="115"/>
    </row>
    <row r="539">
      <c r="H539" s="115"/>
    </row>
    <row r="540">
      <c r="H540" s="115"/>
    </row>
    <row r="541">
      <c r="H541" s="115"/>
    </row>
    <row r="542">
      <c r="H542" s="115"/>
    </row>
    <row r="543">
      <c r="H543" s="115"/>
    </row>
    <row r="544">
      <c r="H544" s="115"/>
    </row>
    <row r="545">
      <c r="H545" s="115"/>
    </row>
    <row r="546">
      <c r="H546" s="115"/>
    </row>
    <row r="547">
      <c r="H547" s="115"/>
    </row>
    <row r="548">
      <c r="H548" s="115"/>
    </row>
    <row r="549">
      <c r="H549" s="115"/>
    </row>
    <row r="550">
      <c r="H550" s="115"/>
    </row>
    <row r="551">
      <c r="H551" s="115"/>
    </row>
    <row r="552">
      <c r="H552" s="115"/>
    </row>
    <row r="553">
      <c r="H553" s="115"/>
    </row>
    <row r="554">
      <c r="H554" s="115"/>
    </row>
    <row r="555">
      <c r="H555" s="115"/>
    </row>
    <row r="556">
      <c r="H556" s="115"/>
    </row>
    <row r="557">
      <c r="H557" s="115"/>
    </row>
    <row r="558">
      <c r="H558" s="115"/>
    </row>
    <row r="559">
      <c r="H559" s="115"/>
    </row>
    <row r="560">
      <c r="H560" s="115"/>
    </row>
    <row r="561">
      <c r="H561" s="115"/>
    </row>
    <row r="562">
      <c r="H562" s="115"/>
    </row>
    <row r="563">
      <c r="H563" s="115"/>
    </row>
    <row r="564">
      <c r="H564" s="115"/>
    </row>
    <row r="565">
      <c r="H565" s="115"/>
    </row>
    <row r="566">
      <c r="H566" s="115"/>
    </row>
    <row r="567">
      <c r="H567" s="115"/>
    </row>
    <row r="568">
      <c r="H568" s="115"/>
    </row>
    <row r="569">
      <c r="H569" s="115"/>
    </row>
    <row r="570">
      <c r="H570" s="115"/>
    </row>
    <row r="571">
      <c r="H571" s="115"/>
    </row>
    <row r="572">
      <c r="H572" s="115"/>
    </row>
    <row r="573">
      <c r="H573" s="115"/>
    </row>
    <row r="574">
      <c r="H574" s="115"/>
    </row>
    <row r="575">
      <c r="H575" s="115"/>
    </row>
    <row r="576">
      <c r="H576" s="115"/>
    </row>
    <row r="577">
      <c r="H577" s="115"/>
    </row>
    <row r="578">
      <c r="H578" s="115"/>
    </row>
    <row r="579">
      <c r="H579" s="115"/>
    </row>
    <row r="580">
      <c r="H580" s="115"/>
    </row>
    <row r="581">
      <c r="H581" s="115"/>
    </row>
    <row r="582">
      <c r="H582" s="115"/>
    </row>
    <row r="583">
      <c r="H583" s="115"/>
    </row>
    <row r="584">
      <c r="H584" s="115"/>
    </row>
    <row r="585">
      <c r="H585" s="115"/>
    </row>
    <row r="586">
      <c r="H586" s="115"/>
    </row>
    <row r="587">
      <c r="H587" s="115"/>
    </row>
    <row r="588">
      <c r="H588" s="115"/>
    </row>
    <row r="589">
      <c r="H589" s="115"/>
    </row>
    <row r="590">
      <c r="H590" s="115"/>
    </row>
    <row r="591">
      <c r="H591" s="115"/>
    </row>
    <row r="592">
      <c r="H592" s="115"/>
    </row>
    <row r="593">
      <c r="H593" s="115"/>
    </row>
    <row r="594">
      <c r="H594" s="115"/>
    </row>
    <row r="595">
      <c r="H595" s="115"/>
    </row>
    <row r="596">
      <c r="H596" s="115"/>
    </row>
    <row r="597">
      <c r="H597" s="115"/>
    </row>
    <row r="598">
      <c r="H598" s="115"/>
    </row>
    <row r="599">
      <c r="H599" s="115"/>
    </row>
    <row r="600">
      <c r="H600" s="115"/>
    </row>
    <row r="601">
      <c r="H601" s="115"/>
    </row>
    <row r="602">
      <c r="H602" s="115"/>
    </row>
    <row r="603">
      <c r="H603" s="115"/>
    </row>
    <row r="604">
      <c r="H604" s="115"/>
    </row>
    <row r="605">
      <c r="H605" s="115"/>
    </row>
    <row r="606">
      <c r="H606" s="115"/>
    </row>
    <row r="607">
      <c r="H607" s="115"/>
    </row>
    <row r="608">
      <c r="H608" s="115"/>
    </row>
    <row r="609">
      <c r="H609" s="115"/>
    </row>
    <row r="610">
      <c r="H610" s="115"/>
    </row>
    <row r="611">
      <c r="H611" s="115"/>
    </row>
    <row r="612">
      <c r="H612" s="115"/>
    </row>
    <row r="613">
      <c r="H613" s="115"/>
    </row>
    <row r="614">
      <c r="H614" s="115"/>
    </row>
    <row r="615">
      <c r="H615" s="115"/>
    </row>
    <row r="616">
      <c r="H616" s="115"/>
    </row>
    <row r="617">
      <c r="H617" s="115"/>
    </row>
    <row r="618">
      <c r="H618" s="115"/>
    </row>
    <row r="619">
      <c r="H619" s="115"/>
    </row>
    <row r="620">
      <c r="H620" s="115"/>
    </row>
    <row r="621">
      <c r="H621" s="115"/>
    </row>
    <row r="622">
      <c r="H622" s="115"/>
    </row>
    <row r="623">
      <c r="H623" s="115"/>
    </row>
    <row r="624">
      <c r="H624" s="115"/>
    </row>
    <row r="625">
      <c r="H625" s="115"/>
    </row>
    <row r="626">
      <c r="H626" s="115"/>
    </row>
    <row r="627">
      <c r="H627" s="115"/>
    </row>
    <row r="628">
      <c r="H628" s="115"/>
    </row>
    <row r="629">
      <c r="H629" s="115"/>
    </row>
    <row r="630">
      <c r="H630" s="115"/>
    </row>
    <row r="631">
      <c r="H631" s="115"/>
    </row>
    <row r="632">
      <c r="H632" s="115"/>
    </row>
    <row r="633">
      <c r="H633" s="115"/>
    </row>
    <row r="634">
      <c r="H634" s="115"/>
    </row>
    <row r="635">
      <c r="H635" s="115"/>
    </row>
    <row r="636">
      <c r="H636" s="115"/>
    </row>
    <row r="637">
      <c r="H637" s="115"/>
    </row>
    <row r="638">
      <c r="H638" s="115"/>
    </row>
    <row r="639">
      <c r="H639" s="115"/>
    </row>
    <row r="640">
      <c r="H640" s="115"/>
    </row>
    <row r="641">
      <c r="H641" s="115"/>
    </row>
    <row r="642">
      <c r="H642" s="115"/>
    </row>
    <row r="643">
      <c r="H643" s="115"/>
    </row>
    <row r="644">
      <c r="H644" s="115"/>
    </row>
    <row r="645">
      <c r="H645" s="115"/>
    </row>
    <row r="646">
      <c r="H646" s="115"/>
    </row>
    <row r="647">
      <c r="H647" s="115"/>
    </row>
    <row r="648">
      <c r="H648" s="115"/>
    </row>
    <row r="649">
      <c r="H649" s="115"/>
    </row>
    <row r="650">
      <c r="H650" s="115"/>
    </row>
    <row r="651">
      <c r="H651" s="115"/>
    </row>
    <row r="652">
      <c r="H652" s="115"/>
    </row>
    <row r="653">
      <c r="H653" s="115"/>
    </row>
    <row r="654">
      <c r="H654" s="115"/>
    </row>
    <row r="655">
      <c r="H655" s="115"/>
    </row>
    <row r="656">
      <c r="H656" s="115"/>
    </row>
    <row r="657">
      <c r="H657" s="115"/>
    </row>
    <row r="658">
      <c r="H658" s="115"/>
    </row>
    <row r="659">
      <c r="H659" s="115"/>
    </row>
    <row r="660">
      <c r="H660" s="115"/>
    </row>
    <row r="661">
      <c r="H661" s="115"/>
    </row>
    <row r="662">
      <c r="H662" s="115"/>
    </row>
    <row r="663">
      <c r="H663" s="115"/>
    </row>
    <row r="664">
      <c r="H664" s="115"/>
    </row>
    <row r="665">
      <c r="H665" s="115"/>
    </row>
    <row r="666">
      <c r="H666" s="115"/>
    </row>
    <row r="667">
      <c r="H667" s="115"/>
    </row>
    <row r="668">
      <c r="H668" s="115"/>
    </row>
    <row r="669">
      <c r="H669" s="115"/>
    </row>
    <row r="670">
      <c r="H670" s="115"/>
    </row>
    <row r="671">
      <c r="H671" s="115"/>
    </row>
    <row r="672">
      <c r="H672" s="115"/>
    </row>
    <row r="673">
      <c r="H673" s="115"/>
    </row>
    <row r="674">
      <c r="H674" s="115"/>
    </row>
    <row r="675">
      <c r="H675" s="115"/>
    </row>
    <row r="676">
      <c r="H676" s="115"/>
    </row>
    <row r="677">
      <c r="H677" s="115"/>
    </row>
    <row r="678">
      <c r="H678" s="115"/>
    </row>
    <row r="679">
      <c r="H679" s="115"/>
    </row>
    <row r="680">
      <c r="H680" s="115"/>
    </row>
    <row r="681">
      <c r="H681" s="115"/>
    </row>
    <row r="682">
      <c r="H682" s="115"/>
    </row>
    <row r="683">
      <c r="H683" s="115"/>
    </row>
    <row r="684">
      <c r="H684" s="115"/>
    </row>
    <row r="685">
      <c r="H685" s="115"/>
    </row>
    <row r="686">
      <c r="H686" s="115"/>
    </row>
    <row r="687">
      <c r="H687" s="115"/>
    </row>
    <row r="688">
      <c r="H688" s="115"/>
    </row>
    <row r="689">
      <c r="H689" s="115"/>
    </row>
    <row r="690">
      <c r="H690" s="115"/>
    </row>
    <row r="691">
      <c r="H691" s="115"/>
    </row>
    <row r="692">
      <c r="H692" s="115"/>
    </row>
    <row r="693">
      <c r="H693" s="115"/>
    </row>
    <row r="694">
      <c r="H694" s="115"/>
    </row>
    <row r="695">
      <c r="H695" s="115"/>
    </row>
    <row r="696">
      <c r="H696" s="115"/>
    </row>
    <row r="697">
      <c r="H697" s="115"/>
    </row>
    <row r="698">
      <c r="H698" s="115"/>
    </row>
    <row r="699">
      <c r="H699" s="115"/>
    </row>
    <row r="700">
      <c r="H700" s="115"/>
    </row>
    <row r="701">
      <c r="H701" s="115"/>
    </row>
    <row r="702">
      <c r="H702" s="115"/>
    </row>
    <row r="703">
      <c r="H703" s="115"/>
    </row>
    <row r="704">
      <c r="H704" s="115"/>
    </row>
    <row r="705">
      <c r="H705" s="115"/>
    </row>
    <row r="706">
      <c r="H706" s="115"/>
    </row>
    <row r="707">
      <c r="H707" s="115"/>
    </row>
    <row r="708">
      <c r="H708" s="115"/>
    </row>
    <row r="709">
      <c r="H709" s="115"/>
    </row>
    <row r="710">
      <c r="H710" s="115"/>
    </row>
    <row r="711">
      <c r="H711" s="115"/>
    </row>
    <row r="712">
      <c r="H712" s="115"/>
    </row>
    <row r="713">
      <c r="H713" s="115"/>
    </row>
    <row r="714">
      <c r="H714" s="115"/>
    </row>
    <row r="715">
      <c r="H715" s="115"/>
    </row>
    <row r="716">
      <c r="H716" s="115"/>
    </row>
    <row r="717">
      <c r="H717" s="115"/>
    </row>
    <row r="718">
      <c r="H718" s="115"/>
    </row>
    <row r="719">
      <c r="H719" s="115"/>
    </row>
    <row r="720">
      <c r="H720" s="115"/>
    </row>
    <row r="721">
      <c r="H721" s="115"/>
    </row>
    <row r="722">
      <c r="H722" s="115"/>
    </row>
    <row r="723">
      <c r="H723" s="115"/>
    </row>
    <row r="724">
      <c r="H724" s="115"/>
    </row>
    <row r="725">
      <c r="H725" s="115"/>
    </row>
    <row r="726">
      <c r="H726" s="115"/>
    </row>
    <row r="727">
      <c r="H727" s="115"/>
    </row>
    <row r="728">
      <c r="H728" s="115"/>
    </row>
    <row r="729">
      <c r="H729" s="115"/>
    </row>
    <row r="730">
      <c r="H730" s="115"/>
    </row>
    <row r="731">
      <c r="H731" s="115"/>
    </row>
    <row r="732">
      <c r="H732" s="115"/>
    </row>
    <row r="733">
      <c r="H733" s="115"/>
    </row>
    <row r="734">
      <c r="H734" s="115"/>
    </row>
    <row r="735">
      <c r="H735" s="115"/>
    </row>
    <row r="736">
      <c r="H736" s="115"/>
    </row>
    <row r="737">
      <c r="H737" s="115"/>
    </row>
    <row r="738">
      <c r="H738" s="115"/>
    </row>
    <row r="739">
      <c r="H739" s="115"/>
    </row>
    <row r="740">
      <c r="H740" s="115"/>
    </row>
    <row r="741">
      <c r="H741" s="115"/>
    </row>
    <row r="742">
      <c r="H742" s="115"/>
    </row>
    <row r="743">
      <c r="H743" s="115"/>
    </row>
    <row r="744">
      <c r="H744" s="115"/>
    </row>
    <row r="745">
      <c r="H745" s="115"/>
    </row>
    <row r="746">
      <c r="H746" s="115"/>
    </row>
    <row r="747">
      <c r="H747" s="115"/>
    </row>
    <row r="748">
      <c r="H748" s="115"/>
    </row>
    <row r="749">
      <c r="H749" s="115"/>
    </row>
    <row r="750">
      <c r="H750" s="115"/>
    </row>
    <row r="751">
      <c r="H751" s="115"/>
    </row>
    <row r="752">
      <c r="H752" s="115"/>
    </row>
    <row r="753">
      <c r="H753" s="115"/>
    </row>
    <row r="754">
      <c r="H754" s="115"/>
    </row>
    <row r="755">
      <c r="H755" s="115"/>
    </row>
    <row r="756">
      <c r="H756" s="115"/>
    </row>
    <row r="757">
      <c r="H757" s="115"/>
    </row>
    <row r="758">
      <c r="H758" s="115"/>
    </row>
    <row r="759">
      <c r="H759" s="115"/>
    </row>
    <row r="760">
      <c r="H760" s="115"/>
    </row>
    <row r="761">
      <c r="H761" s="115"/>
    </row>
    <row r="762">
      <c r="H762" s="115"/>
    </row>
    <row r="763">
      <c r="H763" s="115"/>
    </row>
    <row r="764">
      <c r="H764" s="115"/>
    </row>
    <row r="765">
      <c r="H765" s="115"/>
    </row>
    <row r="766">
      <c r="H766" s="115"/>
    </row>
    <row r="767">
      <c r="H767" s="115"/>
    </row>
    <row r="768">
      <c r="H768" s="115"/>
    </row>
    <row r="769">
      <c r="H769" s="115"/>
    </row>
    <row r="770">
      <c r="H770" s="115"/>
    </row>
    <row r="771">
      <c r="H771" s="115"/>
    </row>
    <row r="772">
      <c r="H772" s="115"/>
    </row>
    <row r="773">
      <c r="H773" s="115"/>
    </row>
    <row r="774">
      <c r="H774" s="115"/>
    </row>
    <row r="775">
      <c r="H775" s="115"/>
    </row>
    <row r="776">
      <c r="H776" s="115"/>
    </row>
    <row r="777">
      <c r="H777" s="115"/>
    </row>
    <row r="778">
      <c r="H778" s="115"/>
    </row>
    <row r="779">
      <c r="H779" s="115"/>
    </row>
    <row r="780">
      <c r="H780" s="115"/>
    </row>
    <row r="781">
      <c r="H781" s="115"/>
    </row>
    <row r="782">
      <c r="H782" s="115"/>
    </row>
    <row r="783">
      <c r="H783" s="115"/>
    </row>
    <row r="784">
      <c r="H784" s="115"/>
    </row>
    <row r="785">
      <c r="H785" s="115"/>
    </row>
    <row r="786">
      <c r="H786" s="115"/>
    </row>
    <row r="787">
      <c r="H787" s="115"/>
    </row>
    <row r="788">
      <c r="H788" s="115"/>
    </row>
    <row r="789">
      <c r="H789" s="115"/>
    </row>
    <row r="790">
      <c r="H790" s="115"/>
    </row>
    <row r="791">
      <c r="H791" s="115"/>
    </row>
    <row r="792">
      <c r="H792" s="115"/>
    </row>
    <row r="793">
      <c r="H793" s="115"/>
    </row>
    <row r="794">
      <c r="H794" s="115"/>
    </row>
    <row r="795">
      <c r="H795" s="115"/>
    </row>
    <row r="796">
      <c r="H796" s="115"/>
    </row>
    <row r="797">
      <c r="H797" s="115"/>
    </row>
    <row r="798">
      <c r="H798" s="115"/>
    </row>
    <row r="799">
      <c r="H799" s="115"/>
    </row>
    <row r="800">
      <c r="H800" s="115"/>
    </row>
    <row r="801">
      <c r="H801" s="115"/>
    </row>
    <row r="802">
      <c r="H802" s="115"/>
    </row>
    <row r="803">
      <c r="H803" s="115"/>
    </row>
    <row r="804">
      <c r="H804" s="115"/>
    </row>
    <row r="805">
      <c r="H805" s="115"/>
    </row>
    <row r="806">
      <c r="H806" s="115"/>
    </row>
    <row r="807">
      <c r="H807" s="115"/>
    </row>
    <row r="808">
      <c r="H808" s="115"/>
    </row>
    <row r="809">
      <c r="H809" s="115"/>
    </row>
    <row r="810">
      <c r="H810" s="115"/>
    </row>
    <row r="811">
      <c r="H811" s="115"/>
    </row>
    <row r="812">
      <c r="H812" s="115"/>
    </row>
    <row r="813">
      <c r="H813" s="115"/>
    </row>
    <row r="814">
      <c r="H814" s="115"/>
    </row>
    <row r="815">
      <c r="H815" s="115"/>
    </row>
    <row r="816">
      <c r="H816" s="115"/>
    </row>
    <row r="817">
      <c r="H817" s="115"/>
    </row>
    <row r="818">
      <c r="H818" s="115"/>
    </row>
    <row r="819">
      <c r="H819" s="115"/>
    </row>
    <row r="820">
      <c r="H820" s="115"/>
    </row>
    <row r="821">
      <c r="H821" s="115"/>
    </row>
    <row r="822">
      <c r="H822" s="115"/>
    </row>
    <row r="823">
      <c r="H823" s="115"/>
    </row>
    <row r="824">
      <c r="H824" s="115"/>
    </row>
    <row r="825">
      <c r="H825" s="115"/>
    </row>
    <row r="826">
      <c r="H826" s="115"/>
    </row>
    <row r="827">
      <c r="H827" s="115"/>
    </row>
    <row r="828">
      <c r="H828" s="115"/>
    </row>
    <row r="829">
      <c r="H829" s="115"/>
    </row>
    <row r="830">
      <c r="H830" s="115"/>
    </row>
    <row r="831">
      <c r="H831" s="115"/>
    </row>
    <row r="832">
      <c r="H832" s="115"/>
    </row>
    <row r="833">
      <c r="H833" s="115"/>
    </row>
    <row r="834">
      <c r="H834" s="115"/>
    </row>
    <row r="835">
      <c r="H835" s="115"/>
    </row>
    <row r="836">
      <c r="H836" s="115"/>
    </row>
    <row r="837">
      <c r="H837" s="115"/>
    </row>
    <row r="838">
      <c r="H838" s="115"/>
    </row>
    <row r="839">
      <c r="H839" s="115"/>
    </row>
    <row r="840">
      <c r="H840" s="115"/>
    </row>
    <row r="841">
      <c r="H841" s="115"/>
    </row>
    <row r="842">
      <c r="H842" s="115"/>
    </row>
    <row r="843">
      <c r="H843" s="115"/>
    </row>
    <row r="844">
      <c r="H844" s="115"/>
    </row>
    <row r="845">
      <c r="H845" s="115"/>
    </row>
    <row r="846">
      <c r="H846" s="115"/>
    </row>
    <row r="847">
      <c r="H847" s="115"/>
    </row>
    <row r="848">
      <c r="H848" s="115"/>
    </row>
    <row r="849">
      <c r="H849" s="115"/>
    </row>
    <row r="850">
      <c r="H850" s="115"/>
    </row>
    <row r="851">
      <c r="H851" s="115"/>
    </row>
    <row r="852">
      <c r="H852" s="115"/>
    </row>
    <row r="853">
      <c r="H853" s="115"/>
    </row>
    <row r="854">
      <c r="H854" s="115"/>
    </row>
    <row r="855">
      <c r="H855" s="115"/>
    </row>
    <row r="856">
      <c r="H856" s="115"/>
    </row>
    <row r="857">
      <c r="H857" s="115"/>
    </row>
    <row r="858">
      <c r="H858" s="115"/>
    </row>
    <row r="859">
      <c r="H859" s="115"/>
    </row>
    <row r="860">
      <c r="H860" s="115"/>
    </row>
    <row r="861">
      <c r="H861" s="115"/>
    </row>
    <row r="862">
      <c r="H862" s="115"/>
    </row>
    <row r="863">
      <c r="H863" s="115"/>
    </row>
    <row r="864">
      <c r="H864" s="115"/>
    </row>
    <row r="865">
      <c r="H865" s="115"/>
    </row>
    <row r="866">
      <c r="H866" s="115"/>
    </row>
    <row r="867">
      <c r="H867" s="115"/>
    </row>
    <row r="868">
      <c r="H868" s="115"/>
    </row>
    <row r="869">
      <c r="H869" s="115"/>
    </row>
    <row r="870">
      <c r="H870" s="115"/>
    </row>
    <row r="871">
      <c r="H871" s="115"/>
    </row>
    <row r="872">
      <c r="H872" s="115"/>
    </row>
    <row r="873">
      <c r="H873" s="115"/>
    </row>
    <row r="874">
      <c r="H874" s="115"/>
    </row>
    <row r="875">
      <c r="H875" s="115"/>
    </row>
    <row r="876">
      <c r="H876" s="115"/>
    </row>
    <row r="877">
      <c r="H877" s="115"/>
    </row>
    <row r="878">
      <c r="H878" s="115"/>
    </row>
    <row r="879">
      <c r="H879" s="115"/>
    </row>
    <row r="880">
      <c r="H880" s="115"/>
    </row>
    <row r="881">
      <c r="H881" s="115"/>
    </row>
    <row r="882">
      <c r="H882" s="115"/>
    </row>
    <row r="883">
      <c r="H883" s="115"/>
    </row>
    <row r="884">
      <c r="H884" s="115"/>
    </row>
    <row r="885">
      <c r="H885" s="115"/>
    </row>
    <row r="886">
      <c r="H886" s="115"/>
    </row>
    <row r="887">
      <c r="H887" s="115"/>
    </row>
    <row r="888">
      <c r="H888" s="115"/>
    </row>
    <row r="889">
      <c r="H889" s="115"/>
    </row>
    <row r="890">
      <c r="H890" s="115"/>
    </row>
    <row r="891">
      <c r="H891" s="115"/>
    </row>
    <row r="892">
      <c r="H892" s="115"/>
    </row>
    <row r="893">
      <c r="H893" s="115"/>
    </row>
    <row r="894">
      <c r="H894" s="115"/>
    </row>
    <row r="895">
      <c r="H895" s="115"/>
    </row>
    <row r="896">
      <c r="H896" s="115"/>
    </row>
    <row r="897">
      <c r="H897" s="115"/>
    </row>
    <row r="898">
      <c r="H898" s="115"/>
    </row>
    <row r="899">
      <c r="H899" s="115"/>
    </row>
    <row r="900">
      <c r="H900" s="115"/>
    </row>
    <row r="901">
      <c r="H901" s="115"/>
    </row>
    <row r="902">
      <c r="H902" s="115"/>
    </row>
    <row r="903">
      <c r="H903" s="115"/>
    </row>
    <row r="904">
      <c r="H904" s="115"/>
    </row>
    <row r="905">
      <c r="H905" s="115"/>
    </row>
    <row r="906">
      <c r="H906" s="115"/>
    </row>
    <row r="907">
      <c r="H907" s="115"/>
    </row>
    <row r="908">
      <c r="H908" s="115"/>
    </row>
    <row r="909">
      <c r="H909" s="115"/>
    </row>
    <row r="910">
      <c r="H910" s="115"/>
    </row>
    <row r="911">
      <c r="H911" s="115"/>
    </row>
    <row r="912">
      <c r="H912" s="115"/>
    </row>
    <row r="913">
      <c r="H913" s="115"/>
    </row>
    <row r="914">
      <c r="H914" s="115"/>
    </row>
    <row r="915">
      <c r="H915" s="115"/>
    </row>
    <row r="916">
      <c r="H916" s="115"/>
    </row>
    <row r="917">
      <c r="H917" s="115"/>
    </row>
    <row r="918">
      <c r="H918" s="115"/>
    </row>
    <row r="919">
      <c r="H919" s="115"/>
    </row>
    <row r="920">
      <c r="H920" s="115"/>
    </row>
    <row r="921">
      <c r="H921" s="115"/>
    </row>
    <row r="922">
      <c r="H922" s="115"/>
    </row>
    <row r="923">
      <c r="H923" s="115"/>
    </row>
    <row r="924">
      <c r="H924" s="115"/>
    </row>
    <row r="925">
      <c r="H925" s="115"/>
    </row>
    <row r="926">
      <c r="H926" s="115"/>
    </row>
    <row r="927">
      <c r="H927" s="115"/>
    </row>
    <row r="928">
      <c r="H928" s="115"/>
    </row>
    <row r="929">
      <c r="H929" s="115"/>
    </row>
    <row r="930">
      <c r="H930" s="115"/>
    </row>
    <row r="931">
      <c r="H931" s="115"/>
    </row>
    <row r="932">
      <c r="H932" s="115"/>
    </row>
    <row r="933">
      <c r="H933" s="115"/>
    </row>
    <row r="934">
      <c r="H934" s="115"/>
    </row>
    <row r="935">
      <c r="H935" s="115"/>
    </row>
    <row r="936">
      <c r="H936" s="115"/>
    </row>
    <row r="937">
      <c r="H937" s="115"/>
    </row>
    <row r="938">
      <c r="H938" s="115"/>
    </row>
    <row r="939">
      <c r="H939" s="115"/>
    </row>
    <row r="940">
      <c r="H940" s="115"/>
    </row>
    <row r="941">
      <c r="H941" s="115"/>
    </row>
    <row r="942">
      <c r="H942" s="115"/>
    </row>
    <row r="943">
      <c r="H943" s="115"/>
    </row>
    <row r="944">
      <c r="H944" s="115"/>
    </row>
    <row r="945">
      <c r="H945" s="115"/>
    </row>
    <row r="946">
      <c r="H946" s="115"/>
    </row>
    <row r="947">
      <c r="H947" s="115"/>
    </row>
    <row r="948">
      <c r="H948" s="115"/>
    </row>
    <row r="949">
      <c r="H949" s="115"/>
    </row>
    <row r="950">
      <c r="H950" s="115"/>
    </row>
    <row r="951">
      <c r="H951" s="115"/>
    </row>
    <row r="952">
      <c r="H952" s="115"/>
    </row>
    <row r="953">
      <c r="H953" s="115"/>
    </row>
    <row r="954">
      <c r="H954" s="115"/>
    </row>
    <row r="955">
      <c r="H955" s="115"/>
    </row>
    <row r="956">
      <c r="H956" s="115"/>
    </row>
    <row r="957">
      <c r="H957" s="115"/>
    </row>
    <row r="958">
      <c r="H958" s="115"/>
    </row>
    <row r="959">
      <c r="H959" s="115"/>
    </row>
    <row r="960">
      <c r="H960" s="115"/>
    </row>
    <row r="961">
      <c r="H961" s="115"/>
    </row>
    <row r="962">
      <c r="H962" s="115"/>
    </row>
    <row r="963">
      <c r="H963" s="115"/>
    </row>
    <row r="964">
      <c r="H964" s="115"/>
    </row>
    <row r="965">
      <c r="H965" s="115"/>
    </row>
    <row r="966">
      <c r="H966" s="115"/>
    </row>
    <row r="967">
      <c r="H967" s="115"/>
    </row>
    <row r="968">
      <c r="H968" s="115"/>
    </row>
    <row r="969">
      <c r="H969" s="115"/>
    </row>
    <row r="970">
      <c r="H970" s="115"/>
    </row>
    <row r="971">
      <c r="H971" s="115"/>
    </row>
    <row r="972">
      <c r="H972" s="115"/>
    </row>
    <row r="973">
      <c r="H973" s="115"/>
    </row>
    <row r="974">
      <c r="H974" s="115"/>
    </row>
    <row r="975">
      <c r="H975" s="115"/>
    </row>
    <row r="976">
      <c r="H976" s="115"/>
    </row>
    <row r="977">
      <c r="H977" s="115"/>
    </row>
    <row r="978">
      <c r="H978" s="115"/>
    </row>
    <row r="979">
      <c r="H979" s="115"/>
    </row>
    <row r="980">
      <c r="H980" s="115"/>
    </row>
    <row r="981">
      <c r="H981" s="115"/>
    </row>
    <row r="982">
      <c r="H982" s="115"/>
    </row>
    <row r="983">
      <c r="H983" s="115"/>
    </row>
    <row r="984">
      <c r="H984" s="115"/>
    </row>
    <row r="985">
      <c r="H985" s="115"/>
    </row>
    <row r="986">
      <c r="H986" s="115"/>
    </row>
    <row r="987">
      <c r="H987" s="115"/>
    </row>
    <row r="988">
      <c r="H988" s="115"/>
    </row>
    <row r="989">
      <c r="H989" s="115"/>
    </row>
    <row r="990">
      <c r="H990" s="115"/>
    </row>
    <row r="991">
      <c r="H991" s="115"/>
    </row>
    <row r="992">
      <c r="H992" s="115"/>
    </row>
    <row r="993">
      <c r="H993" s="115"/>
    </row>
    <row r="994">
      <c r="H994" s="115"/>
    </row>
    <row r="995">
      <c r="H995" s="115"/>
    </row>
    <row r="996">
      <c r="H996" s="115"/>
    </row>
    <row r="997">
      <c r="H997" s="115"/>
    </row>
    <row r="998">
      <c r="H998" s="115"/>
    </row>
    <row r="999">
      <c r="H999" s="115"/>
    </row>
    <row r="1000">
      <c r="H1000" s="115"/>
    </row>
  </sheetData>
  <dataValidations>
    <dataValidation type="list" allowBlank="1" showErrorMessage="1" sqref="H1:H1000">
      <formula1>"お見送り,面談実施,組合加入済み,算定基礎届・源泉徴収簿提出済み,概算お渡し済み,申請フェーズ"</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14"/>
  </cols>
  <sheetData>
    <row r="2">
      <c r="B2" s="11" t="s">
        <v>1804</v>
      </c>
      <c r="C2" s="116">
        <v>300000.0</v>
      </c>
      <c r="G2" s="11" t="s">
        <v>1805</v>
      </c>
      <c r="H2" s="116">
        <v>3.0E8</v>
      </c>
    </row>
    <row r="3">
      <c r="B3" s="11" t="s">
        <v>1806</v>
      </c>
      <c r="C3" s="11">
        <v>100.0</v>
      </c>
      <c r="G3" s="11" t="s">
        <v>1807</v>
      </c>
      <c r="H3" s="116">
        <v>150000.0</v>
      </c>
    </row>
    <row r="4">
      <c r="B4" s="11" t="s">
        <v>1808</v>
      </c>
      <c r="C4" s="116">
        <v>100000.0</v>
      </c>
      <c r="H4" s="117"/>
    </row>
    <row r="5">
      <c r="H5" s="117"/>
    </row>
    <row r="6">
      <c r="B6" s="11" t="s">
        <v>1809</v>
      </c>
      <c r="C6" s="117">
        <f>C3*C4</f>
        <v>10000000</v>
      </c>
      <c r="H6" s="117"/>
    </row>
    <row r="7">
      <c r="B7" s="11" t="s">
        <v>1810</v>
      </c>
      <c r="C7" s="116">
        <v>30000.0</v>
      </c>
      <c r="H7" s="117"/>
    </row>
    <row r="8">
      <c r="B8" s="11" t="s">
        <v>1811</v>
      </c>
      <c r="C8" s="116">
        <v>18000.0</v>
      </c>
      <c r="H8" s="117"/>
    </row>
    <row r="9">
      <c r="B9" s="11" t="s">
        <v>1812</v>
      </c>
      <c r="C9" s="117">
        <f>C8*C3</f>
        <v>1800000</v>
      </c>
      <c r="H9" s="117"/>
    </row>
    <row r="10">
      <c r="H10" s="117"/>
    </row>
    <row r="11">
      <c r="B11" s="11" t="s">
        <v>1813</v>
      </c>
      <c r="C11" s="11">
        <v>1000.0</v>
      </c>
      <c r="H11" s="117"/>
    </row>
    <row r="12">
      <c r="B12" s="11" t="s">
        <v>1814</v>
      </c>
      <c r="C12" s="117">
        <f>C11*C3</f>
        <v>100000</v>
      </c>
    </row>
    <row r="16">
      <c r="B16" s="11" t="s">
        <v>1815</v>
      </c>
      <c r="C16" s="118">
        <f>C6/C9</f>
        <v>5.555555556</v>
      </c>
      <c r="D16" s="11" t="s">
        <v>1816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14"/>
    <col customWidth="1" min="2" max="2" width="43.71"/>
    <col customWidth="1" min="3" max="3" width="18.14"/>
  </cols>
  <sheetData>
    <row r="1">
      <c r="A1" s="11" t="s">
        <v>1817</v>
      </c>
      <c r="B1" s="11" t="s">
        <v>1818</v>
      </c>
      <c r="C1" s="11" t="s">
        <v>3</v>
      </c>
    </row>
    <row r="2">
      <c r="A2" s="11" t="s">
        <v>1819</v>
      </c>
      <c r="B2" s="119" t="s">
        <v>1820</v>
      </c>
      <c r="C2" s="11" t="s">
        <v>1821</v>
      </c>
    </row>
    <row r="3">
      <c r="A3" s="11" t="s">
        <v>1822</v>
      </c>
      <c r="B3" s="119" t="s">
        <v>1823</v>
      </c>
      <c r="C3" s="11" t="s">
        <v>1821</v>
      </c>
    </row>
    <row r="4">
      <c r="A4" s="11" t="s">
        <v>1824</v>
      </c>
      <c r="B4" s="119" t="s">
        <v>1825</v>
      </c>
      <c r="C4" s="11" t="s">
        <v>1826</v>
      </c>
    </row>
    <row r="5">
      <c r="A5" s="11" t="s">
        <v>1827</v>
      </c>
      <c r="B5" s="119" t="s">
        <v>1828</v>
      </c>
      <c r="C5" s="11" t="s">
        <v>1821</v>
      </c>
    </row>
    <row r="6">
      <c r="A6" s="11" t="s">
        <v>1829</v>
      </c>
      <c r="B6" s="119" t="s">
        <v>1830</v>
      </c>
      <c r="C6" s="11" t="s">
        <v>1826</v>
      </c>
    </row>
    <row r="7">
      <c r="A7" s="11" t="s">
        <v>1831</v>
      </c>
      <c r="B7" s="119" t="s">
        <v>1832</v>
      </c>
      <c r="C7" s="11" t="s">
        <v>1821</v>
      </c>
    </row>
    <row r="8">
      <c r="A8" s="11" t="s">
        <v>1833</v>
      </c>
      <c r="B8" s="119" t="s">
        <v>1834</v>
      </c>
      <c r="C8" s="11" t="s">
        <v>1821</v>
      </c>
      <c r="I8" s="11" t="s">
        <v>1835</v>
      </c>
    </row>
    <row r="9">
      <c r="A9" s="11" t="s">
        <v>1836</v>
      </c>
      <c r="B9" s="119" t="s">
        <v>1837</v>
      </c>
      <c r="C9" s="11" t="s">
        <v>1838</v>
      </c>
    </row>
    <row r="10">
      <c r="A10" s="11" t="s">
        <v>1839</v>
      </c>
      <c r="B10" s="119" t="s">
        <v>1840</v>
      </c>
      <c r="C10" s="11" t="s">
        <v>1838</v>
      </c>
    </row>
    <row r="11">
      <c r="A11" s="11" t="s">
        <v>1841</v>
      </c>
      <c r="C11" s="115"/>
    </row>
    <row r="12">
      <c r="C12" s="115"/>
    </row>
    <row r="13">
      <c r="C13" s="115"/>
    </row>
    <row r="14">
      <c r="C14" s="115"/>
    </row>
    <row r="15">
      <c r="C15" s="115"/>
    </row>
    <row r="16">
      <c r="C16" s="115"/>
    </row>
    <row r="17">
      <c r="C17" s="115"/>
    </row>
    <row r="18">
      <c r="C18" s="115"/>
    </row>
    <row r="19">
      <c r="C19" s="115"/>
    </row>
    <row r="20">
      <c r="C20" s="115"/>
    </row>
    <row r="21">
      <c r="C21" s="115"/>
    </row>
    <row r="22">
      <c r="C22" s="115"/>
    </row>
  </sheetData>
  <dataValidations>
    <dataValidation type="list" allowBlank="1" showErrorMessage="1" sqref="C2:C22">
      <formula1>"未作成,作成中,リーガルチェク中,修正中,リーガルチェック済"</formula1>
    </dataValidation>
  </dataValidations>
  <hyperlinks>
    <hyperlink r:id="rId1" ref="B2"/>
    <hyperlink r:id="rId2" ref="B3"/>
    <hyperlink r:id="rId3" ref="B4"/>
    <hyperlink r:id="rId4" ref="B5"/>
    <hyperlink r:id="rId5" ref="B6"/>
    <hyperlink r:id="rId6" ref="B7"/>
    <hyperlink r:id="rId7" ref="B8"/>
    <hyperlink r:id="rId8" ref="B9"/>
    <hyperlink r:id="rId9" ref="B10"/>
  </hyperlinks>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43"/>
    <col customWidth="1" min="2" max="2" width="27.14"/>
  </cols>
  <sheetData>
    <row r="1">
      <c r="B1" s="120"/>
    </row>
    <row r="2">
      <c r="A2" s="11" t="s">
        <v>1842</v>
      </c>
      <c r="B2" s="121" t="s">
        <v>1843</v>
      </c>
    </row>
    <row r="3">
      <c r="A3" s="11" t="s">
        <v>1844</v>
      </c>
      <c r="B3" s="122" t="s">
        <v>1845</v>
      </c>
    </row>
    <row r="4">
      <c r="A4" s="11" t="s">
        <v>1846</v>
      </c>
      <c r="B4" s="122" t="s">
        <v>1847</v>
      </c>
    </row>
    <row r="5">
      <c r="A5" s="11" t="s">
        <v>1848</v>
      </c>
      <c r="B5" s="122" t="s">
        <v>1849</v>
      </c>
    </row>
    <row r="6">
      <c r="A6" s="11" t="s">
        <v>1850</v>
      </c>
      <c r="B6" s="122" t="s">
        <v>1851</v>
      </c>
    </row>
    <row r="7">
      <c r="A7" s="11" t="s">
        <v>1852</v>
      </c>
      <c r="B7" s="122" t="s">
        <v>1853</v>
      </c>
    </row>
    <row r="8">
      <c r="B8" s="120"/>
    </row>
    <row r="9">
      <c r="B9" s="120"/>
    </row>
    <row r="10">
      <c r="B10" s="120"/>
    </row>
    <row r="11">
      <c r="B11" s="120"/>
    </row>
    <row r="12">
      <c r="B12" s="120"/>
    </row>
    <row r="13">
      <c r="B13" s="120"/>
    </row>
    <row r="14">
      <c r="B14" s="120"/>
    </row>
    <row r="15">
      <c r="B15" s="120"/>
    </row>
    <row r="16">
      <c r="B16" s="120"/>
    </row>
    <row r="17">
      <c r="B17" s="120"/>
    </row>
    <row r="18">
      <c r="B18" s="120"/>
    </row>
    <row r="19">
      <c r="B19" s="120"/>
    </row>
    <row r="20">
      <c r="B20" s="120"/>
    </row>
    <row r="21">
      <c r="B21" s="120"/>
    </row>
    <row r="22">
      <c r="B22" s="120"/>
    </row>
    <row r="23">
      <c r="B23" s="120"/>
    </row>
    <row r="24">
      <c r="B24" s="120"/>
    </row>
    <row r="25">
      <c r="B25" s="120"/>
    </row>
    <row r="26">
      <c r="B26" s="120"/>
    </row>
    <row r="27">
      <c r="B27" s="120"/>
    </row>
    <row r="28">
      <c r="B28" s="120"/>
    </row>
    <row r="29">
      <c r="B29" s="120"/>
    </row>
    <row r="30">
      <c r="B30" s="120"/>
    </row>
    <row r="31">
      <c r="B31" s="120"/>
    </row>
    <row r="32">
      <c r="B32" s="120"/>
    </row>
    <row r="33">
      <c r="B33" s="120"/>
    </row>
    <row r="34">
      <c r="B34" s="120"/>
    </row>
    <row r="35">
      <c r="B35" s="120"/>
    </row>
    <row r="36">
      <c r="B36" s="120"/>
    </row>
    <row r="37">
      <c r="B37" s="120"/>
    </row>
    <row r="38">
      <c r="B38" s="120"/>
    </row>
    <row r="39">
      <c r="B39" s="120"/>
    </row>
    <row r="40">
      <c r="B40" s="120"/>
    </row>
    <row r="41">
      <c r="B41" s="120"/>
    </row>
    <row r="42">
      <c r="B42" s="120"/>
    </row>
    <row r="43">
      <c r="B43" s="120"/>
    </row>
    <row r="44">
      <c r="B44" s="120"/>
    </row>
    <row r="45">
      <c r="B45" s="120"/>
    </row>
    <row r="46">
      <c r="B46" s="120"/>
    </row>
    <row r="47">
      <c r="B47" s="120"/>
    </row>
    <row r="48">
      <c r="B48" s="120"/>
    </row>
    <row r="49">
      <c r="B49" s="120"/>
    </row>
    <row r="50">
      <c r="B50" s="120"/>
    </row>
    <row r="51">
      <c r="B51" s="120"/>
    </row>
    <row r="52">
      <c r="B52" s="120"/>
    </row>
    <row r="53">
      <c r="B53" s="120"/>
    </row>
    <row r="54">
      <c r="B54" s="120"/>
    </row>
    <row r="55">
      <c r="B55" s="120"/>
    </row>
    <row r="56">
      <c r="B56" s="120"/>
    </row>
    <row r="57">
      <c r="B57" s="120"/>
    </row>
    <row r="58">
      <c r="B58" s="120"/>
    </row>
    <row r="59">
      <c r="B59" s="120"/>
    </row>
    <row r="60">
      <c r="B60" s="120"/>
    </row>
    <row r="61">
      <c r="B61" s="120"/>
    </row>
    <row r="62">
      <c r="B62" s="120"/>
    </row>
    <row r="63">
      <c r="B63" s="120"/>
    </row>
    <row r="64">
      <c r="B64" s="120"/>
    </row>
    <row r="65">
      <c r="B65" s="120"/>
    </row>
    <row r="66">
      <c r="B66" s="120"/>
    </row>
    <row r="67">
      <c r="B67" s="120"/>
    </row>
    <row r="68">
      <c r="B68" s="120"/>
    </row>
    <row r="69">
      <c r="B69" s="120"/>
    </row>
    <row r="70">
      <c r="B70" s="120"/>
    </row>
    <row r="71">
      <c r="B71" s="120"/>
    </row>
    <row r="72">
      <c r="B72" s="120"/>
    </row>
    <row r="73">
      <c r="B73" s="120"/>
    </row>
    <row r="74">
      <c r="B74" s="120"/>
    </row>
    <row r="75">
      <c r="B75" s="120"/>
    </row>
    <row r="76">
      <c r="B76" s="120"/>
    </row>
    <row r="77">
      <c r="B77" s="120"/>
    </row>
    <row r="78">
      <c r="B78" s="120"/>
    </row>
    <row r="79">
      <c r="B79" s="120"/>
    </row>
    <row r="80">
      <c r="B80" s="120"/>
    </row>
    <row r="81">
      <c r="B81" s="120"/>
    </row>
    <row r="82">
      <c r="B82" s="120"/>
    </row>
    <row r="83">
      <c r="B83" s="120"/>
    </row>
    <row r="84">
      <c r="B84" s="120"/>
    </row>
    <row r="85">
      <c r="B85" s="120"/>
    </row>
    <row r="86">
      <c r="B86" s="120"/>
    </row>
    <row r="87">
      <c r="B87" s="120"/>
    </row>
    <row r="88">
      <c r="B88" s="120"/>
    </row>
    <row r="89">
      <c r="B89" s="120"/>
    </row>
    <row r="90">
      <c r="B90" s="120"/>
    </row>
    <row r="91">
      <c r="B91" s="120"/>
    </row>
    <row r="92">
      <c r="B92" s="120"/>
    </row>
    <row r="93">
      <c r="B93" s="120"/>
    </row>
    <row r="94">
      <c r="B94" s="120"/>
    </row>
    <row r="95">
      <c r="B95" s="120"/>
    </row>
    <row r="96">
      <c r="B96" s="120"/>
    </row>
    <row r="97">
      <c r="B97" s="120"/>
    </row>
    <row r="98">
      <c r="B98" s="120"/>
    </row>
    <row r="99">
      <c r="B99" s="120"/>
    </row>
    <row r="100">
      <c r="B100" s="120"/>
    </row>
    <row r="101">
      <c r="B101" s="120"/>
    </row>
    <row r="102">
      <c r="B102" s="120"/>
    </row>
    <row r="103">
      <c r="B103" s="120"/>
    </row>
    <row r="104">
      <c r="B104" s="120"/>
    </row>
    <row r="105">
      <c r="B105" s="120"/>
    </row>
    <row r="106">
      <c r="B106" s="120"/>
    </row>
    <row r="107">
      <c r="B107" s="120"/>
    </row>
    <row r="108">
      <c r="B108" s="120"/>
    </row>
    <row r="109">
      <c r="B109" s="120"/>
    </row>
    <row r="110">
      <c r="B110" s="120"/>
    </row>
    <row r="111">
      <c r="B111" s="120"/>
    </row>
    <row r="112">
      <c r="B112" s="120"/>
    </row>
    <row r="113">
      <c r="B113" s="120"/>
    </row>
    <row r="114">
      <c r="B114" s="120"/>
    </row>
    <row r="115">
      <c r="B115" s="120"/>
    </row>
    <row r="116">
      <c r="B116" s="120"/>
    </row>
    <row r="117">
      <c r="B117" s="120"/>
    </row>
    <row r="118">
      <c r="B118" s="120"/>
    </row>
    <row r="119">
      <c r="B119" s="120"/>
    </row>
    <row r="120">
      <c r="B120" s="120"/>
    </row>
    <row r="121">
      <c r="B121" s="120"/>
    </row>
    <row r="122">
      <c r="B122" s="120"/>
    </row>
    <row r="123">
      <c r="B123" s="120"/>
    </row>
    <row r="124">
      <c r="B124" s="120"/>
    </row>
    <row r="125">
      <c r="B125" s="120"/>
    </row>
    <row r="126">
      <c r="B126" s="120"/>
    </row>
    <row r="127">
      <c r="B127" s="120"/>
    </row>
    <row r="128">
      <c r="B128" s="120"/>
    </row>
    <row r="129">
      <c r="B129" s="120"/>
    </row>
    <row r="130">
      <c r="B130" s="120"/>
    </row>
    <row r="131">
      <c r="B131" s="120"/>
    </row>
    <row r="132">
      <c r="B132" s="120"/>
    </row>
    <row r="133">
      <c r="B133" s="120"/>
    </row>
    <row r="134">
      <c r="B134" s="120"/>
    </row>
    <row r="135">
      <c r="B135" s="120"/>
    </row>
    <row r="136">
      <c r="B136" s="120"/>
    </row>
    <row r="137">
      <c r="B137" s="120"/>
    </row>
    <row r="138">
      <c r="B138" s="120"/>
    </row>
    <row r="139">
      <c r="B139" s="120"/>
    </row>
    <row r="140">
      <c r="B140" s="120"/>
    </row>
    <row r="141">
      <c r="B141" s="120"/>
    </row>
    <row r="142">
      <c r="B142" s="120"/>
    </row>
    <row r="143">
      <c r="B143" s="120"/>
    </row>
    <row r="144">
      <c r="B144" s="120"/>
    </row>
    <row r="145">
      <c r="B145" s="120"/>
    </row>
    <row r="146">
      <c r="B146" s="120"/>
    </row>
    <row r="147">
      <c r="B147" s="120"/>
    </row>
    <row r="148">
      <c r="B148" s="120"/>
    </row>
    <row r="149">
      <c r="B149" s="120"/>
    </row>
    <row r="150">
      <c r="B150" s="120"/>
    </row>
    <row r="151">
      <c r="B151" s="120"/>
    </row>
    <row r="152">
      <c r="B152" s="120"/>
    </row>
    <row r="153">
      <c r="B153" s="120"/>
    </row>
    <row r="154">
      <c r="B154" s="120"/>
    </row>
    <row r="155">
      <c r="B155" s="120"/>
    </row>
    <row r="156">
      <c r="B156" s="120"/>
    </row>
    <row r="157">
      <c r="B157" s="120"/>
    </row>
    <row r="158">
      <c r="B158" s="120"/>
    </row>
    <row r="159">
      <c r="B159" s="120"/>
    </row>
    <row r="160">
      <c r="B160" s="120"/>
    </row>
    <row r="161">
      <c r="B161" s="120"/>
    </row>
    <row r="162">
      <c r="B162" s="120"/>
    </row>
    <row r="163">
      <c r="B163" s="120"/>
    </row>
    <row r="164">
      <c r="B164" s="120"/>
    </row>
    <row r="165">
      <c r="B165" s="120"/>
    </row>
    <row r="166">
      <c r="B166" s="120"/>
    </row>
    <row r="167">
      <c r="B167" s="120"/>
    </row>
    <row r="168">
      <c r="B168" s="120"/>
    </row>
    <row r="169">
      <c r="B169" s="120"/>
    </row>
    <row r="170">
      <c r="B170" s="120"/>
    </row>
    <row r="171">
      <c r="B171" s="120"/>
    </row>
    <row r="172">
      <c r="B172" s="120"/>
    </row>
    <row r="173">
      <c r="B173" s="120"/>
    </row>
    <row r="174">
      <c r="B174" s="120"/>
    </row>
    <row r="175">
      <c r="B175" s="120"/>
    </row>
    <row r="176">
      <c r="B176" s="120"/>
    </row>
    <row r="177">
      <c r="B177" s="120"/>
    </row>
    <row r="178">
      <c r="B178" s="120"/>
    </row>
    <row r="179">
      <c r="B179" s="120"/>
    </row>
    <row r="180">
      <c r="B180" s="120"/>
    </row>
    <row r="181">
      <c r="B181" s="120"/>
    </row>
    <row r="182">
      <c r="B182" s="120"/>
    </row>
    <row r="183">
      <c r="B183" s="120"/>
    </row>
    <row r="184">
      <c r="B184" s="120"/>
    </row>
    <row r="185">
      <c r="B185" s="120"/>
    </row>
    <row r="186">
      <c r="B186" s="120"/>
    </row>
    <row r="187">
      <c r="B187" s="120"/>
    </row>
    <row r="188">
      <c r="B188" s="120"/>
    </row>
    <row r="189">
      <c r="B189" s="120"/>
    </row>
    <row r="190">
      <c r="B190" s="120"/>
    </row>
    <row r="191">
      <c r="B191" s="120"/>
    </row>
    <row r="192">
      <c r="B192" s="120"/>
    </row>
    <row r="193">
      <c r="B193" s="120"/>
    </row>
    <row r="194">
      <c r="B194" s="120"/>
    </row>
    <row r="195">
      <c r="B195" s="120"/>
    </row>
    <row r="196">
      <c r="B196" s="120"/>
    </row>
    <row r="197">
      <c r="B197" s="120"/>
    </row>
    <row r="198">
      <c r="B198" s="120"/>
    </row>
    <row r="199">
      <c r="B199" s="120"/>
    </row>
    <row r="200">
      <c r="B200" s="120"/>
    </row>
    <row r="201">
      <c r="B201" s="120"/>
    </row>
    <row r="202">
      <c r="B202" s="120"/>
    </row>
    <row r="203">
      <c r="B203" s="120"/>
    </row>
    <row r="204">
      <c r="B204" s="120"/>
    </row>
    <row r="205">
      <c r="B205" s="120"/>
    </row>
    <row r="206">
      <c r="B206" s="120"/>
    </row>
    <row r="207">
      <c r="B207" s="120"/>
    </row>
    <row r="208">
      <c r="B208" s="120"/>
    </row>
    <row r="209">
      <c r="B209" s="120"/>
    </row>
    <row r="210">
      <c r="B210" s="120"/>
    </row>
    <row r="211">
      <c r="B211" s="120"/>
    </row>
    <row r="212">
      <c r="B212" s="120"/>
    </row>
    <row r="213">
      <c r="B213" s="120"/>
    </row>
    <row r="214">
      <c r="B214" s="120"/>
    </row>
    <row r="215">
      <c r="B215" s="120"/>
    </row>
    <row r="216">
      <c r="B216" s="120"/>
    </row>
    <row r="217">
      <c r="B217" s="120"/>
    </row>
    <row r="218">
      <c r="B218" s="120"/>
    </row>
    <row r="219">
      <c r="B219" s="120"/>
    </row>
    <row r="220">
      <c r="B220" s="120"/>
    </row>
    <row r="221">
      <c r="B221" s="120"/>
    </row>
    <row r="222">
      <c r="B222" s="120"/>
    </row>
    <row r="223">
      <c r="B223" s="120"/>
    </row>
    <row r="224">
      <c r="B224" s="120"/>
    </row>
    <row r="225">
      <c r="B225" s="120"/>
    </row>
    <row r="226">
      <c r="B226" s="120"/>
    </row>
    <row r="227">
      <c r="B227" s="120"/>
    </row>
    <row r="228">
      <c r="B228" s="120"/>
    </row>
    <row r="229">
      <c r="B229" s="120"/>
    </row>
    <row r="230">
      <c r="B230" s="120"/>
    </row>
    <row r="231">
      <c r="B231" s="120"/>
    </row>
    <row r="232">
      <c r="B232" s="120"/>
    </row>
    <row r="233">
      <c r="B233" s="120"/>
    </row>
    <row r="234">
      <c r="B234" s="120"/>
    </row>
    <row r="235">
      <c r="B235" s="120"/>
    </row>
    <row r="236">
      <c r="B236" s="120"/>
    </row>
    <row r="237">
      <c r="B237" s="120"/>
    </row>
    <row r="238">
      <c r="B238" s="120"/>
    </row>
    <row r="239">
      <c r="B239" s="120"/>
    </row>
    <row r="240">
      <c r="B240" s="120"/>
    </row>
    <row r="241">
      <c r="B241" s="120"/>
    </row>
    <row r="242">
      <c r="B242" s="120"/>
    </row>
    <row r="243">
      <c r="B243" s="120"/>
    </row>
    <row r="244">
      <c r="B244" s="120"/>
    </row>
    <row r="245">
      <c r="B245" s="120"/>
    </row>
    <row r="246">
      <c r="B246" s="120"/>
    </row>
    <row r="247">
      <c r="B247" s="120"/>
    </row>
    <row r="248">
      <c r="B248" s="120"/>
    </row>
    <row r="249">
      <c r="B249" s="120"/>
    </row>
    <row r="250">
      <c r="B250" s="120"/>
    </row>
    <row r="251">
      <c r="B251" s="120"/>
    </row>
    <row r="252">
      <c r="B252" s="120"/>
    </row>
    <row r="253">
      <c r="B253" s="120"/>
    </row>
    <row r="254">
      <c r="B254" s="120"/>
    </row>
    <row r="255">
      <c r="B255" s="120"/>
    </row>
    <row r="256">
      <c r="B256" s="120"/>
    </row>
    <row r="257">
      <c r="B257" s="120"/>
    </row>
    <row r="258">
      <c r="B258" s="120"/>
    </row>
    <row r="259">
      <c r="B259" s="120"/>
    </row>
    <row r="260">
      <c r="B260" s="120"/>
    </row>
    <row r="261">
      <c r="B261" s="120"/>
    </row>
    <row r="262">
      <c r="B262" s="120"/>
    </row>
    <row r="263">
      <c r="B263" s="120"/>
    </row>
    <row r="264">
      <c r="B264" s="120"/>
    </row>
    <row r="265">
      <c r="B265" s="120"/>
    </row>
    <row r="266">
      <c r="B266" s="120"/>
    </row>
    <row r="267">
      <c r="B267" s="120"/>
    </row>
    <row r="268">
      <c r="B268" s="120"/>
    </row>
    <row r="269">
      <c r="B269" s="120"/>
    </row>
    <row r="270">
      <c r="B270" s="120"/>
    </row>
    <row r="271">
      <c r="B271" s="120"/>
    </row>
    <row r="272">
      <c r="B272" s="120"/>
    </row>
    <row r="273">
      <c r="B273" s="120"/>
    </row>
    <row r="274">
      <c r="B274" s="120"/>
    </row>
    <row r="275">
      <c r="B275" s="120"/>
    </row>
    <row r="276">
      <c r="B276" s="120"/>
    </row>
    <row r="277">
      <c r="B277" s="120"/>
    </row>
    <row r="278">
      <c r="B278" s="120"/>
    </row>
    <row r="279">
      <c r="B279" s="120"/>
    </row>
    <row r="280">
      <c r="B280" s="120"/>
    </row>
    <row r="281">
      <c r="B281" s="120"/>
    </row>
    <row r="282">
      <c r="B282" s="120"/>
    </row>
    <row r="283">
      <c r="B283" s="120"/>
    </row>
    <row r="284">
      <c r="B284" s="120"/>
    </row>
    <row r="285">
      <c r="B285" s="120"/>
    </row>
    <row r="286">
      <c r="B286" s="120"/>
    </row>
    <row r="287">
      <c r="B287" s="120"/>
    </row>
    <row r="288">
      <c r="B288" s="120"/>
    </row>
    <row r="289">
      <c r="B289" s="120"/>
    </row>
    <row r="290">
      <c r="B290" s="120"/>
    </row>
    <row r="291">
      <c r="B291" s="120"/>
    </row>
    <row r="292">
      <c r="B292" s="120"/>
    </row>
    <row r="293">
      <c r="B293" s="120"/>
    </row>
    <row r="294">
      <c r="B294" s="120"/>
    </row>
    <row r="295">
      <c r="B295" s="120"/>
    </row>
    <row r="296">
      <c r="B296" s="120"/>
    </row>
    <row r="297">
      <c r="B297" s="120"/>
    </row>
    <row r="298">
      <c r="B298" s="120"/>
    </row>
    <row r="299">
      <c r="B299" s="120"/>
    </row>
    <row r="300">
      <c r="B300" s="120"/>
    </row>
    <row r="301">
      <c r="B301" s="120"/>
    </row>
    <row r="302">
      <c r="B302" s="120"/>
    </row>
    <row r="303">
      <c r="B303" s="120"/>
    </row>
    <row r="304">
      <c r="B304" s="120"/>
    </row>
    <row r="305">
      <c r="B305" s="120"/>
    </row>
    <row r="306">
      <c r="B306" s="120"/>
    </row>
    <row r="307">
      <c r="B307" s="120"/>
    </row>
    <row r="308">
      <c r="B308" s="120"/>
    </row>
    <row r="309">
      <c r="B309" s="120"/>
    </row>
    <row r="310">
      <c r="B310" s="120"/>
    </row>
    <row r="311">
      <c r="B311" s="120"/>
    </row>
    <row r="312">
      <c r="B312" s="120"/>
    </row>
    <row r="313">
      <c r="B313" s="120"/>
    </row>
    <row r="314">
      <c r="B314" s="120"/>
    </row>
    <row r="315">
      <c r="B315" s="120"/>
    </row>
    <row r="316">
      <c r="B316" s="120"/>
    </row>
    <row r="317">
      <c r="B317" s="120"/>
    </row>
    <row r="318">
      <c r="B318" s="120"/>
    </row>
    <row r="319">
      <c r="B319" s="120"/>
    </row>
    <row r="320">
      <c r="B320" s="120"/>
    </row>
    <row r="321">
      <c r="B321" s="120"/>
    </row>
    <row r="322">
      <c r="B322" s="120"/>
    </row>
    <row r="323">
      <c r="B323" s="120"/>
    </row>
    <row r="324">
      <c r="B324" s="120"/>
    </row>
    <row r="325">
      <c r="B325" s="120"/>
    </row>
    <row r="326">
      <c r="B326" s="120"/>
    </row>
    <row r="327">
      <c r="B327" s="120"/>
    </row>
    <row r="328">
      <c r="B328" s="120"/>
    </row>
    <row r="329">
      <c r="B329" s="120"/>
    </row>
    <row r="330">
      <c r="B330" s="120"/>
    </row>
    <row r="331">
      <c r="B331" s="120"/>
    </row>
    <row r="332">
      <c r="B332" s="120"/>
    </row>
    <row r="333">
      <c r="B333" s="120"/>
    </row>
    <row r="334">
      <c r="B334" s="120"/>
    </row>
    <row r="335">
      <c r="B335" s="120"/>
    </row>
    <row r="336">
      <c r="B336" s="120"/>
    </row>
    <row r="337">
      <c r="B337" s="120"/>
    </row>
    <row r="338">
      <c r="B338" s="120"/>
    </row>
    <row r="339">
      <c r="B339" s="120"/>
    </row>
    <row r="340">
      <c r="B340" s="120"/>
    </row>
    <row r="341">
      <c r="B341" s="120"/>
    </row>
    <row r="342">
      <c r="B342" s="120"/>
    </row>
    <row r="343">
      <c r="B343" s="120"/>
    </row>
    <row r="344">
      <c r="B344" s="120"/>
    </row>
    <row r="345">
      <c r="B345" s="120"/>
    </row>
    <row r="346">
      <c r="B346" s="120"/>
    </row>
    <row r="347">
      <c r="B347" s="120"/>
    </row>
    <row r="348">
      <c r="B348" s="120"/>
    </row>
    <row r="349">
      <c r="B349" s="120"/>
    </row>
    <row r="350">
      <c r="B350" s="120"/>
    </row>
    <row r="351">
      <c r="B351" s="120"/>
    </row>
    <row r="352">
      <c r="B352" s="120"/>
    </row>
    <row r="353">
      <c r="B353" s="120"/>
    </row>
    <row r="354">
      <c r="B354" s="120"/>
    </row>
    <row r="355">
      <c r="B355" s="120"/>
    </row>
    <row r="356">
      <c r="B356" s="120"/>
    </row>
    <row r="357">
      <c r="B357" s="120"/>
    </row>
    <row r="358">
      <c r="B358" s="120"/>
    </row>
    <row r="359">
      <c r="B359" s="120"/>
    </row>
    <row r="360">
      <c r="B360" s="120"/>
    </row>
    <row r="361">
      <c r="B361" s="120"/>
    </row>
    <row r="362">
      <c r="B362" s="120"/>
    </row>
    <row r="363">
      <c r="B363" s="120"/>
    </row>
    <row r="364">
      <c r="B364" s="120"/>
    </row>
    <row r="365">
      <c r="B365" s="120"/>
    </row>
    <row r="366">
      <c r="B366" s="120"/>
    </row>
    <row r="367">
      <c r="B367" s="120"/>
    </row>
    <row r="368">
      <c r="B368" s="120"/>
    </row>
    <row r="369">
      <c r="B369" s="120"/>
    </row>
    <row r="370">
      <c r="B370" s="120"/>
    </row>
    <row r="371">
      <c r="B371" s="120"/>
    </row>
    <row r="372">
      <c r="B372" s="120"/>
    </row>
    <row r="373">
      <c r="B373" s="120"/>
    </row>
    <row r="374">
      <c r="B374" s="120"/>
    </row>
    <row r="375">
      <c r="B375" s="120"/>
    </row>
    <row r="376">
      <c r="B376" s="120"/>
    </row>
    <row r="377">
      <c r="B377" s="120"/>
    </row>
    <row r="378">
      <c r="B378" s="120"/>
    </row>
    <row r="379">
      <c r="B379" s="120"/>
    </row>
    <row r="380">
      <c r="B380" s="120"/>
    </row>
    <row r="381">
      <c r="B381" s="120"/>
    </row>
    <row r="382">
      <c r="B382" s="120"/>
    </row>
    <row r="383">
      <c r="B383" s="120"/>
    </row>
    <row r="384">
      <c r="B384" s="120"/>
    </row>
    <row r="385">
      <c r="B385" s="120"/>
    </row>
    <row r="386">
      <c r="B386" s="120"/>
    </row>
    <row r="387">
      <c r="B387" s="120"/>
    </row>
    <row r="388">
      <c r="B388" s="120"/>
    </row>
    <row r="389">
      <c r="B389" s="120"/>
    </row>
    <row r="390">
      <c r="B390" s="120"/>
    </row>
    <row r="391">
      <c r="B391" s="120"/>
    </row>
    <row r="392">
      <c r="B392" s="120"/>
    </row>
    <row r="393">
      <c r="B393" s="120"/>
    </row>
    <row r="394">
      <c r="B394" s="120"/>
    </row>
    <row r="395">
      <c r="B395" s="120"/>
    </row>
    <row r="396">
      <c r="B396" s="120"/>
    </row>
    <row r="397">
      <c r="B397" s="120"/>
    </row>
    <row r="398">
      <c r="B398" s="120"/>
    </row>
    <row r="399">
      <c r="B399" s="120"/>
    </row>
    <row r="400">
      <c r="B400" s="120"/>
    </row>
    <row r="401">
      <c r="B401" s="120"/>
    </row>
    <row r="402">
      <c r="B402" s="120"/>
    </row>
    <row r="403">
      <c r="B403" s="120"/>
    </row>
    <row r="404">
      <c r="B404" s="120"/>
    </row>
    <row r="405">
      <c r="B405" s="120"/>
    </row>
    <row r="406">
      <c r="B406" s="120"/>
    </row>
    <row r="407">
      <c r="B407" s="120"/>
    </row>
    <row r="408">
      <c r="B408" s="120"/>
    </row>
    <row r="409">
      <c r="B409" s="120"/>
    </row>
    <row r="410">
      <c r="B410" s="120"/>
    </row>
    <row r="411">
      <c r="B411" s="120"/>
    </row>
    <row r="412">
      <c r="B412" s="120"/>
    </row>
    <row r="413">
      <c r="B413" s="120"/>
    </row>
    <row r="414">
      <c r="B414" s="120"/>
    </row>
    <row r="415">
      <c r="B415" s="120"/>
    </row>
    <row r="416">
      <c r="B416" s="120"/>
    </row>
    <row r="417">
      <c r="B417" s="120"/>
    </row>
    <row r="418">
      <c r="B418" s="120"/>
    </row>
    <row r="419">
      <c r="B419" s="120"/>
    </row>
    <row r="420">
      <c r="B420" s="120"/>
    </row>
    <row r="421">
      <c r="B421" s="120"/>
    </row>
    <row r="422">
      <c r="B422" s="120"/>
    </row>
    <row r="423">
      <c r="B423" s="120"/>
    </row>
    <row r="424">
      <c r="B424" s="120"/>
    </row>
    <row r="425">
      <c r="B425" s="120"/>
    </row>
    <row r="426">
      <c r="B426" s="120"/>
    </row>
    <row r="427">
      <c r="B427" s="120"/>
    </row>
    <row r="428">
      <c r="B428" s="120"/>
    </row>
    <row r="429">
      <c r="B429" s="120"/>
    </row>
    <row r="430">
      <c r="B430" s="120"/>
    </row>
    <row r="431">
      <c r="B431" s="120"/>
    </row>
    <row r="432">
      <c r="B432" s="120"/>
    </row>
    <row r="433">
      <c r="B433" s="120"/>
    </row>
    <row r="434">
      <c r="B434" s="120"/>
    </row>
    <row r="435">
      <c r="B435" s="120"/>
    </row>
    <row r="436">
      <c r="B436" s="120"/>
    </row>
    <row r="437">
      <c r="B437" s="120"/>
    </row>
    <row r="438">
      <c r="B438" s="120"/>
    </row>
    <row r="439">
      <c r="B439" s="120"/>
    </row>
    <row r="440">
      <c r="B440" s="120"/>
    </row>
    <row r="441">
      <c r="B441" s="120"/>
    </row>
    <row r="442">
      <c r="B442" s="120"/>
    </row>
    <row r="443">
      <c r="B443" s="120"/>
    </row>
    <row r="444">
      <c r="B444" s="120"/>
    </row>
    <row r="445">
      <c r="B445" s="120"/>
    </row>
    <row r="446">
      <c r="B446" s="120"/>
    </row>
    <row r="447">
      <c r="B447" s="120"/>
    </row>
    <row r="448">
      <c r="B448" s="120"/>
    </row>
    <row r="449">
      <c r="B449" s="120"/>
    </row>
    <row r="450">
      <c r="B450" s="120"/>
    </row>
    <row r="451">
      <c r="B451" s="120"/>
    </row>
    <row r="452">
      <c r="B452" s="120"/>
    </row>
    <row r="453">
      <c r="B453" s="120"/>
    </row>
    <row r="454">
      <c r="B454" s="120"/>
    </row>
    <row r="455">
      <c r="B455" s="120"/>
    </row>
    <row r="456">
      <c r="B456" s="120"/>
    </row>
    <row r="457">
      <c r="B457" s="120"/>
    </row>
    <row r="458">
      <c r="B458" s="120"/>
    </row>
    <row r="459">
      <c r="B459" s="120"/>
    </row>
    <row r="460">
      <c r="B460" s="120"/>
    </row>
    <row r="461">
      <c r="B461" s="120"/>
    </row>
    <row r="462">
      <c r="B462" s="120"/>
    </row>
    <row r="463">
      <c r="B463" s="120"/>
    </row>
    <row r="464">
      <c r="B464" s="120"/>
    </row>
    <row r="465">
      <c r="B465" s="120"/>
    </row>
    <row r="466">
      <c r="B466" s="120"/>
    </row>
    <row r="467">
      <c r="B467" s="120"/>
    </row>
    <row r="468">
      <c r="B468" s="120"/>
    </row>
    <row r="469">
      <c r="B469" s="120"/>
    </row>
    <row r="470">
      <c r="B470" s="120"/>
    </row>
    <row r="471">
      <c r="B471" s="120"/>
    </row>
    <row r="472">
      <c r="B472" s="120"/>
    </row>
    <row r="473">
      <c r="B473" s="120"/>
    </row>
    <row r="474">
      <c r="B474" s="120"/>
    </row>
    <row r="475">
      <c r="B475" s="120"/>
    </row>
    <row r="476">
      <c r="B476" s="120"/>
    </row>
    <row r="477">
      <c r="B477" s="120"/>
    </row>
    <row r="478">
      <c r="B478" s="120"/>
    </row>
    <row r="479">
      <c r="B479" s="120"/>
    </row>
    <row r="480">
      <c r="B480" s="120"/>
    </row>
    <row r="481">
      <c r="B481" s="120"/>
    </row>
    <row r="482">
      <c r="B482" s="120"/>
    </row>
    <row r="483">
      <c r="B483" s="120"/>
    </row>
    <row r="484">
      <c r="B484" s="120"/>
    </row>
    <row r="485">
      <c r="B485" s="120"/>
    </row>
    <row r="486">
      <c r="B486" s="120"/>
    </row>
    <row r="487">
      <c r="B487" s="120"/>
    </row>
    <row r="488">
      <c r="B488" s="120"/>
    </row>
    <row r="489">
      <c r="B489" s="120"/>
    </row>
    <row r="490">
      <c r="B490" s="120"/>
    </row>
    <row r="491">
      <c r="B491" s="120"/>
    </row>
    <row r="492">
      <c r="B492" s="120"/>
    </row>
    <row r="493">
      <c r="B493" s="120"/>
    </row>
    <row r="494">
      <c r="B494" s="120"/>
    </row>
    <row r="495">
      <c r="B495" s="120"/>
    </row>
    <row r="496">
      <c r="B496" s="120"/>
    </row>
    <row r="497">
      <c r="B497" s="120"/>
    </row>
    <row r="498">
      <c r="B498" s="120"/>
    </row>
    <row r="499">
      <c r="B499" s="120"/>
    </row>
    <row r="500">
      <c r="B500" s="120"/>
    </row>
    <row r="501">
      <c r="B501" s="120"/>
    </row>
    <row r="502">
      <c r="B502" s="120"/>
    </row>
    <row r="503">
      <c r="B503" s="120"/>
    </row>
    <row r="504">
      <c r="B504" s="120"/>
    </row>
    <row r="505">
      <c r="B505" s="120"/>
    </row>
    <row r="506">
      <c r="B506" s="120"/>
    </row>
    <row r="507">
      <c r="B507" s="120"/>
    </row>
    <row r="508">
      <c r="B508" s="120"/>
    </row>
    <row r="509">
      <c r="B509" s="120"/>
    </row>
    <row r="510">
      <c r="B510" s="120"/>
    </row>
    <row r="511">
      <c r="B511" s="120"/>
    </row>
    <row r="512">
      <c r="B512" s="120"/>
    </row>
    <row r="513">
      <c r="B513" s="120"/>
    </row>
    <row r="514">
      <c r="B514" s="120"/>
    </row>
    <row r="515">
      <c r="B515" s="120"/>
    </row>
    <row r="516">
      <c r="B516" s="120"/>
    </row>
    <row r="517">
      <c r="B517" s="120"/>
    </row>
    <row r="518">
      <c r="B518" s="120"/>
    </row>
    <row r="519">
      <c r="B519" s="120"/>
    </row>
    <row r="520">
      <c r="B520" s="120"/>
    </row>
    <row r="521">
      <c r="B521" s="120"/>
    </row>
    <row r="522">
      <c r="B522" s="120"/>
    </row>
    <row r="523">
      <c r="B523" s="120"/>
    </row>
    <row r="524">
      <c r="B524" s="120"/>
    </row>
    <row r="525">
      <c r="B525" s="120"/>
    </row>
    <row r="526">
      <c r="B526" s="120"/>
    </row>
    <row r="527">
      <c r="B527" s="120"/>
    </row>
    <row r="528">
      <c r="B528" s="120"/>
    </row>
    <row r="529">
      <c r="B529" s="120"/>
    </row>
    <row r="530">
      <c r="B530" s="120"/>
    </row>
    <row r="531">
      <c r="B531" s="120"/>
    </row>
    <row r="532">
      <c r="B532" s="120"/>
    </row>
    <row r="533">
      <c r="B533" s="120"/>
    </row>
    <row r="534">
      <c r="B534" s="120"/>
    </row>
    <row r="535">
      <c r="B535" s="120"/>
    </row>
    <row r="536">
      <c r="B536" s="120"/>
    </row>
    <row r="537">
      <c r="B537" s="120"/>
    </row>
    <row r="538">
      <c r="B538" s="120"/>
    </row>
    <row r="539">
      <c r="B539" s="120"/>
    </row>
    <row r="540">
      <c r="B540" s="120"/>
    </row>
    <row r="541">
      <c r="B541" s="120"/>
    </row>
    <row r="542">
      <c r="B542" s="120"/>
    </row>
    <row r="543">
      <c r="B543" s="120"/>
    </row>
    <row r="544">
      <c r="B544" s="120"/>
    </row>
    <row r="545">
      <c r="B545" s="120"/>
    </row>
    <row r="546">
      <c r="B546" s="120"/>
    </row>
    <row r="547">
      <c r="B547" s="120"/>
    </row>
    <row r="548">
      <c r="B548" s="120"/>
    </row>
    <row r="549">
      <c r="B549" s="120"/>
    </row>
    <row r="550">
      <c r="B550" s="120"/>
    </row>
    <row r="551">
      <c r="B551" s="120"/>
    </row>
    <row r="552">
      <c r="B552" s="120"/>
    </row>
    <row r="553">
      <c r="B553" s="120"/>
    </row>
    <row r="554">
      <c r="B554" s="120"/>
    </row>
    <row r="555">
      <c r="B555" s="120"/>
    </row>
    <row r="556">
      <c r="B556" s="120"/>
    </row>
    <row r="557">
      <c r="B557" s="120"/>
    </row>
    <row r="558">
      <c r="B558" s="120"/>
    </row>
    <row r="559">
      <c r="B559" s="120"/>
    </row>
    <row r="560">
      <c r="B560" s="120"/>
    </row>
    <row r="561">
      <c r="B561" s="120"/>
    </row>
    <row r="562">
      <c r="B562" s="120"/>
    </row>
    <row r="563">
      <c r="B563" s="120"/>
    </row>
    <row r="564">
      <c r="B564" s="120"/>
    </row>
    <row r="565">
      <c r="B565" s="120"/>
    </row>
    <row r="566">
      <c r="B566" s="120"/>
    </row>
    <row r="567">
      <c r="B567" s="120"/>
    </row>
    <row r="568">
      <c r="B568" s="120"/>
    </row>
    <row r="569">
      <c r="B569" s="120"/>
    </row>
    <row r="570">
      <c r="B570" s="120"/>
    </row>
    <row r="571">
      <c r="B571" s="120"/>
    </row>
    <row r="572">
      <c r="B572" s="120"/>
    </row>
    <row r="573">
      <c r="B573" s="120"/>
    </row>
    <row r="574">
      <c r="B574" s="120"/>
    </row>
    <row r="575">
      <c r="B575" s="120"/>
    </row>
    <row r="576">
      <c r="B576" s="120"/>
    </row>
    <row r="577">
      <c r="B577" s="120"/>
    </row>
    <row r="578">
      <c r="B578" s="120"/>
    </row>
    <row r="579">
      <c r="B579" s="120"/>
    </row>
    <row r="580">
      <c r="B580" s="120"/>
    </row>
    <row r="581">
      <c r="B581" s="120"/>
    </row>
    <row r="582">
      <c r="B582" s="120"/>
    </row>
    <row r="583">
      <c r="B583" s="120"/>
    </row>
    <row r="584">
      <c r="B584" s="120"/>
    </row>
    <row r="585">
      <c r="B585" s="120"/>
    </row>
    <row r="586">
      <c r="B586" s="120"/>
    </row>
    <row r="587">
      <c r="B587" s="120"/>
    </row>
    <row r="588">
      <c r="B588" s="120"/>
    </row>
    <row r="589">
      <c r="B589" s="120"/>
    </row>
    <row r="590">
      <c r="B590" s="120"/>
    </row>
    <row r="591">
      <c r="B591" s="120"/>
    </row>
    <row r="592">
      <c r="B592" s="120"/>
    </row>
    <row r="593">
      <c r="B593" s="120"/>
    </row>
    <row r="594">
      <c r="B594" s="120"/>
    </row>
    <row r="595">
      <c r="B595" s="120"/>
    </row>
    <row r="596">
      <c r="B596" s="120"/>
    </row>
    <row r="597">
      <c r="B597" s="120"/>
    </row>
    <row r="598">
      <c r="B598" s="120"/>
    </row>
    <row r="599">
      <c r="B599" s="120"/>
    </row>
    <row r="600">
      <c r="B600" s="120"/>
    </row>
    <row r="601">
      <c r="B601" s="120"/>
    </row>
    <row r="602">
      <c r="B602" s="120"/>
    </row>
    <row r="603">
      <c r="B603" s="120"/>
    </row>
    <row r="604">
      <c r="B604" s="120"/>
    </row>
    <row r="605">
      <c r="B605" s="120"/>
    </row>
    <row r="606">
      <c r="B606" s="120"/>
    </row>
    <row r="607">
      <c r="B607" s="120"/>
    </row>
    <row r="608">
      <c r="B608" s="120"/>
    </row>
    <row r="609">
      <c r="B609" s="120"/>
    </row>
    <row r="610">
      <c r="B610" s="120"/>
    </row>
    <row r="611">
      <c r="B611" s="120"/>
    </row>
    <row r="612">
      <c r="B612" s="120"/>
    </row>
    <row r="613">
      <c r="B613" s="120"/>
    </row>
    <row r="614">
      <c r="B614" s="120"/>
    </row>
    <row r="615">
      <c r="B615" s="120"/>
    </row>
    <row r="616">
      <c r="B616" s="120"/>
    </row>
    <row r="617">
      <c r="B617" s="120"/>
    </row>
    <row r="618">
      <c r="B618" s="120"/>
    </row>
    <row r="619">
      <c r="B619" s="120"/>
    </row>
    <row r="620">
      <c r="B620" s="120"/>
    </row>
    <row r="621">
      <c r="B621" s="120"/>
    </row>
    <row r="622">
      <c r="B622" s="120"/>
    </row>
    <row r="623">
      <c r="B623" s="120"/>
    </row>
    <row r="624">
      <c r="B624" s="120"/>
    </row>
    <row r="625">
      <c r="B625" s="120"/>
    </row>
    <row r="626">
      <c r="B626" s="120"/>
    </row>
    <row r="627">
      <c r="B627" s="120"/>
    </row>
    <row r="628">
      <c r="B628" s="120"/>
    </row>
    <row r="629">
      <c r="B629" s="120"/>
    </row>
    <row r="630">
      <c r="B630" s="120"/>
    </row>
    <row r="631">
      <c r="B631" s="120"/>
    </row>
    <row r="632">
      <c r="B632" s="120"/>
    </row>
    <row r="633">
      <c r="B633" s="120"/>
    </row>
    <row r="634">
      <c r="B634" s="120"/>
    </row>
    <row r="635">
      <c r="B635" s="120"/>
    </row>
    <row r="636">
      <c r="B636" s="120"/>
    </row>
    <row r="637">
      <c r="B637" s="120"/>
    </row>
    <row r="638">
      <c r="B638" s="120"/>
    </row>
    <row r="639">
      <c r="B639" s="120"/>
    </row>
    <row r="640">
      <c r="B640" s="120"/>
    </row>
    <row r="641">
      <c r="B641" s="120"/>
    </row>
    <row r="642">
      <c r="B642" s="120"/>
    </row>
    <row r="643">
      <c r="B643" s="120"/>
    </row>
    <row r="644">
      <c r="B644" s="120"/>
    </row>
    <row r="645">
      <c r="B645" s="120"/>
    </row>
    <row r="646">
      <c r="B646" s="120"/>
    </row>
    <row r="647">
      <c r="B647" s="120"/>
    </row>
    <row r="648">
      <c r="B648" s="120"/>
    </row>
    <row r="649">
      <c r="B649" s="120"/>
    </row>
    <row r="650">
      <c r="B650" s="120"/>
    </row>
    <row r="651">
      <c r="B651" s="120"/>
    </row>
    <row r="652">
      <c r="B652" s="120"/>
    </row>
    <row r="653">
      <c r="B653" s="120"/>
    </row>
    <row r="654">
      <c r="B654" s="120"/>
    </row>
    <row r="655">
      <c r="B655" s="120"/>
    </row>
    <row r="656">
      <c r="B656" s="120"/>
    </row>
    <row r="657">
      <c r="B657" s="120"/>
    </row>
    <row r="658">
      <c r="B658" s="120"/>
    </row>
    <row r="659">
      <c r="B659" s="120"/>
    </row>
    <row r="660">
      <c r="B660" s="120"/>
    </row>
    <row r="661">
      <c r="B661" s="120"/>
    </row>
    <row r="662">
      <c r="B662" s="120"/>
    </row>
    <row r="663">
      <c r="B663" s="120"/>
    </row>
    <row r="664">
      <c r="B664" s="120"/>
    </row>
    <row r="665">
      <c r="B665" s="120"/>
    </row>
    <row r="666">
      <c r="B666" s="120"/>
    </row>
    <row r="667">
      <c r="B667" s="120"/>
    </row>
    <row r="668">
      <c r="B668" s="120"/>
    </row>
    <row r="669">
      <c r="B669" s="120"/>
    </row>
    <row r="670">
      <c r="B670" s="120"/>
    </row>
    <row r="671">
      <c r="B671" s="120"/>
    </row>
    <row r="672">
      <c r="B672" s="120"/>
    </row>
    <row r="673">
      <c r="B673" s="120"/>
    </row>
    <row r="674">
      <c r="B674" s="120"/>
    </row>
    <row r="675">
      <c r="B675" s="120"/>
    </row>
    <row r="676">
      <c r="B676" s="120"/>
    </row>
    <row r="677">
      <c r="B677" s="120"/>
    </row>
    <row r="678">
      <c r="B678" s="120"/>
    </row>
    <row r="679">
      <c r="B679" s="120"/>
    </row>
    <row r="680">
      <c r="B680" s="120"/>
    </row>
    <row r="681">
      <c r="B681" s="120"/>
    </row>
    <row r="682">
      <c r="B682" s="120"/>
    </row>
    <row r="683">
      <c r="B683" s="120"/>
    </row>
    <row r="684">
      <c r="B684" s="120"/>
    </row>
    <row r="685">
      <c r="B685" s="120"/>
    </row>
    <row r="686">
      <c r="B686" s="120"/>
    </row>
    <row r="687">
      <c r="B687" s="120"/>
    </row>
    <row r="688">
      <c r="B688" s="120"/>
    </row>
    <row r="689">
      <c r="B689" s="120"/>
    </row>
    <row r="690">
      <c r="B690" s="120"/>
    </row>
    <row r="691">
      <c r="B691" s="120"/>
    </row>
    <row r="692">
      <c r="B692" s="120"/>
    </row>
    <row r="693">
      <c r="B693" s="120"/>
    </row>
    <row r="694">
      <c r="B694" s="120"/>
    </row>
    <row r="695">
      <c r="B695" s="120"/>
    </row>
    <row r="696">
      <c r="B696" s="120"/>
    </row>
    <row r="697">
      <c r="B697" s="120"/>
    </row>
    <row r="698">
      <c r="B698" s="120"/>
    </row>
    <row r="699">
      <c r="B699" s="120"/>
    </row>
    <row r="700">
      <c r="B700" s="120"/>
    </row>
    <row r="701">
      <c r="B701" s="120"/>
    </row>
    <row r="702">
      <c r="B702" s="120"/>
    </row>
    <row r="703">
      <c r="B703" s="120"/>
    </row>
    <row r="704">
      <c r="B704" s="120"/>
    </row>
    <row r="705">
      <c r="B705" s="120"/>
    </row>
    <row r="706">
      <c r="B706" s="120"/>
    </row>
    <row r="707">
      <c r="B707" s="120"/>
    </row>
    <row r="708">
      <c r="B708" s="120"/>
    </row>
    <row r="709">
      <c r="B709" s="120"/>
    </row>
    <row r="710">
      <c r="B710" s="120"/>
    </row>
    <row r="711">
      <c r="B711" s="120"/>
    </row>
    <row r="712">
      <c r="B712" s="120"/>
    </row>
    <row r="713">
      <c r="B713" s="120"/>
    </row>
    <row r="714">
      <c r="B714" s="120"/>
    </row>
    <row r="715">
      <c r="B715" s="120"/>
    </row>
    <row r="716">
      <c r="B716" s="120"/>
    </row>
    <row r="717">
      <c r="B717" s="120"/>
    </row>
    <row r="718">
      <c r="B718" s="120"/>
    </row>
    <row r="719">
      <c r="B719" s="120"/>
    </row>
    <row r="720">
      <c r="B720" s="120"/>
    </row>
    <row r="721">
      <c r="B721" s="120"/>
    </row>
    <row r="722">
      <c r="B722" s="120"/>
    </row>
    <row r="723">
      <c r="B723" s="120"/>
    </row>
    <row r="724">
      <c r="B724" s="120"/>
    </row>
    <row r="725">
      <c r="B725" s="120"/>
    </row>
    <row r="726">
      <c r="B726" s="120"/>
    </row>
    <row r="727">
      <c r="B727" s="120"/>
    </row>
    <row r="728">
      <c r="B728" s="120"/>
    </row>
    <row r="729">
      <c r="B729" s="120"/>
    </row>
    <row r="730">
      <c r="B730" s="120"/>
    </row>
    <row r="731">
      <c r="B731" s="120"/>
    </row>
    <row r="732">
      <c r="B732" s="120"/>
    </row>
    <row r="733">
      <c r="B733" s="120"/>
    </row>
    <row r="734">
      <c r="B734" s="120"/>
    </row>
    <row r="735">
      <c r="B735" s="120"/>
    </row>
    <row r="736">
      <c r="B736" s="120"/>
    </row>
    <row r="737">
      <c r="B737" s="120"/>
    </row>
    <row r="738">
      <c r="B738" s="120"/>
    </row>
    <row r="739">
      <c r="B739" s="120"/>
    </row>
    <row r="740">
      <c r="B740" s="120"/>
    </row>
    <row r="741">
      <c r="B741" s="120"/>
    </row>
    <row r="742">
      <c r="B742" s="120"/>
    </row>
    <row r="743">
      <c r="B743" s="120"/>
    </row>
    <row r="744">
      <c r="B744" s="120"/>
    </row>
    <row r="745">
      <c r="B745" s="120"/>
    </row>
    <row r="746">
      <c r="B746" s="120"/>
    </row>
    <row r="747">
      <c r="B747" s="120"/>
    </row>
    <row r="748">
      <c r="B748" s="120"/>
    </row>
    <row r="749">
      <c r="B749" s="120"/>
    </row>
    <row r="750">
      <c r="B750" s="120"/>
    </row>
    <row r="751">
      <c r="B751" s="120"/>
    </row>
    <row r="752">
      <c r="B752" s="120"/>
    </row>
    <row r="753">
      <c r="B753" s="120"/>
    </row>
    <row r="754">
      <c r="B754" s="120"/>
    </row>
    <row r="755">
      <c r="B755" s="120"/>
    </row>
    <row r="756">
      <c r="B756" s="120"/>
    </row>
    <row r="757">
      <c r="B757" s="120"/>
    </row>
    <row r="758">
      <c r="B758" s="120"/>
    </row>
    <row r="759">
      <c r="B759" s="120"/>
    </row>
    <row r="760">
      <c r="B760" s="120"/>
    </row>
    <row r="761">
      <c r="B761" s="120"/>
    </row>
    <row r="762">
      <c r="B762" s="120"/>
    </row>
    <row r="763">
      <c r="B763" s="120"/>
    </row>
    <row r="764">
      <c r="B764" s="120"/>
    </row>
    <row r="765">
      <c r="B765" s="120"/>
    </row>
    <row r="766">
      <c r="B766" s="120"/>
    </row>
    <row r="767">
      <c r="B767" s="120"/>
    </row>
    <row r="768">
      <c r="B768" s="120"/>
    </row>
    <row r="769">
      <c r="B769" s="120"/>
    </row>
    <row r="770">
      <c r="B770" s="120"/>
    </row>
    <row r="771">
      <c r="B771" s="120"/>
    </row>
    <row r="772">
      <c r="B772" s="120"/>
    </row>
    <row r="773">
      <c r="B773" s="120"/>
    </row>
    <row r="774">
      <c r="B774" s="120"/>
    </row>
    <row r="775">
      <c r="B775" s="120"/>
    </row>
    <row r="776">
      <c r="B776" s="120"/>
    </row>
    <row r="777">
      <c r="B777" s="120"/>
    </row>
    <row r="778">
      <c r="B778" s="120"/>
    </row>
    <row r="779">
      <c r="B779" s="120"/>
    </row>
    <row r="780">
      <c r="B780" s="120"/>
    </row>
    <row r="781">
      <c r="B781" s="120"/>
    </row>
    <row r="782">
      <c r="B782" s="120"/>
    </row>
    <row r="783">
      <c r="B783" s="120"/>
    </row>
    <row r="784">
      <c r="B784" s="120"/>
    </row>
    <row r="785">
      <c r="B785" s="120"/>
    </row>
    <row r="786">
      <c r="B786" s="120"/>
    </row>
    <row r="787">
      <c r="B787" s="120"/>
    </row>
    <row r="788">
      <c r="B788" s="120"/>
    </row>
    <row r="789">
      <c r="B789" s="120"/>
    </row>
    <row r="790">
      <c r="B790" s="120"/>
    </row>
    <row r="791">
      <c r="B791" s="120"/>
    </row>
    <row r="792">
      <c r="B792" s="120"/>
    </row>
    <row r="793">
      <c r="B793" s="120"/>
    </row>
    <row r="794">
      <c r="B794" s="120"/>
    </row>
    <row r="795">
      <c r="B795" s="120"/>
    </row>
    <row r="796">
      <c r="B796" s="120"/>
    </row>
    <row r="797">
      <c r="B797" s="120"/>
    </row>
    <row r="798">
      <c r="B798" s="120"/>
    </row>
    <row r="799">
      <c r="B799" s="120"/>
    </row>
    <row r="800">
      <c r="B800" s="120"/>
    </row>
    <row r="801">
      <c r="B801" s="120"/>
    </row>
    <row r="802">
      <c r="B802" s="120"/>
    </row>
    <row r="803">
      <c r="B803" s="120"/>
    </row>
    <row r="804">
      <c r="B804" s="120"/>
    </row>
    <row r="805">
      <c r="B805" s="120"/>
    </row>
    <row r="806">
      <c r="B806" s="120"/>
    </row>
    <row r="807">
      <c r="B807" s="120"/>
    </row>
    <row r="808">
      <c r="B808" s="120"/>
    </row>
    <row r="809">
      <c r="B809" s="120"/>
    </row>
    <row r="810">
      <c r="B810" s="120"/>
    </row>
    <row r="811">
      <c r="B811" s="120"/>
    </row>
    <row r="812">
      <c r="B812" s="120"/>
    </row>
    <row r="813">
      <c r="B813" s="120"/>
    </row>
    <row r="814">
      <c r="B814" s="120"/>
    </row>
    <row r="815">
      <c r="B815" s="120"/>
    </row>
    <row r="816">
      <c r="B816" s="120"/>
    </row>
    <row r="817">
      <c r="B817" s="120"/>
    </row>
    <row r="818">
      <c r="B818" s="120"/>
    </row>
    <row r="819">
      <c r="B819" s="120"/>
    </row>
    <row r="820">
      <c r="B820" s="120"/>
    </row>
    <row r="821">
      <c r="B821" s="120"/>
    </row>
    <row r="822">
      <c r="B822" s="120"/>
    </row>
    <row r="823">
      <c r="B823" s="120"/>
    </row>
    <row r="824">
      <c r="B824" s="120"/>
    </row>
    <row r="825">
      <c r="B825" s="120"/>
    </row>
    <row r="826">
      <c r="B826" s="120"/>
    </row>
    <row r="827">
      <c r="B827" s="120"/>
    </row>
    <row r="828">
      <c r="B828" s="120"/>
    </row>
    <row r="829">
      <c r="B829" s="120"/>
    </row>
    <row r="830">
      <c r="B830" s="120"/>
    </row>
    <row r="831">
      <c r="B831" s="120"/>
    </row>
    <row r="832">
      <c r="B832" s="120"/>
    </row>
    <row r="833">
      <c r="B833" s="120"/>
    </row>
    <row r="834">
      <c r="B834" s="120"/>
    </row>
    <row r="835">
      <c r="B835" s="120"/>
    </row>
    <row r="836">
      <c r="B836" s="120"/>
    </row>
    <row r="837">
      <c r="B837" s="120"/>
    </row>
    <row r="838">
      <c r="B838" s="120"/>
    </row>
    <row r="839">
      <c r="B839" s="120"/>
    </row>
    <row r="840">
      <c r="B840" s="120"/>
    </row>
    <row r="841">
      <c r="B841" s="120"/>
    </row>
    <row r="842">
      <c r="B842" s="120"/>
    </row>
    <row r="843">
      <c r="B843" s="120"/>
    </row>
    <row r="844">
      <c r="B844" s="120"/>
    </row>
    <row r="845">
      <c r="B845" s="120"/>
    </row>
    <row r="846">
      <c r="B846" s="120"/>
    </row>
    <row r="847">
      <c r="B847" s="120"/>
    </row>
    <row r="848">
      <c r="B848" s="120"/>
    </row>
    <row r="849">
      <c r="B849" s="120"/>
    </row>
    <row r="850">
      <c r="B850" s="120"/>
    </row>
    <row r="851">
      <c r="B851" s="120"/>
    </row>
    <row r="852">
      <c r="B852" s="120"/>
    </row>
    <row r="853">
      <c r="B853" s="120"/>
    </row>
    <row r="854">
      <c r="B854" s="120"/>
    </row>
    <row r="855">
      <c r="B855" s="120"/>
    </row>
    <row r="856">
      <c r="B856" s="120"/>
    </row>
    <row r="857">
      <c r="B857" s="120"/>
    </row>
    <row r="858">
      <c r="B858" s="120"/>
    </row>
    <row r="859">
      <c r="B859" s="120"/>
    </row>
    <row r="860">
      <c r="B860" s="120"/>
    </row>
    <row r="861">
      <c r="B861" s="120"/>
    </row>
    <row r="862">
      <c r="B862" s="120"/>
    </row>
    <row r="863">
      <c r="B863" s="120"/>
    </row>
    <row r="864">
      <c r="B864" s="120"/>
    </row>
    <row r="865">
      <c r="B865" s="120"/>
    </row>
    <row r="866">
      <c r="B866" s="120"/>
    </row>
    <row r="867">
      <c r="B867" s="120"/>
    </row>
    <row r="868">
      <c r="B868" s="120"/>
    </row>
    <row r="869">
      <c r="B869" s="120"/>
    </row>
    <row r="870">
      <c r="B870" s="120"/>
    </row>
    <row r="871">
      <c r="B871" s="120"/>
    </row>
    <row r="872">
      <c r="B872" s="120"/>
    </row>
    <row r="873">
      <c r="B873" s="120"/>
    </row>
    <row r="874">
      <c r="B874" s="120"/>
    </row>
    <row r="875">
      <c r="B875" s="120"/>
    </row>
    <row r="876">
      <c r="B876" s="120"/>
    </row>
    <row r="877">
      <c r="B877" s="120"/>
    </row>
    <row r="878">
      <c r="B878" s="120"/>
    </row>
    <row r="879">
      <c r="B879" s="120"/>
    </row>
    <row r="880">
      <c r="B880" s="120"/>
    </row>
    <row r="881">
      <c r="B881" s="120"/>
    </row>
    <row r="882">
      <c r="B882" s="120"/>
    </row>
    <row r="883">
      <c r="B883" s="120"/>
    </row>
    <row r="884">
      <c r="B884" s="120"/>
    </row>
    <row r="885">
      <c r="B885" s="120"/>
    </row>
    <row r="886">
      <c r="B886" s="120"/>
    </row>
    <row r="887">
      <c r="B887" s="120"/>
    </row>
    <row r="888">
      <c r="B888" s="120"/>
    </row>
    <row r="889">
      <c r="B889" s="120"/>
    </row>
    <row r="890">
      <c r="B890" s="120"/>
    </row>
    <row r="891">
      <c r="B891" s="120"/>
    </row>
    <row r="892">
      <c r="B892" s="120"/>
    </row>
    <row r="893">
      <c r="B893" s="120"/>
    </row>
    <row r="894">
      <c r="B894" s="120"/>
    </row>
    <row r="895">
      <c r="B895" s="120"/>
    </row>
    <row r="896">
      <c r="B896" s="120"/>
    </row>
    <row r="897">
      <c r="B897" s="120"/>
    </row>
    <row r="898">
      <c r="B898" s="120"/>
    </row>
    <row r="899">
      <c r="B899" s="120"/>
    </row>
    <row r="900">
      <c r="B900" s="120"/>
    </row>
    <row r="901">
      <c r="B901" s="120"/>
    </row>
    <row r="902">
      <c r="B902" s="120"/>
    </row>
    <row r="903">
      <c r="B903" s="120"/>
    </row>
    <row r="904">
      <c r="B904" s="120"/>
    </row>
    <row r="905">
      <c r="B905" s="120"/>
    </row>
    <row r="906">
      <c r="B906" s="120"/>
    </row>
    <row r="907">
      <c r="B907" s="120"/>
    </row>
    <row r="908">
      <c r="B908" s="120"/>
    </row>
    <row r="909">
      <c r="B909" s="120"/>
    </row>
    <row r="910">
      <c r="B910" s="120"/>
    </row>
    <row r="911">
      <c r="B911" s="120"/>
    </row>
    <row r="912">
      <c r="B912" s="120"/>
    </row>
    <row r="913">
      <c r="B913" s="120"/>
    </row>
    <row r="914">
      <c r="B914" s="120"/>
    </row>
    <row r="915">
      <c r="B915" s="120"/>
    </row>
    <row r="916">
      <c r="B916" s="120"/>
    </row>
    <row r="917">
      <c r="B917" s="120"/>
    </row>
    <row r="918">
      <c r="B918" s="120"/>
    </row>
    <row r="919">
      <c r="B919" s="120"/>
    </row>
    <row r="920">
      <c r="B920" s="120"/>
    </row>
    <row r="921">
      <c r="B921" s="120"/>
    </row>
    <row r="922">
      <c r="B922" s="120"/>
    </row>
    <row r="923">
      <c r="B923" s="120"/>
    </row>
    <row r="924">
      <c r="B924" s="120"/>
    </row>
    <row r="925">
      <c r="B925" s="120"/>
    </row>
    <row r="926">
      <c r="B926" s="120"/>
    </row>
    <row r="927">
      <c r="B927" s="120"/>
    </row>
    <row r="928">
      <c r="B928" s="120"/>
    </row>
    <row r="929">
      <c r="B929" s="120"/>
    </row>
    <row r="930">
      <c r="B930" s="120"/>
    </row>
    <row r="931">
      <c r="B931" s="120"/>
    </row>
    <row r="932">
      <c r="B932" s="120"/>
    </row>
    <row r="933">
      <c r="B933" s="120"/>
    </row>
    <row r="934">
      <c r="B934" s="120"/>
    </row>
    <row r="935">
      <c r="B935" s="120"/>
    </row>
    <row r="936">
      <c r="B936" s="120"/>
    </row>
    <row r="937">
      <c r="B937" s="120"/>
    </row>
    <row r="938">
      <c r="B938" s="120"/>
    </row>
    <row r="939">
      <c r="B939" s="120"/>
    </row>
    <row r="940">
      <c r="B940" s="120"/>
    </row>
    <row r="941">
      <c r="B941" s="120"/>
    </row>
    <row r="942">
      <c r="B942" s="120"/>
    </row>
    <row r="943">
      <c r="B943" s="120"/>
    </row>
    <row r="944">
      <c r="B944" s="120"/>
    </row>
    <row r="945">
      <c r="B945" s="120"/>
    </row>
    <row r="946">
      <c r="B946" s="120"/>
    </row>
    <row r="947">
      <c r="B947" s="120"/>
    </row>
    <row r="948">
      <c r="B948" s="120"/>
    </row>
    <row r="949">
      <c r="B949" s="120"/>
    </row>
    <row r="950">
      <c r="B950" s="120"/>
    </row>
    <row r="951">
      <c r="B951" s="120"/>
    </row>
    <row r="952">
      <c r="B952" s="120"/>
    </row>
    <row r="953">
      <c r="B953" s="120"/>
    </row>
    <row r="954">
      <c r="B954" s="120"/>
    </row>
    <row r="955">
      <c r="B955" s="120"/>
    </row>
    <row r="956">
      <c r="B956" s="120"/>
    </row>
    <row r="957">
      <c r="B957" s="120"/>
    </row>
    <row r="958">
      <c r="B958" s="120"/>
    </row>
    <row r="959">
      <c r="B959" s="120"/>
    </row>
    <row r="960">
      <c r="B960" s="120"/>
    </row>
    <row r="961">
      <c r="B961" s="120"/>
    </row>
    <row r="962">
      <c r="B962" s="120"/>
    </row>
    <row r="963">
      <c r="B963" s="120"/>
    </row>
    <row r="964">
      <c r="B964" s="120"/>
    </row>
    <row r="965">
      <c r="B965" s="120"/>
    </row>
    <row r="966">
      <c r="B966" s="120"/>
    </row>
    <row r="967">
      <c r="B967" s="120"/>
    </row>
    <row r="968">
      <c r="B968" s="120"/>
    </row>
    <row r="969">
      <c r="B969" s="120"/>
    </row>
    <row r="970">
      <c r="B970" s="120"/>
    </row>
    <row r="971">
      <c r="B971" s="120"/>
    </row>
    <row r="972">
      <c r="B972" s="120"/>
    </row>
    <row r="973">
      <c r="B973" s="120"/>
    </row>
    <row r="974">
      <c r="B974" s="120"/>
    </row>
    <row r="975">
      <c r="B975" s="120"/>
    </row>
    <row r="976">
      <c r="B976" s="120"/>
    </row>
    <row r="977">
      <c r="B977" s="120"/>
    </row>
    <row r="978">
      <c r="B978" s="120"/>
    </row>
    <row r="979">
      <c r="B979" s="120"/>
    </row>
    <row r="980">
      <c r="B980" s="120"/>
    </row>
    <row r="981">
      <c r="B981" s="120"/>
    </row>
    <row r="982">
      <c r="B982" s="120"/>
    </row>
    <row r="983">
      <c r="B983" s="120"/>
    </row>
    <row r="984">
      <c r="B984" s="120"/>
    </row>
    <row r="985">
      <c r="B985" s="120"/>
    </row>
    <row r="986">
      <c r="B986" s="120"/>
    </row>
    <row r="987">
      <c r="B987" s="120"/>
    </row>
    <row r="988">
      <c r="B988" s="120"/>
    </row>
    <row r="989">
      <c r="B989" s="120"/>
    </row>
    <row r="990">
      <c r="B990" s="120"/>
    </row>
    <row r="991">
      <c r="B991" s="120"/>
    </row>
    <row r="992">
      <c r="B992" s="120"/>
    </row>
    <row r="993">
      <c r="B993" s="120"/>
    </row>
    <row r="994">
      <c r="B994" s="120"/>
    </row>
    <row r="995">
      <c r="B995" s="120"/>
    </row>
    <row r="996">
      <c r="B996" s="120"/>
    </row>
    <row r="997">
      <c r="B997" s="120"/>
    </row>
    <row r="998">
      <c r="B998" s="120"/>
    </row>
    <row r="999">
      <c r="B999" s="120"/>
    </row>
    <row r="1000">
      <c r="B1000" s="120"/>
    </row>
  </sheetData>
  <hyperlinks>
    <hyperlink r:id="rId1" ref="B2"/>
    <hyperlink r:id="rId2" ref="B3"/>
    <hyperlink r:id="rId3" ref="B4"/>
    <hyperlink r:id="rId4" ref="B5"/>
    <hyperlink r:id="rId5" ref="B6"/>
    <hyperlink r:id="rId6" location="gid=380300159" ref="B7"/>
  </hyperlinks>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57"/>
    <col customWidth="1" min="2" max="2" width="11.57"/>
    <col customWidth="1" min="3" max="3" width="20.0"/>
    <col customWidth="1" min="4" max="4" width="11.0"/>
    <col customWidth="1" min="5" max="5" width="19.43"/>
    <col customWidth="1" min="6" max="6" width="15.0"/>
    <col customWidth="1" min="7" max="7" width="20.86"/>
    <col customWidth="1" min="8" max="8" width="20.0"/>
    <col customWidth="1" min="9" max="9" width="40.43"/>
    <col customWidth="1" min="10" max="10" width="14.86"/>
    <col customWidth="1" min="11" max="11" width="13.0"/>
    <col customWidth="1" min="12" max="12" width="9.57"/>
    <col customWidth="1" min="13" max="13" width="15.86"/>
    <col customWidth="1" min="14" max="14" width="23.57"/>
    <col customWidth="1" min="15" max="16" width="17.57"/>
    <col customWidth="1" min="19" max="19" width="15.86"/>
    <col customWidth="1" min="22" max="23" width="23.43"/>
    <col customWidth="1" min="24" max="27" width="15.86"/>
    <col customWidth="1" min="31" max="32" width="15.86"/>
    <col customWidth="1" min="35" max="38" width="20.0"/>
    <col customWidth="1" min="39" max="42" width="15.86"/>
  </cols>
  <sheetData>
    <row r="1">
      <c r="A1" s="123"/>
      <c r="B1" s="123"/>
      <c r="C1" s="123"/>
      <c r="D1" s="123"/>
      <c r="E1" s="123"/>
      <c r="F1" s="124"/>
      <c r="G1" s="124"/>
      <c r="H1" s="124"/>
      <c r="I1" s="123"/>
      <c r="J1" s="125"/>
      <c r="K1" s="124"/>
      <c r="L1" s="123"/>
      <c r="M1" s="123"/>
      <c r="N1" s="123"/>
      <c r="O1" s="125"/>
      <c r="P1" s="125"/>
      <c r="Q1" s="123"/>
      <c r="R1" s="123"/>
      <c r="S1" s="126"/>
      <c r="T1" s="127"/>
      <c r="U1" s="127"/>
      <c r="V1" s="127"/>
      <c r="W1" s="127"/>
      <c r="X1" s="126"/>
      <c r="Y1" s="127"/>
      <c r="Z1" s="123"/>
      <c r="AA1" s="123"/>
      <c r="AB1" s="123"/>
      <c r="AC1" s="123"/>
      <c r="AD1" s="123"/>
      <c r="AE1" s="123"/>
      <c r="AF1" s="123"/>
      <c r="AG1" s="123"/>
      <c r="AH1" s="123"/>
      <c r="AI1" s="123"/>
      <c r="AJ1" s="123"/>
      <c r="AK1" s="123"/>
      <c r="AL1" s="123"/>
      <c r="AM1" s="123"/>
      <c r="AN1" s="123"/>
      <c r="AO1" s="123"/>
      <c r="AP1" s="123"/>
    </row>
    <row r="2">
      <c r="A2" s="128" t="s">
        <v>1854</v>
      </c>
      <c r="B2" s="128" t="s">
        <v>1855</v>
      </c>
      <c r="C2" s="129" t="s">
        <v>1856</v>
      </c>
      <c r="D2" s="128" t="s">
        <v>1857</v>
      </c>
      <c r="E2" s="128" t="s">
        <v>1858</v>
      </c>
      <c r="F2" s="129" t="s">
        <v>1859</v>
      </c>
      <c r="G2" s="129" t="s">
        <v>1860</v>
      </c>
      <c r="H2" s="129" t="s">
        <v>1861</v>
      </c>
      <c r="I2" s="128" t="s">
        <v>1785</v>
      </c>
      <c r="J2" s="130" t="s">
        <v>1862</v>
      </c>
      <c r="K2" s="129" t="s">
        <v>1863</v>
      </c>
      <c r="L2" s="128" t="s">
        <v>12</v>
      </c>
      <c r="M2" s="128" t="s">
        <v>1864</v>
      </c>
      <c r="N2" s="128" t="s">
        <v>3</v>
      </c>
      <c r="O2" s="130" t="s">
        <v>1865</v>
      </c>
      <c r="P2" s="130" t="s">
        <v>1866</v>
      </c>
      <c r="Q2" s="128" t="s">
        <v>1867</v>
      </c>
      <c r="R2" s="128" t="s">
        <v>1868</v>
      </c>
      <c r="S2" s="131" t="s">
        <v>1869</v>
      </c>
      <c r="T2" s="132" t="s">
        <v>1870</v>
      </c>
      <c r="U2" s="132" t="s">
        <v>1871</v>
      </c>
      <c r="V2" s="132" t="s">
        <v>1872</v>
      </c>
      <c r="W2" s="132" t="s">
        <v>1873</v>
      </c>
      <c r="X2" s="131" t="s">
        <v>1874</v>
      </c>
      <c r="Y2" s="132" t="s">
        <v>1875</v>
      </c>
      <c r="Z2" s="128" t="s">
        <v>1876</v>
      </c>
      <c r="AA2" s="128" t="s">
        <v>1877</v>
      </c>
      <c r="AB2" s="128" t="s">
        <v>1878</v>
      </c>
      <c r="AC2" s="128" t="s">
        <v>1879</v>
      </c>
      <c r="AD2" s="128" t="s">
        <v>1880</v>
      </c>
      <c r="AE2" s="128" t="s">
        <v>1881</v>
      </c>
      <c r="AF2" s="128" t="s">
        <v>1882</v>
      </c>
      <c r="AG2" s="128" t="s">
        <v>1883</v>
      </c>
      <c r="AH2" s="128" t="s">
        <v>1884</v>
      </c>
      <c r="AI2" s="128" t="s">
        <v>1885</v>
      </c>
      <c r="AJ2" s="128" t="s">
        <v>1886</v>
      </c>
      <c r="AK2" s="128" t="s">
        <v>1887</v>
      </c>
      <c r="AL2" s="128" t="s">
        <v>1888</v>
      </c>
      <c r="AM2" s="128" t="s">
        <v>1889</v>
      </c>
      <c r="AN2" s="128" t="s">
        <v>1890</v>
      </c>
      <c r="AO2" s="128" t="s">
        <v>1891</v>
      </c>
      <c r="AP2" s="128" t="s">
        <v>1892</v>
      </c>
    </row>
    <row r="3">
      <c r="A3" s="133">
        <v>0.0</v>
      </c>
      <c r="B3" s="134"/>
      <c r="C3" s="135"/>
      <c r="D3" s="136" t="s">
        <v>1789</v>
      </c>
      <c r="E3" s="137"/>
      <c r="F3" s="138" t="s">
        <v>1893</v>
      </c>
      <c r="G3" s="138" t="s">
        <v>1894</v>
      </c>
      <c r="H3" s="138" t="s">
        <v>1895</v>
      </c>
      <c r="I3" s="138" t="s">
        <v>994</v>
      </c>
      <c r="J3" s="139"/>
      <c r="K3" s="140"/>
      <c r="L3" s="140"/>
      <c r="M3" s="140"/>
      <c r="N3" s="137"/>
      <c r="O3" s="141"/>
      <c r="P3" s="141"/>
      <c r="Q3" s="141"/>
      <c r="R3" s="141"/>
      <c r="S3" s="142"/>
      <c r="T3" s="142"/>
      <c r="U3" s="143"/>
      <c r="V3" s="142"/>
      <c r="W3" s="143"/>
      <c r="X3" s="142"/>
      <c r="Y3" s="143"/>
      <c r="Z3" s="140"/>
      <c r="AA3" s="140"/>
      <c r="AB3" s="140"/>
      <c r="AC3" s="134"/>
      <c r="AD3" s="140"/>
      <c r="AE3" s="134"/>
      <c r="AF3" s="140"/>
      <c r="AG3" s="134"/>
      <c r="AH3" s="140"/>
      <c r="AI3" s="142"/>
      <c r="AJ3" s="134"/>
      <c r="AK3" s="140"/>
      <c r="AL3" s="140"/>
      <c r="AM3" s="142"/>
      <c r="AN3" s="134"/>
      <c r="AO3" s="140"/>
      <c r="AP3" s="140"/>
    </row>
    <row r="4" hidden="1">
      <c r="A4" s="133">
        <v>1.0</v>
      </c>
      <c r="B4" s="134">
        <v>46069.0</v>
      </c>
      <c r="C4" s="135"/>
      <c r="D4" s="137" t="s">
        <v>1896</v>
      </c>
      <c r="E4" s="137" t="s">
        <v>1897</v>
      </c>
      <c r="F4" s="138" t="s">
        <v>1898</v>
      </c>
      <c r="G4" s="138" t="s">
        <v>1899</v>
      </c>
      <c r="H4" s="140"/>
      <c r="I4" s="140" t="s">
        <v>1900</v>
      </c>
      <c r="J4" s="139" t="s">
        <v>1901</v>
      </c>
      <c r="K4" s="140"/>
      <c r="L4" s="140"/>
      <c r="M4" s="140" t="s">
        <v>1902</v>
      </c>
      <c r="N4" s="137" t="s">
        <v>1903</v>
      </c>
      <c r="O4" s="141"/>
      <c r="P4" s="141"/>
      <c r="Q4" s="141">
        <v>107.0</v>
      </c>
      <c r="R4" s="141">
        <f t="shared" ref="R4:R103" si="1">Q4*80%</f>
        <v>85.6</v>
      </c>
      <c r="S4" s="142"/>
      <c r="T4" s="143">
        <f t="shared" ref="T4:T38" si="2">S4*0.5</f>
        <v>0</v>
      </c>
      <c r="U4" s="143"/>
      <c r="V4" s="142">
        <f t="shared" ref="V4:V9" si="3">T4*0.2*0.8</f>
        <v>0</v>
      </c>
      <c r="W4" s="143"/>
      <c r="X4" s="142">
        <f t="shared" ref="X4:X9" si="4">T4*0.1</f>
        <v>0</v>
      </c>
      <c r="Y4" s="143"/>
      <c r="Z4" s="140"/>
      <c r="AA4" s="140"/>
      <c r="AB4" s="140"/>
      <c r="AC4" s="134">
        <f t="shared" ref="AC4:AC14" si="5">AB4+30</f>
        <v>30</v>
      </c>
      <c r="AD4" s="140"/>
      <c r="AE4" s="134">
        <f t="shared" ref="AE4:AE14" si="6">AC4+60</f>
        <v>90</v>
      </c>
      <c r="AF4" s="140"/>
      <c r="AG4" s="134">
        <f t="shared" ref="AG4:AG14" si="7">AE4+60</f>
        <v>150</v>
      </c>
      <c r="AH4" s="140"/>
      <c r="AI4" s="142">
        <f t="shared" ref="AI4:AI14" si="8">T4*5%</f>
        <v>0</v>
      </c>
      <c r="AJ4" s="134">
        <f t="shared" ref="AJ4:AJ14" si="9">AG4+45</f>
        <v>195</v>
      </c>
      <c r="AK4" s="140"/>
      <c r="AL4" s="140"/>
      <c r="AM4" s="142">
        <f t="shared" ref="AM4:AM14" si="10">T4*10%</f>
        <v>0</v>
      </c>
      <c r="AN4" s="134">
        <f t="shared" ref="AN4:AN14" si="11">AG4+30</f>
        <v>180</v>
      </c>
      <c r="AO4" s="140"/>
      <c r="AP4" s="140"/>
    </row>
    <row r="5" hidden="1">
      <c r="A5" s="133">
        <v>2.0</v>
      </c>
      <c r="B5" s="134">
        <v>46069.0</v>
      </c>
      <c r="C5" s="135"/>
      <c r="D5" s="137" t="s">
        <v>1896</v>
      </c>
      <c r="E5" s="137" t="s">
        <v>1897</v>
      </c>
      <c r="F5" s="138" t="s">
        <v>1893</v>
      </c>
      <c r="G5" s="138" t="s">
        <v>1904</v>
      </c>
      <c r="H5" s="140"/>
      <c r="I5" s="140" t="s">
        <v>1905</v>
      </c>
      <c r="J5" s="139" t="s">
        <v>1901</v>
      </c>
      <c r="K5" s="140"/>
      <c r="L5" s="140"/>
      <c r="M5" s="140" t="s">
        <v>1906</v>
      </c>
      <c r="N5" s="137" t="s">
        <v>1903</v>
      </c>
      <c r="O5" s="141"/>
      <c r="P5" s="141"/>
      <c r="Q5" s="141">
        <v>354.0</v>
      </c>
      <c r="R5" s="141">
        <f t="shared" si="1"/>
        <v>283.2</v>
      </c>
      <c r="S5" s="142"/>
      <c r="T5" s="143">
        <f t="shared" si="2"/>
        <v>0</v>
      </c>
      <c r="U5" s="143"/>
      <c r="V5" s="142">
        <f t="shared" si="3"/>
        <v>0</v>
      </c>
      <c r="W5" s="143"/>
      <c r="X5" s="142">
        <f t="shared" si="4"/>
        <v>0</v>
      </c>
      <c r="Y5" s="143"/>
      <c r="Z5" s="140"/>
      <c r="AA5" s="140"/>
      <c r="AB5" s="140"/>
      <c r="AC5" s="134">
        <f t="shared" si="5"/>
        <v>30</v>
      </c>
      <c r="AD5" s="140"/>
      <c r="AE5" s="134">
        <f t="shared" si="6"/>
        <v>90</v>
      </c>
      <c r="AF5" s="140"/>
      <c r="AG5" s="134">
        <f t="shared" si="7"/>
        <v>150</v>
      </c>
      <c r="AH5" s="140"/>
      <c r="AI5" s="142">
        <f t="shared" si="8"/>
        <v>0</v>
      </c>
      <c r="AJ5" s="134">
        <f t="shared" si="9"/>
        <v>195</v>
      </c>
      <c r="AK5" s="140"/>
      <c r="AL5" s="140"/>
      <c r="AM5" s="142">
        <f t="shared" si="10"/>
        <v>0</v>
      </c>
      <c r="AN5" s="134">
        <f t="shared" si="11"/>
        <v>180</v>
      </c>
      <c r="AO5" s="140"/>
      <c r="AP5" s="140"/>
    </row>
    <row r="6">
      <c r="A6" s="133">
        <v>3.0</v>
      </c>
      <c r="B6" s="134">
        <v>46069.0</v>
      </c>
      <c r="C6" s="144" t="s">
        <v>1907</v>
      </c>
      <c r="D6" s="137" t="s">
        <v>1789</v>
      </c>
      <c r="E6" s="137" t="s">
        <v>1897</v>
      </c>
      <c r="F6" s="138" t="s">
        <v>1908</v>
      </c>
      <c r="G6" s="138" t="s">
        <v>1909</v>
      </c>
      <c r="H6" s="140"/>
      <c r="I6" s="138" t="s">
        <v>1910</v>
      </c>
      <c r="J6" s="139" t="s">
        <v>1911</v>
      </c>
      <c r="K6" s="138" t="s">
        <v>252</v>
      </c>
      <c r="L6" s="138" t="s">
        <v>1912</v>
      </c>
      <c r="M6" s="140" t="s">
        <v>1913</v>
      </c>
      <c r="N6" s="137" t="s">
        <v>1903</v>
      </c>
      <c r="O6" s="145" t="s">
        <v>1914</v>
      </c>
      <c r="P6" s="146"/>
      <c r="Q6" s="141">
        <v>17.0</v>
      </c>
      <c r="R6" s="141">
        <f t="shared" si="1"/>
        <v>13.6</v>
      </c>
      <c r="S6" s="147">
        <v>1.5573557E7</v>
      </c>
      <c r="T6" s="143">
        <f t="shared" si="2"/>
        <v>7786778.5</v>
      </c>
      <c r="U6" s="143"/>
      <c r="V6" s="142">
        <f t="shared" si="3"/>
        <v>1245884.56</v>
      </c>
      <c r="W6" s="143"/>
      <c r="X6" s="142">
        <f t="shared" si="4"/>
        <v>778677.85</v>
      </c>
      <c r="Y6" s="143"/>
      <c r="Z6" s="140"/>
      <c r="AA6" s="140"/>
      <c r="AB6" s="140"/>
      <c r="AC6" s="134">
        <f t="shared" si="5"/>
        <v>30</v>
      </c>
      <c r="AD6" s="140"/>
      <c r="AE6" s="134">
        <f t="shared" si="6"/>
        <v>90</v>
      </c>
      <c r="AF6" s="140"/>
      <c r="AG6" s="134">
        <f t="shared" si="7"/>
        <v>150</v>
      </c>
      <c r="AH6" s="140"/>
      <c r="AI6" s="142">
        <f t="shared" si="8"/>
        <v>389338.925</v>
      </c>
      <c r="AJ6" s="134">
        <f t="shared" si="9"/>
        <v>195</v>
      </c>
      <c r="AK6" s="140"/>
      <c r="AL6" s="140"/>
      <c r="AM6" s="142">
        <f t="shared" si="10"/>
        <v>778677.85</v>
      </c>
      <c r="AN6" s="134">
        <f t="shared" si="11"/>
        <v>180</v>
      </c>
      <c r="AO6" s="140"/>
      <c r="AP6" s="140"/>
    </row>
    <row r="7">
      <c r="A7" s="133">
        <v>4.0</v>
      </c>
      <c r="B7" s="134">
        <v>46069.0</v>
      </c>
      <c r="C7" s="135"/>
      <c r="D7" s="137" t="s">
        <v>1337</v>
      </c>
      <c r="E7" s="137" t="s">
        <v>1897</v>
      </c>
      <c r="F7" s="138" t="s">
        <v>1893</v>
      </c>
      <c r="G7" s="138" t="s">
        <v>1915</v>
      </c>
      <c r="H7" s="140"/>
      <c r="I7" s="140" t="s">
        <v>1916</v>
      </c>
      <c r="J7" s="139" t="s">
        <v>1917</v>
      </c>
      <c r="K7" s="138" t="s">
        <v>1918</v>
      </c>
      <c r="L7" s="138" t="s">
        <v>1919</v>
      </c>
      <c r="M7" s="140" t="s">
        <v>1902</v>
      </c>
      <c r="N7" s="137" t="s">
        <v>1903</v>
      </c>
      <c r="O7" s="145" t="s">
        <v>1920</v>
      </c>
      <c r="P7" s="141"/>
      <c r="Q7" s="141">
        <v>23.0</v>
      </c>
      <c r="R7" s="141">
        <f t="shared" si="1"/>
        <v>18.4</v>
      </c>
      <c r="S7" s="148">
        <v>2.8530256E7</v>
      </c>
      <c r="T7" s="143">
        <f t="shared" si="2"/>
        <v>14265128</v>
      </c>
      <c r="U7" s="143"/>
      <c r="V7" s="142">
        <f t="shared" si="3"/>
        <v>2282420.48</v>
      </c>
      <c r="W7" s="143"/>
      <c r="X7" s="142">
        <f t="shared" si="4"/>
        <v>1426512.8</v>
      </c>
      <c r="Y7" s="143"/>
      <c r="Z7" s="140"/>
      <c r="AA7" s="140"/>
      <c r="AB7" s="140"/>
      <c r="AC7" s="134">
        <f t="shared" si="5"/>
        <v>30</v>
      </c>
      <c r="AD7" s="140"/>
      <c r="AE7" s="134">
        <f t="shared" si="6"/>
        <v>90</v>
      </c>
      <c r="AF7" s="140"/>
      <c r="AG7" s="134">
        <f t="shared" si="7"/>
        <v>150</v>
      </c>
      <c r="AH7" s="140"/>
      <c r="AI7" s="142">
        <f t="shared" si="8"/>
        <v>713256.4</v>
      </c>
      <c r="AJ7" s="134">
        <f t="shared" si="9"/>
        <v>195</v>
      </c>
      <c r="AK7" s="140"/>
      <c r="AL7" s="140"/>
      <c r="AM7" s="142">
        <f t="shared" si="10"/>
        <v>1426512.8</v>
      </c>
      <c r="AN7" s="134">
        <f t="shared" si="11"/>
        <v>180</v>
      </c>
      <c r="AO7" s="140"/>
      <c r="AP7" s="140"/>
    </row>
    <row r="8">
      <c r="A8" s="133">
        <v>5.0</v>
      </c>
      <c r="B8" s="134">
        <v>46069.0</v>
      </c>
      <c r="C8" s="135"/>
      <c r="D8" s="137" t="s">
        <v>1896</v>
      </c>
      <c r="E8" s="137" t="s">
        <v>1897</v>
      </c>
      <c r="F8" s="138" t="s">
        <v>1893</v>
      </c>
      <c r="G8" s="138" t="s">
        <v>1921</v>
      </c>
      <c r="H8" s="140"/>
      <c r="I8" s="140" t="s">
        <v>1922</v>
      </c>
      <c r="J8" s="139" t="s">
        <v>1923</v>
      </c>
      <c r="K8" s="138" t="s">
        <v>561</v>
      </c>
      <c r="L8" s="138" t="s">
        <v>1919</v>
      </c>
      <c r="M8" s="140" t="s">
        <v>1924</v>
      </c>
      <c r="N8" s="137" t="s">
        <v>1903</v>
      </c>
      <c r="O8" s="145" t="s">
        <v>1925</v>
      </c>
      <c r="P8" s="141"/>
      <c r="Q8" s="141">
        <v>15.0</v>
      </c>
      <c r="R8" s="141">
        <f t="shared" si="1"/>
        <v>12</v>
      </c>
      <c r="S8" s="148">
        <v>1.0826393E7</v>
      </c>
      <c r="T8" s="143">
        <f t="shared" si="2"/>
        <v>5413196.5</v>
      </c>
      <c r="U8" s="143"/>
      <c r="V8" s="142">
        <f t="shared" si="3"/>
        <v>866111.44</v>
      </c>
      <c r="W8" s="143"/>
      <c r="X8" s="142">
        <f t="shared" si="4"/>
        <v>541319.65</v>
      </c>
      <c r="Y8" s="143"/>
      <c r="Z8" s="140"/>
      <c r="AA8" s="140"/>
      <c r="AB8" s="140"/>
      <c r="AC8" s="134">
        <f t="shared" si="5"/>
        <v>30</v>
      </c>
      <c r="AD8" s="140"/>
      <c r="AE8" s="134">
        <f t="shared" si="6"/>
        <v>90</v>
      </c>
      <c r="AF8" s="140"/>
      <c r="AG8" s="134">
        <f t="shared" si="7"/>
        <v>150</v>
      </c>
      <c r="AH8" s="140"/>
      <c r="AI8" s="142">
        <f t="shared" si="8"/>
        <v>270659.825</v>
      </c>
      <c r="AJ8" s="134">
        <f t="shared" si="9"/>
        <v>195</v>
      </c>
      <c r="AK8" s="140"/>
      <c r="AL8" s="140"/>
      <c r="AM8" s="142">
        <f t="shared" si="10"/>
        <v>541319.65</v>
      </c>
      <c r="AN8" s="134">
        <f t="shared" si="11"/>
        <v>180</v>
      </c>
      <c r="AO8" s="140"/>
      <c r="AP8" s="140"/>
    </row>
    <row r="9">
      <c r="A9" s="133">
        <v>6.0</v>
      </c>
      <c r="B9" s="134">
        <v>46069.0</v>
      </c>
      <c r="C9" s="144" t="s">
        <v>33</v>
      </c>
      <c r="D9" s="137" t="s">
        <v>1789</v>
      </c>
      <c r="E9" s="137" t="s">
        <v>1897</v>
      </c>
      <c r="F9" s="138" t="s">
        <v>1898</v>
      </c>
      <c r="G9" s="138" t="s">
        <v>1926</v>
      </c>
      <c r="H9" s="138"/>
      <c r="I9" s="140" t="s">
        <v>1927</v>
      </c>
      <c r="J9" s="139" t="s">
        <v>1928</v>
      </c>
      <c r="K9" s="138" t="s">
        <v>34</v>
      </c>
      <c r="L9" s="138" t="s">
        <v>1912</v>
      </c>
      <c r="M9" s="140" t="s">
        <v>41</v>
      </c>
      <c r="N9" s="137" t="s">
        <v>1929</v>
      </c>
      <c r="O9" s="141"/>
      <c r="P9" s="141"/>
      <c r="Q9" s="141">
        <v>52.0</v>
      </c>
      <c r="R9" s="141">
        <f t="shared" si="1"/>
        <v>41.6</v>
      </c>
      <c r="S9" s="142"/>
      <c r="T9" s="143">
        <f t="shared" si="2"/>
        <v>0</v>
      </c>
      <c r="U9" s="143"/>
      <c r="V9" s="142">
        <f t="shared" si="3"/>
        <v>0</v>
      </c>
      <c r="W9" s="143"/>
      <c r="X9" s="142">
        <f t="shared" si="4"/>
        <v>0</v>
      </c>
      <c r="Y9" s="143"/>
      <c r="Z9" s="140"/>
      <c r="AA9" s="140"/>
      <c r="AB9" s="140"/>
      <c r="AC9" s="134">
        <f t="shared" si="5"/>
        <v>30</v>
      </c>
      <c r="AD9" s="140"/>
      <c r="AE9" s="134">
        <f t="shared" si="6"/>
        <v>90</v>
      </c>
      <c r="AF9" s="140"/>
      <c r="AG9" s="134">
        <f t="shared" si="7"/>
        <v>150</v>
      </c>
      <c r="AH9" s="140"/>
      <c r="AI9" s="142">
        <f t="shared" si="8"/>
        <v>0</v>
      </c>
      <c r="AJ9" s="134">
        <f t="shared" si="9"/>
        <v>195</v>
      </c>
      <c r="AK9" s="140"/>
      <c r="AL9" s="140"/>
      <c r="AM9" s="142">
        <f t="shared" si="10"/>
        <v>0</v>
      </c>
      <c r="AN9" s="134">
        <f t="shared" si="11"/>
        <v>180</v>
      </c>
      <c r="AO9" s="140"/>
      <c r="AP9" s="140"/>
    </row>
    <row r="10">
      <c r="A10" s="133">
        <v>7.0</v>
      </c>
      <c r="B10" s="134">
        <v>46069.0</v>
      </c>
      <c r="C10" s="144" t="s">
        <v>1907</v>
      </c>
      <c r="D10" s="137" t="s">
        <v>1789</v>
      </c>
      <c r="E10" s="137" t="s">
        <v>1897</v>
      </c>
      <c r="F10" s="138" t="s">
        <v>1893</v>
      </c>
      <c r="G10" s="138" t="s">
        <v>1930</v>
      </c>
      <c r="H10" s="140"/>
      <c r="I10" s="140" t="s">
        <v>298</v>
      </c>
      <c r="J10" s="149" t="s">
        <v>1931</v>
      </c>
      <c r="K10" s="138" t="s">
        <v>1932</v>
      </c>
      <c r="L10" s="138" t="s">
        <v>1933</v>
      </c>
      <c r="M10" s="140" t="s">
        <v>1934</v>
      </c>
      <c r="N10" s="137" t="s">
        <v>1903</v>
      </c>
      <c r="O10" s="146" t="s">
        <v>1935</v>
      </c>
      <c r="P10" s="141"/>
      <c r="Q10" s="141">
        <v>1945.0</v>
      </c>
      <c r="R10" s="141">
        <f t="shared" si="1"/>
        <v>1556</v>
      </c>
      <c r="S10" s="148">
        <v>6.72409696E8</v>
      </c>
      <c r="T10" s="143">
        <f t="shared" si="2"/>
        <v>336204848</v>
      </c>
      <c r="U10" s="143"/>
      <c r="V10" s="143"/>
      <c r="W10" s="143"/>
      <c r="X10" s="143"/>
      <c r="Y10" s="143"/>
      <c r="Z10" s="140"/>
      <c r="AA10" s="140"/>
      <c r="AB10" s="140"/>
      <c r="AC10" s="134">
        <f t="shared" si="5"/>
        <v>30</v>
      </c>
      <c r="AD10" s="140"/>
      <c r="AE10" s="134">
        <f t="shared" si="6"/>
        <v>90</v>
      </c>
      <c r="AF10" s="140"/>
      <c r="AG10" s="134">
        <f t="shared" si="7"/>
        <v>150</v>
      </c>
      <c r="AH10" s="140"/>
      <c r="AI10" s="142">
        <f t="shared" si="8"/>
        <v>16810242.4</v>
      </c>
      <c r="AJ10" s="134">
        <f t="shared" si="9"/>
        <v>195</v>
      </c>
      <c r="AK10" s="140"/>
      <c r="AL10" s="140"/>
      <c r="AM10" s="142">
        <f t="shared" si="10"/>
        <v>33620484.8</v>
      </c>
      <c r="AN10" s="134">
        <f t="shared" si="11"/>
        <v>180</v>
      </c>
      <c r="AO10" s="140"/>
      <c r="AP10" s="140"/>
    </row>
    <row r="11">
      <c r="A11" s="133">
        <v>8.0</v>
      </c>
      <c r="B11" s="150">
        <v>46083.0</v>
      </c>
      <c r="C11" s="151"/>
      <c r="D11" s="138" t="s">
        <v>1789</v>
      </c>
      <c r="E11" s="137" t="s">
        <v>1897</v>
      </c>
      <c r="F11" s="138" t="s">
        <v>1893</v>
      </c>
      <c r="G11" s="138" t="s">
        <v>1936</v>
      </c>
      <c r="H11" s="138"/>
      <c r="I11" s="138" t="s">
        <v>1937</v>
      </c>
      <c r="J11" s="149" t="s">
        <v>1938</v>
      </c>
      <c r="K11" s="31" t="s">
        <v>321</v>
      </c>
      <c r="L11" s="138" t="s">
        <v>1933</v>
      </c>
      <c r="M11" s="138" t="s">
        <v>1939</v>
      </c>
      <c r="N11" s="138" t="s">
        <v>1929</v>
      </c>
      <c r="O11" s="152" t="s">
        <v>1940</v>
      </c>
      <c r="P11" s="136"/>
      <c r="Q11" s="138">
        <v>29.0</v>
      </c>
      <c r="R11" s="141">
        <f t="shared" si="1"/>
        <v>23.2</v>
      </c>
      <c r="S11" s="148">
        <v>6.0346992E7</v>
      </c>
      <c r="T11" s="143">
        <f t="shared" si="2"/>
        <v>30173496</v>
      </c>
      <c r="U11" s="143"/>
      <c r="V11" s="143"/>
      <c r="W11" s="143"/>
      <c r="X11" s="143"/>
      <c r="Y11" s="143"/>
      <c r="Z11" s="140"/>
      <c r="AA11" s="140"/>
      <c r="AB11" s="140"/>
      <c r="AC11" s="134">
        <f t="shared" si="5"/>
        <v>30</v>
      </c>
      <c r="AD11" s="140"/>
      <c r="AE11" s="134">
        <f t="shared" si="6"/>
        <v>90</v>
      </c>
      <c r="AF11" s="140"/>
      <c r="AG11" s="134">
        <f t="shared" si="7"/>
        <v>150</v>
      </c>
      <c r="AH11" s="140"/>
      <c r="AI11" s="142">
        <f t="shared" si="8"/>
        <v>1508674.8</v>
      </c>
      <c r="AJ11" s="134">
        <f t="shared" si="9"/>
        <v>195</v>
      </c>
      <c r="AK11" s="140"/>
      <c r="AL11" s="140"/>
      <c r="AM11" s="142">
        <f t="shared" si="10"/>
        <v>3017349.6</v>
      </c>
      <c r="AN11" s="134">
        <f t="shared" si="11"/>
        <v>180</v>
      </c>
      <c r="AO11" s="140"/>
      <c r="AP11" s="140"/>
    </row>
    <row r="12">
      <c r="A12" s="133">
        <v>9.0</v>
      </c>
      <c r="B12" s="150">
        <v>46083.0</v>
      </c>
      <c r="C12" s="151"/>
      <c r="D12" s="138" t="s">
        <v>1789</v>
      </c>
      <c r="E12" s="136" t="s">
        <v>1941</v>
      </c>
      <c r="F12" s="138" t="s">
        <v>1942</v>
      </c>
      <c r="G12" s="138" t="s">
        <v>1943</v>
      </c>
      <c r="H12" s="138"/>
      <c r="I12" s="138" t="s">
        <v>1944</v>
      </c>
      <c r="J12" s="149" t="s">
        <v>1945</v>
      </c>
      <c r="K12" s="138" t="s">
        <v>372</v>
      </c>
      <c r="L12" s="138" t="s">
        <v>1933</v>
      </c>
      <c r="M12" s="138" t="s">
        <v>1946</v>
      </c>
      <c r="N12" s="138" t="s">
        <v>1929</v>
      </c>
      <c r="O12" s="152" t="s">
        <v>1947</v>
      </c>
      <c r="P12" s="136"/>
      <c r="Q12" s="138">
        <v>27.0</v>
      </c>
      <c r="R12" s="141">
        <f t="shared" si="1"/>
        <v>21.6</v>
      </c>
      <c r="S12" s="148">
        <v>3.1621501E7</v>
      </c>
      <c r="T12" s="143">
        <f t="shared" si="2"/>
        <v>15810750.5</v>
      </c>
      <c r="U12" s="143"/>
      <c r="V12" s="143"/>
      <c r="W12" s="143"/>
      <c r="X12" s="143"/>
      <c r="Y12" s="143"/>
      <c r="Z12" s="140"/>
      <c r="AA12" s="140"/>
      <c r="AB12" s="140"/>
      <c r="AC12" s="134">
        <f t="shared" si="5"/>
        <v>30</v>
      </c>
      <c r="AD12" s="140"/>
      <c r="AE12" s="134">
        <f t="shared" si="6"/>
        <v>90</v>
      </c>
      <c r="AF12" s="140"/>
      <c r="AG12" s="134">
        <f t="shared" si="7"/>
        <v>150</v>
      </c>
      <c r="AH12" s="140"/>
      <c r="AI12" s="142">
        <f t="shared" si="8"/>
        <v>790537.525</v>
      </c>
      <c r="AJ12" s="134">
        <f t="shared" si="9"/>
        <v>195</v>
      </c>
      <c r="AK12" s="140"/>
      <c r="AL12" s="140"/>
      <c r="AM12" s="142">
        <f t="shared" si="10"/>
        <v>1581075.05</v>
      </c>
      <c r="AN12" s="134">
        <f t="shared" si="11"/>
        <v>180</v>
      </c>
      <c r="AO12" s="140"/>
      <c r="AP12" s="140"/>
    </row>
    <row r="13">
      <c r="A13" s="133">
        <v>10.0</v>
      </c>
      <c r="B13" s="150">
        <v>46083.0</v>
      </c>
      <c r="C13" s="144" t="s">
        <v>1907</v>
      </c>
      <c r="D13" s="138" t="s">
        <v>1789</v>
      </c>
      <c r="E13" s="137" t="s">
        <v>1897</v>
      </c>
      <c r="F13" s="138" t="s">
        <v>1893</v>
      </c>
      <c r="G13" s="138" t="s">
        <v>1948</v>
      </c>
      <c r="H13" s="138"/>
      <c r="I13" s="138" t="s">
        <v>124</v>
      </c>
      <c r="J13" s="139" t="s">
        <v>1949</v>
      </c>
      <c r="K13" s="138" t="s">
        <v>1950</v>
      </c>
      <c r="L13" s="138" t="s">
        <v>29</v>
      </c>
      <c r="M13" s="138" t="s">
        <v>1951</v>
      </c>
      <c r="N13" s="138" t="s">
        <v>1903</v>
      </c>
      <c r="O13" s="153" t="s">
        <v>1952</v>
      </c>
      <c r="P13" s="137"/>
      <c r="Q13" s="138">
        <v>74.0</v>
      </c>
      <c r="R13" s="141">
        <f t="shared" si="1"/>
        <v>59.2</v>
      </c>
      <c r="S13" s="154">
        <v>3.8219349E7</v>
      </c>
      <c r="T13" s="143">
        <f t="shared" si="2"/>
        <v>19109674.5</v>
      </c>
      <c r="U13" s="143"/>
      <c r="V13" s="143"/>
      <c r="W13" s="143"/>
      <c r="X13" s="143"/>
      <c r="Y13" s="143"/>
      <c r="Z13" s="140"/>
      <c r="AA13" s="140"/>
      <c r="AB13" s="140"/>
      <c r="AC13" s="134">
        <f t="shared" si="5"/>
        <v>30</v>
      </c>
      <c r="AD13" s="140"/>
      <c r="AE13" s="134">
        <f t="shared" si="6"/>
        <v>90</v>
      </c>
      <c r="AF13" s="140"/>
      <c r="AG13" s="134">
        <f t="shared" si="7"/>
        <v>150</v>
      </c>
      <c r="AH13" s="140"/>
      <c r="AI13" s="142">
        <f t="shared" si="8"/>
        <v>955483.725</v>
      </c>
      <c r="AJ13" s="134">
        <f t="shared" si="9"/>
        <v>195</v>
      </c>
      <c r="AK13" s="140"/>
      <c r="AL13" s="140"/>
      <c r="AM13" s="142">
        <f t="shared" si="10"/>
        <v>1910967.45</v>
      </c>
      <c r="AN13" s="134">
        <f t="shared" si="11"/>
        <v>180</v>
      </c>
      <c r="AO13" s="140"/>
      <c r="AP13" s="140"/>
    </row>
    <row r="14">
      <c r="A14" s="133">
        <v>11.0</v>
      </c>
      <c r="B14" s="150">
        <v>46083.0</v>
      </c>
      <c r="C14" s="144" t="s">
        <v>1907</v>
      </c>
      <c r="D14" s="138" t="s">
        <v>1789</v>
      </c>
      <c r="E14" s="137" t="s">
        <v>1897</v>
      </c>
      <c r="F14" s="138" t="s">
        <v>1893</v>
      </c>
      <c r="G14" s="138" t="s">
        <v>1894</v>
      </c>
      <c r="H14" s="138"/>
      <c r="I14" s="138" t="s">
        <v>1953</v>
      </c>
      <c r="J14" s="121" t="s">
        <v>1954</v>
      </c>
      <c r="K14" s="138" t="s">
        <v>523</v>
      </c>
      <c r="L14" s="138" t="s">
        <v>1955</v>
      </c>
      <c r="M14" s="138" t="s">
        <v>1956</v>
      </c>
      <c r="N14" s="138" t="s">
        <v>1903</v>
      </c>
      <c r="O14" s="152" t="s">
        <v>1957</v>
      </c>
      <c r="P14" s="119" t="s">
        <v>1958</v>
      </c>
      <c r="Q14" s="138">
        <v>17.0</v>
      </c>
      <c r="R14" s="141">
        <f t="shared" si="1"/>
        <v>13.6</v>
      </c>
      <c r="S14" s="154">
        <v>1.12610895E8</v>
      </c>
      <c r="T14" s="143">
        <f t="shared" si="2"/>
        <v>56305447.5</v>
      </c>
      <c r="U14" s="143"/>
      <c r="V14" s="143"/>
      <c r="W14" s="143"/>
      <c r="X14" s="143"/>
      <c r="Y14" s="143"/>
      <c r="Z14" s="140"/>
      <c r="AA14" s="140"/>
      <c r="AB14" s="140"/>
      <c r="AC14" s="134">
        <f t="shared" si="5"/>
        <v>30</v>
      </c>
      <c r="AD14" s="140"/>
      <c r="AE14" s="134">
        <f t="shared" si="6"/>
        <v>90</v>
      </c>
      <c r="AF14" s="140"/>
      <c r="AG14" s="134">
        <f t="shared" si="7"/>
        <v>150</v>
      </c>
      <c r="AH14" s="140"/>
      <c r="AI14" s="142">
        <f t="shared" si="8"/>
        <v>2815272.375</v>
      </c>
      <c r="AJ14" s="134">
        <f t="shared" si="9"/>
        <v>195</v>
      </c>
      <c r="AK14" s="140"/>
      <c r="AL14" s="140"/>
      <c r="AM14" s="142">
        <f t="shared" si="10"/>
        <v>5630544.75</v>
      </c>
      <c r="AN14" s="134">
        <f t="shared" si="11"/>
        <v>180</v>
      </c>
      <c r="AO14" s="140"/>
      <c r="AP14" s="140"/>
    </row>
    <row r="15">
      <c r="A15" s="133">
        <v>12.0</v>
      </c>
      <c r="B15" s="155">
        <v>46104.0</v>
      </c>
      <c r="C15" s="144"/>
      <c r="D15" s="138" t="s">
        <v>1789</v>
      </c>
      <c r="E15" s="136" t="s">
        <v>1897</v>
      </c>
      <c r="F15" s="138" t="s">
        <v>1893</v>
      </c>
      <c r="G15" s="138" t="s">
        <v>1959</v>
      </c>
      <c r="H15" s="140"/>
      <c r="I15" s="138" t="s">
        <v>80</v>
      </c>
      <c r="J15" s="139" t="s">
        <v>1960</v>
      </c>
      <c r="K15" s="138" t="s">
        <v>1961</v>
      </c>
      <c r="L15" s="138" t="s">
        <v>1794</v>
      </c>
      <c r="M15" s="138" t="s">
        <v>1962</v>
      </c>
      <c r="N15" s="138" t="s">
        <v>1903</v>
      </c>
      <c r="O15" s="152" t="s">
        <v>80</v>
      </c>
      <c r="P15" s="136"/>
      <c r="Q15" s="138">
        <v>71.0</v>
      </c>
      <c r="R15" s="141">
        <f t="shared" si="1"/>
        <v>56.8</v>
      </c>
      <c r="S15" s="148">
        <v>1.30448744E8</v>
      </c>
      <c r="T15" s="143">
        <f t="shared" si="2"/>
        <v>65224372</v>
      </c>
      <c r="U15" s="143"/>
      <c r="V15" s="143"/>
      <c r="W15" s="143"/>
      <c r="X15" s="143"/>
      <c r="Y15" s="143"/>
      <c r="Z15" s="140"/>
      <c r="AA15" s="140"/>
      <c r="AB15" s="140"/>
      <c r="AC15" s="134"/>
      <c r="AD15" s="140"/>
      <c r="AE15" s="134"/>
      <c r="AF15" s="140"/>
      <c r="AG15" s="134"/>
      <c r="AH15" s="140"/>
      <c r="AI15" s="142"/>
      <c r="AJ15" s="134"/>
      <c r="AK15" s="140"/>
      <c r="AL15" s="140"/>
      <c r="AM15" s="142"/>
      <c r="AN15" s="134"/>
      <c r="AO15" s="140"/>
      <c r="AP15" s="140"/>
    </row>
    <row r="16">
      <c r="A16" s="133">
        <v>13.0</v>
      </c>
      <c r="B16" s="155">
        <v>46093.0</v>
      </c>
      <c r="C16" s="156"/>
      <c r="D16" s="138" t="s">
        <v>1789</v>
      </c>
      <c r="E16" s="136" t="s">
        <v>1897</v>
      </c>
      <c r="F16" s="138" t="s">
        <v>1893</v>
      </c>
      <c r="G16" s="138" t="s">
        <v>1915</v>
      </c>
      <c r="H16" s="140"/>
      <c r="I16" s="138" t="s">
        <v>1963</v>
      </c>
      <c r="J16" s="149" t="s">
        <v>1964</v>
      </c>
      <c r="K16" s="138" t="s">
        <v>1965</v>
      </c>
      <c r="L16" s="138" t="s">
        <v>1966</v>
      </c>
      <c r="M16" s="138" t="s">
        <v>1967</v>
      </c>
      <c r="N16" s="138" t="s">
        <v>1968</v>
      </c>
      <c r="O16" s="137"/>
      <c r="P16" s="137"/>
      <c r="Q16" s="140"/>
      <c r="R16" s="141">
        <f t="shared" si="1"/>
        <v>0</v>
      </c>
      <c r="S16" s="143"/>
      <c r="T16" s="143">
        <f t="shared" si="2"/>
        <v>0</v>
      </c>
      <c r="U16" s="143"/>
      <c r="V16" s="143"/>
      <c r="W16" s="143"/>
      <c r="X16" s="143"/>
      <c r="Y16" s="143"/>
      <c r="Z16" s="140"/>
      <c r="AA16" s="140"/>
      <c r="AB16" s="140"/>
      <c r="AC16" s="134"/>
      <c r="AD16" s="140"/>
      <c r="AE16" s="134"/>
      <c r="AF16" s="140"/>
      <c r="AG16" s="134"/>
      <c r="AH16" s="140"/>
      <c r="AI16" s="142"/>
      <c r="AJ16" s="134"/>
      <c r="AK16" s="140"/>
      <c r="AL16" s="140"/>
      <c r="AM16" s="142"/>
      <c r="AN16" s="134"/>
      <c r="AO16" s="140"/>
      <c r="AP16" s="140"/>
    </row>
    <row r="17">
      <c r="A17" s="133">
        <v>14.0</v>
      </c>
      <c r="B17" s="155">
        <v>46096.0</v>
      </c>
      <c r="C17" s="156"/>
      <c r="D17" s="138" t="s">
        <v>1789</v>
      </c>
      <c r="E17" s="136" t="s">
        <v>1897</v>
      </c>
      <c r="F17" s="138" t="s">
        <v>1908</v>
      </c>
      <c r="G17" s="138" t="s">
        <v>1969</v>
      </c>
      <c r="H17" s="138"/>
      <c r="I17" s="138" t="s">
        <v>1970</v>
      </c>
      <c r="J17" s="139" t="s">
        <v>1971</v>
      </c>
      <c r="K17" s="138" t="s">
        <v>1972</v>
      </c>
      <c r="L17" s="138" t="s">
        <v>1803</v>
      </c>
      <c r="M17" s="138" t="s">
        <v>1973</v>
      </c>
      <c r="N17" s="138" t="s">
        <v>1903</v>
      </c>
      <c r="O17" s="152" t="s">
        <v>1974</v>
      </c>
      <c r="P17" s="136"/>
      <c r="Q17" s="138">
        <v>59.0</v>
      </c>
      <c r="R17" s="141">
        <f t="shared" si="1"/>
        <v>47.2</v>
      </c>
      <c r="S17" s="148">
        <v>2.0312308E7</v>
      </c>
      <c r="T17" s="143">
        <f t="shared" si="2"/>
        <v>10156154</v>
      </c>
      <c r="U17" s="143"/>
      <c r="V17" s="143"/>
      <c r="W17" s="143"/>
      <c r="X17" s="143"/>
      <c r="Y17" s="143"/>
      <c r="Z17" s="140"/>
      <c r="AA17" s="140"/>
      <c r="AB17" s="140"/>
      <c r="AC17" s="134"/>
      <c r="AD17" s="140"/>
      <c r="AE17" s="134"/>
      <c r="AF17" s="140"/>
      <c r="AG17" s="134"/>
      <c r="AH17" s="140"/>
      <c r="AI17" s="142"/>
      <c r="AJ17" s="134"/>
      <c r="AK17" s="140"/>
      <c r="AL17" s="140"/>
      <c r="AM17" s="142"/>
      <c r="AN17" s="134"/>
      <c r="AO17" s="140"/>
      <c r="AP17" s="140"/>
    </row>
    <row r="18">
      <c r="A18" s="133">
        <v>15.0</v>
      </c>
      <c r="B18" s="155">
        <v>46096.0</v>
      </c>
      <c r="C18" s="156"/>
      <c r="D18" s="138" t="s">
        <v>1789</v>
      </c>
      <c r="E18" s="136" t="s">
        <v>1897</v>
      </c>
      <c r="F18" s="138" t="s">
        <v>1908</v>
      </c>
      <c r="G18" s="138" t="s">
        <v>1969</v>
      </c>
      <c r="H18" s="140"/>
      <c r="I18" s="138" t="s">
        <v>1975</v>
      </c>
      <c r="J18" s="139" t="s">
        <v>1971</v>
      </c>
      <c r="K18" s="138" t="s">
        <v>1972</v>
      </c>
      <c r="L18" s="138" t="s">
        <v>1803</v>
      </c>
      <c r="M18" s="138" t="s">
        <v>1902</v>
      </c>
      <c r="N18" s="138" t="s">
        <v>1903</v>
      </c>
      <c r="O18" s="152" t="s">
        <v>1976</v>
      </c>
      <c r="P18" s="136"/>
      <c r="Q18" s="138">
        <v>109.0</v>
      </c>
      <c r="R18" s="141">
        <f t="shared" si="1"/>
        <v>87.2</v>
      </c>
      <c r="S18" s="148">
        <v>1.9410542E7</v>
      </c>
      <c r="T18" s="143">
        <f t="shared" si="2"/>
        <v>9705271</v>
      </c>
      <c r="U18" s="143"/>
      <c r="V18" s="143"/>
      <c r="W18" s="143"/>
      <c r="X18" s="143"/>
      <c r="Y18" s="143"/>
      <c r="Z18" s="140"/>
      <c r="AA18" s="140"/>
      <c r="AB18" s="140"/>
      <c r="AC18" s="134"/>
      <c r="AD18" s="140"/>
      <c r="AE18" s="134"/>
      <c r="AF18" s="140"/>
      <c r="AG18" s="134"/>
      <c r="AH18" s="140"/>
      <c r="AI18" s="142"/>
      <c r="AJ18" s="134"/>
      <c r="AK18" s="140"/>
      <c r="AL18" s="140"/>
      <c r="AM18" s="142"/>
      <c r="AN18" s="134"/>
      <c r="AO18" s="140"/>
      <c r="AP18" s="140"/>
    </row>
    <row r="19">
      <c r="A19" s="133">
        <v>17.0</v>
      </c>
      <c r="B19" s="155">
        <v>46100.0</v>
      </c>
      <c r="C19" s="156"/>
      <c r="D19" s="138" t="s">
        <v>1789</v>
      </c>
      <c r="E19" s="136" t="s">
        <v>1897</v>
      </c>
      <c r="F19" s="138" t="s">
        <v>1893</v>
      </c>
      <c r="G19" s="138" t="s">
        <v>1977</v>
      </c>
      <c r="H19" s="140"/>
      <c r="I19" s="138" t="s">
        <v>1978</v>
      </c>
      <c r="J19" s="139" t="s">
        <v>1979</v>
      </c>
      <c r="K19" s="138" t="s">
        <v>1980</v>
      </c>
      <c r="L19" s="138" t="s">
        <v>1981</v>
      </c>
      <c r="M19" s="138" t="s">
        <v>1982</v>
      </c>
      <c r="N19" s="138" t="s">
        <v>1903</v>
      </c>
      <c r="O19" s="152" t="s">
        <v>1983</v>
      </c>
      <c r="P19" s="136"/>
      <c r="Q19" s="138">
        <v>169.0</v>
      </c>
      <c r="R19" s="141">
        <f t="shared" si="1"/>
        <v>135.2</v>
      </c>
      <c r="S19" s="148">
        <v>2.56372905E8</v>
      </c>
      <c r="T19" s="143">
        <f t="shared" si="2"/>
        <v>128186452.5</v>
      </c>
      <c r="U19" s="143"/>
      <c r="V19" s="143"/>
      <c r="W19" s="143"/>
      <c r="X19" s="143"/>
      <c r="Y19" s="143"/>
      <c r="Z19" s="140"/>
      <c r="AA19" s="140"/>
      <c r="AB19" s="140"/>
      <c r="AC19" s="134"/>
      <c r="AD19" s="140"/>
      <c r="AE19" s="134"/>
      <c r="AF19" s="140"/>
      <c r="AG19" s="134"/>
      <c r="AH19" s="140"/>
      <c r="AI19" s="142"/>
      <c r="AJ19" s="134"/>
      <c r="AK19" s="140"/>
      <c r="AL19" s="140"/>
      <c r="AM19" s="142"/>
      <c r="AN19" s="134"/>
      <c r="AO19" s="140"/>
      <c r="AP19" s="140"/>
    </row>
    <row r="20">
      <c r="A20" s="133">
        <v>18.0</v>
      </c>
      <c r="B20" s="150">
        <v>46111.0</v>
      </c>
      <c r="C20" s="156"/>
      <c r="D20" s="138" t="s">
        <v>1789</v>
      </c>
      <c r="E20" s="136" t="s">
        <v>1897</v>
      </c>
      <c r="F20" s="138" t="s">
        <v>1984</v>
      </c>
      <c r="G20" s="138" t="s">
        <v>1985</v>
      </c>
      <c r="H20" s="140"/>
      <c r="I20" s="138" t="s">
        <v>463</v>
      </c>
      <c r="J20" s="149" t="s">
        <v>1986</v>
      </c>
      <c r="K20" s="138" t="s">
        <v>461</v>
      </c>
      <c r="L20" s="138" t="s">
        <v>29</v>
      </c>
      <c r="M20" s="138" t="s">
        <v>1987</v>
      </c>
      <c r="N20" s="138" t="s">
        <v>1903</v>
      </c>
      <c r="O20" s="152" t="s">
        <v>463</v>
      </c>
      <c r="P20" s="136"/>
      <c r="Q20" s="138">
        <v>49.0</v>
      </c>
      <c r="R20" s="141">
        <f t="shared" si="1"/>
        <v>39.2</v>
      </c>
      <c r="S20" s="148">
        <v>7.9758591E7</v>
      </c>
      <c r="T20" s="143">
        <f t="shared" si="2"/>
        <v>39879295.5</v>
      </c>
      <c r="U20" s="143"/>
      <c r="V20" s="143"/>
      <c r="W20" s="143"/>
      <c r="X20" s="143"/>
      <c r="Y20" s="143"/>
      <c r="Z20" s="140"/>
      <c r="AA20" s="140"/>
      <c r="AB20" s="140"/>
      <c r="AC20" s="134"/>
      <c r="AD20" s="140"/>
      <c r="AE20" s="134"/>
      <c r="AF20" s="140"/>
      <c r="AG20" s="134"/>
      <c r="AH20" s="140"/>
      <c r="AI20" s="142"/>
      <c r="AJ20" s="134"/>
      <c r="AK20" s="140"/>
      <c r="AL20" s="140"/>
      <c r="AM20" s="142"/>
      <c r="AN20" s="134"/>
      <c r="AO20" s="140"/>
      <c r="AP20" s="140"/>
    </row>
    <row r="21">
      <c r="A21" s="133">
        <v>19.0</v>
      </c>
      <c r="B21" s="150">
        <v>46111.0</v>
      </c>
      <c r="C21" s="156"/>
      <c r="D21" s="138" t="s">
        <v>1789</v>
      </c>
      <c r="E21" s="136" t="s">
        <v>1897</v>
      </c>
      <c r="F21" s="138" t="s">
        <v>1988</v>
      </c>
      <c r="G21" s="138" t="s">
        <v>1989</v>
      </c>
      <c r="H21" s="140"/>
      <c r="I21" s="138" t="s">
        <v>1990</v>
      </c>
      <c r="J21" s="149" t="s">
        <v>1991</v>
      </c>
      <c r="K21" s="157" t="s">
        <v>1992</v>
      </c>
      <c r="L21" s="138" t="s">
        <v>29</v>
      </c>
      <c r="M21" s="138" t="s">
        <v>1993</v>
      </c>
      <c r="N21" s="138" t="s">
        <v>1903</v>
      </c>
      <c r="O21" s="152" t="s">
        <v>1120</v>
      </c>
      <c r="P21" s="136"/>
      <c r="Q21" s="138">
        <v>8.0</v>
      </c>
      <c r="R21" s="141">
        <f t="shared" si="1"/>
        <v>6.4</v>
      </c>
      <c r="S21" s="148">
        <v>9269769.0</v>
      </c>
      <c r="T21" s="143">
        <f t="shared" si="2"/>
        <v>4634884.5</v>
      </c>
      <c r="U21" s="143"/>
      <c r="V21" s="143"/>
      <c r="W21" s="143"/>
      <c r="X21" s="143"/>
      <c r="Y21" s="143"/>
      <c r="Z21" s="140"/>
      <c r="AA21" s="140"/>
      <c r="AB21" s="140"/>
      <c r="AC21" s="134"/>
      <c r="AD21" s="140"/>
      <c r="AE21" s="134"/>
      <c r="AF21" s="140"/>
      <c r="AG21" s="134"/>
      <c r="AH21" s="140"/>
      <c r="AI21" s="142"/>
      <c r="AJ21" s="134"/>
      <c r="AK21" s="140"/>
      <c r="AL21" s="140"/>
      <c r="AM21" s="142"/>
      <c r="AN21" s="134"/>
      <c r="AO21" s="140"/>
      <c r="AP21" s="140"/>
    </row>
    <row r="22">
      <c r="A22" s="133">
        <v>20.0</v>
      </c>
      <c r="B22" s="150">
        <v>46111.0</v>
      </c>
      <c r="C22" s="156"/>
      <c r="D22" s="138" t="s">
        <v>1789</v>
      </c>
      <c r="E22" s="136" t="s">
        <v>1897</v>
      </c>
      <c r="F22" s="138" t="s">
        <v>1893</v>
      </c>
      <c r="G22" s="138" t="s">
        <v>1989</v>
      </c>
      <c r="H22" s="140"/>
      <c r="I22" s="138" t="s">
        <v>544</v>
      </c>
      <c r="J22" s="149" t="s">
        <v>1994</v>
      </c>
      <c r="K22" s="158" t="s">
        <v>1995</v>
      </c>
      <c r="L22" s="138" t="s">
        <v>29</v>
      </c>
      <c r="M22" s="138" t="s">
        <v>1996</v>
      </c>
      <c r="N22" s="138" t="s">
        <v>1903</v>
      </c>
      <c r="O22" s="152" t="s">
        <v>544</v>
      </c>
      <c r="P22" s="136"/>
      <c r="Q22" s="138">
        <v>71.0</v>
      </c>
      <c r="R22" s="141">
        <f t="shared" si="1"/>
        <v>56.8</v>
      </c>
      <c r="S22" s="148">
        <v>4.5145957E7</v>
      </c>
      <c r="T22" s="143">
        <f t="shared" si="2"/>
        <v>22572978.5</v>
      </c>
      <c r="U22" s="143"/>
      <c r="V22" s="143"/>
      <c r="W22" s="143"/>
      <c r="X22" s="143"/>
      <c r="Y22" s="143"/>
      <c r="Z22" s="140"/>
      <c r="AA22" s="140"/>
      <c r="AB22" s="140"/>
      <c r="AC22" s="134"/>
      <c r="AD22" s="140"/>
      <c r="AE22" s="134"/>
      <c r="AF22" s="140"/>
      <c r="AG22" s="134"/>
      <c r="AH22" s="140"/>
      <c r="AI22" s="142"/>
      <c r="AJ22" s="134"/>
      <c r="AK22" s="140"/>
      <c r="AL22" s="140"/>
      <c r="AM22" s="142"/>
      <c r="AN22" s="134"/>
      <c r="AO22" s="140"/>
      <c r="AP22" s="140"/>
    </row>
    <row r="23">
      <c r="A23" s="133">
        <v>21.0</v>
      </c>
      <c r="B23" s="150">
        <v>46111.0</v>
      </c>
      <c r="C23" s="156"/>
      <c r="D23" s="138" t="s">
        <v>1789</v>
      </c>
      <c r="E23" s="136" t="s">
        <v>1897</v>
      </c>
      <c r="F23" s="138" t="s">
        <v>1997</v>
      </c>
      <c r="G23" s="138" t="s">
        <v>1998</v>
      </c>
      <c r="H23" s="159"/>
      <c r="I23" s="138" t="s">
        <v>693</v>
      </c>
      <c r="J23" s="149" t="s">
        <v>1999</v>
      </c>
      <c r="K23" s="138" t="s">
        <v>2000</v>
      </c>
      <c r="L23" s="138" t="s">
        <v>29</v>
      </c>
      <c r="M23" s="138" t="s">
        <v>2001</v>
      </c>
      <c r="N23" s="138" t="s">
        <v>1903</v>
      </c>
      <c r="O23" s="152" t="s">
        <v>693</v>
      </c>
      <c r="P23" s="136"/>
      <c r="Q23" s="138">
        <v>9.0</v>
      </c>
      <c r="R23" s="141">
        <f t="shared" si="1"/>
        <v>7.2</v>
      </c>
      <c r="S23" s="148">
        <v>9325057.0</v>
      </c>
      <c r="T23" s="143">
        <f t="shared" si="2"/>
        <v>4662528.5</v>
      </c>
      <c r="U23" s="143"/>
      <c r="V23" s="143"/>
      <c r="W23" s="143"/>
      <c r="X23" s="143"/>
      <c r="Y23" s="143"/>
      <c r="Z23" s="140"/>
      <c r="AA23" s="140"/>
      <c r="AB23" s="140"/>
      <c r="AC23" s="134"/>
      <c r="AD23" s="140"/>
      <c r="AE23" s="134"/>
      <c r="AF23" s="140"/>
      <c r="AG23" s="134"/>
      <c r="AH23" s="140"/>
      <c r="AI23" s="142"/>
      <c r="AJ23" s="134"/>
      <c r="AK23" s="140"/>
      <c r="AL23" s="140"/>
      <c r="AM23" s="142"/>
      <c r="AN23" s="134"/>
      <c r="AO23" s="140"/>
      <c r="AP23" s="140"/>
    </row>
    <row r="24">
      <c r="A24" s="133">
        <v>22.0</v>
      </c>
      <c r="B24" s="155">
        <v>46113.0</v>
      </c>
      <c r="C24" s="128"/>
      <c r="D24" s="138" t="s">
        <v>1789</v>
      </c>
      <c r="E24" s="136" t="s">
        <v>1897</v>
      </c>
      <c r="F24" s="138" t="s">
        <v>1988</v>
      </c>
      <c r="G24" s="138" t="s">
        <v>2002</v>
      </c>
      <c r="H24" s="140"/>
      <c r="I24" s="138" t="s">
        <v>2003</v>
      </c>
      <c r="J24" s="149" t="s">
        <v>2004</v>
      </c>
      <c r="K24" s="138" t="s">
        <v>1243</v>
      </c>
      <c r="L24" s="138" t="s">
        <v>29</v>
      </c>
      <c r="M24" s="138" t="s">
        <v>1996</v>
      </c>
      <c r="N24" s="138" t="s">
        <v>1968</v>
      </c>
      <c r="O24" s="137"/>
      <c r="P24" s="137"/>
      <c r="Q24" s="140"/>
      <c r="R24" s="141">
        <f t="shared" si="1"/>
        <v>0</v>
      </c>
      <c r="S24" s="143"/>
      <c r="T24" s="143">
        <f t="shared" si="2"/>
        <v>0</v>
      </c>
      <c r="U24" s="143"/>
      <c r="V24" s="143"/>
      <c r="W24" s="143"/>
      <c r="X24" s="143"/>
      <c r="Y24" s="143"/>
      <c r="Z24" s="140"/>
      <c r="AA24" s="140"/>
      <c r="AB24" s="140"/>
      <c r="AC24" s="134"/>
      <c r="AD24" s="140"/>
      <c r="AE24" s="134"/>
      <c r="AF24" s="140"/>
      <c r="AG24" s="134"/>
      <c r="AH24" s="140"/>
      <c r="AI24" s="142"/>
      <c r="AJ24" s="134"/>
      <c r="AK24" s="140"/>
      <c r="AL24" s="140"/>
      <c r="AM24" s="142"/>
      <c r="AN24" s="134"/>
      <c r="AO24" s="140"/>
      <c r="AP24" s="140"/>
    </row>
    <row r="25">
      <c r="A25" s="133">
        <v>23.0</v>
      </c>
      <c r="B25" s="155">
        <v>46113.0</v>
      </c>
      <c r="C25" s="156"/>
      <c r="D25" s="138" t="s">
        <v>1789</v>
      </c>
      <c r="E25" s="136" t="s">
        <v>1897</v>
      </c>
      <c r="F25" s="138" t="s">
        <v>2005</v>
      </c>
      <c r="G25" s="138" t="s">
        <v>2006</v>
      </c>
      <c r="H25" s="140"/>
      <c r="I25" s="138" t="s">
        <v>2007</v>
      </c>
      <c r="J25" s="149" t="s">
        <v>2008</v>
      </c>
      <c r="K25" s="138" t="s">
        <v>2009</v>
      </c>
      <c r="L25" s="138" t="s">
        <v>29</v>
      </c>
      <c r="M25" s="138" t="s">
        <v>2010</v>
      </c>
      <c r="N25" s="138" t="s">
        <v>1968</v>
      </c>
      <c r="O25" s="136"/>
      <c r="P25" s="136"/>
      <c r="Q25" s="140"/>
      <c r="R25" s="141">
        <f t="shared" si="1"/>
        <v>0</v>
      </c>
      <c r="S25" s="143"/>
      <c r="T25" s="143">
        <f t="shared" si="2"/>
        <v>0</v>
      </c>
      <c r="U25" s="143"/>
      <c r="V25" s="143"/>
      <c r="W25" s="143"/>
      <c r="X25" s="143"/>
      <c r="Y25" s="143"/>
      <c r="Z25" s="140"/>
      <c r="AA25" s="140"/>
      <c r="AB25" s="140"/>
      <c r="AC25" s="134"/>
      <c r="AD25" s="140"/>
      <c r="AE25" s="134"/>
      <c r="AF25" s="140"/>
      <c r="AG25" s="134"/>
      <c r="AH25" s="140"/>
      <c r="AI25" s="142"/>
      <c r="AJ25" s="134"/>
      <c r="AK25" s="140"/>
      <c r="AL25" s="140"/>
      <c r="AM25" s="142"/>
      <c r="AN25" s="134"/>
      <c r="AO25" s="140"/>
      <c r="AP25" s="140"/>
    </row>
    <row r="26">
      <c r="A26" s="133">
        <v>24.0</v>
      </c>
      <c r="B26" s="155">
        <v>46113.0</v>
      </c>
      <c r="C26" s="156"/>
      <c r="D26" s="138" t="s">
        <v>1789</v>
      </c>
      <c r="E26" s="136" t="s">
        <v>1897</v>
      </c>
      <c r="F26" s="138" t="s">
        <v>1898</v>
      </c>
      <c r="G26" s="138" t="s">
        <v>2011</v>
      </c>
      <c r="H26" s="140"/>
      <c r="I26" s="138" t="s">
        <v>2012</v>
      </c>
      <c r="J26" s="149" t="s">
        <v>2013</v>
      </c>
      <c r="K26" s="138" t="s">
        <v>2014</v>
      </c>
      <c r="L26" s="138" t="s">
        <v>29</v>
      </c>
      <c r="M26" s="138" t="s">
        <v>2015</v>
      </c>
      <c r="N26" s="138" t="s">
        <v>1968</v>
      </c>
      <c r="O26" s="137"/>
      <c r="P26" s="137"/>
      <c r="Q26" s="140"/>
      <c r="R26" s="141">
        <f t="shared" si="1"/>
        <v>0</v>
      </c>
      <c r="S26" s="143"/>
      <c r="T26" s="143">
        <f t="shared" si="2"/>
        <v>0</v>
      </c>
      <c r="U26" s="143"/>
      <c r="V26" s="143"/>
      <c r="W26" s="143"/>
      <c r="X26" s="143"/>
      <c r="Y26" s="143"/>
      <c r="Z26" s="140"/>
      <c r="AA26" s="140"/>
      <c r="AB26" s="140"/>
      <c r="AC26" s="134"/>
      <c r="AD26" s="140"/>
      <c r="AE26" s="134"/>
      <c r="AF26" s="140"/>
      <c r="AG26" s="134"/>
      <c r="AH26" s="140"/>
      <c r="AI26" s="142"/>
      <c r="AJ26" s="134"/>
      <c r="AK26" s="140"/>
      <c r="AL26" s="140"/>
      <c r="AM26" s="142"/>
      <c r="AN26" s="134"/>
      <c r="AO26" s="140"/>
      <c r="AP26" s="140"/>
    </row>
    <row r="27">
      <c r="A27" s="133">
        <v>25.0</v>
      </c>
      <c r="B27" s="155">
        <v>46113.0</v>
      </c>
      <c r="C27" s="156"/>
      <c r="D27" s="138" t="s">
        <v>1789</v>
      </c>
      <c r="E27" s="136" t="s">
        <v>1897</v>
      </c>
      <c r="F27" s="138" t="s">
        <v>1988</v>
      </c>
      <c r="G27" s="138" t="s">
        <v>1989</v>
      </c>
      <c r="H27" s="140"/>
      <c r="I27" s="138" t="s">
        <v>2016</v>
      </c>
      <c r="J27" s="149" t="s">
        <v>2017</v>
      </c>
      <c r="K27" s="140"/>
      <c r="L27" s="138" t="s">
        <v>29</v>
      </c>
      <c r="M27" s="138" t="s">
        <v>2018</v>
      </c>
      <c r="N27" s="138" t="s">
        <v>1968</v>
      </c>
      <c r="O27" s="137"/>
      <c r="P27" s="137"/>
      <c r="Q27" s="140"/>
      <c r="R27" s="141">
        <f t="shared" si="1"/>
        <v>0</v>
      </c>
      <c r="S27" s="143"/>
      <c r="T27" s="143">
        <f t="shared" si="2"/>
        <v>0</v>
      </c>
      <c r="U27" s="143"/>
      <c r="V27" s="143"/>
      <c r="W27" s="143"/>
      <c r="X27" s="143"/>
      <c r="Y27" s="143"/>
      <c r="Z27" s="140"/>
      <c r="AA27" s="140"/>
      <c r="AB27" s="140"/>
      <c r="AC27" s="134"/>
      <c r="AD27" s="140"/>
      <c r="AE27" s="134"/>
      <c r="AF27" s="140"/>
      <c r="AG27" s="134"/>
      <c r="AH27" s="140"/>
      <c r="AI27" s="142"/>
      <c r="AJ27" s="134"/>
      <c r="AK27" s="140"/>
      <c r="AL27" s="140"/>
      <c r="AM27" s="142"/>
      <c r="AN27" s="134"/>
      <c r="AO27" s="140"/>
      <c r="AP27" s="140"/>
    </row>
    <row r="28">
      <c r="A28" s="133">
        <v>26.0</v>
      </c>
      <c r="B28" s="155">
        <v>46113.0</v>
      </c>
      <c r="C28" s="156"/>
      <c r="D28" s="138" t="s">
        <v>1789</v>
      </c>
      <c r="E28" s="136" t="s">
        <v>1897</v>
      </c>
      <c r="F28" s="138" t="s">
        <v>1898</v>
      </c>
      <c r="G28" s="138" t="s">
        <v>2011</v>
      </c>
      <c r="H28" s="140"/>
      <c r="I28" s="138" t="s">
        <v>2019</v>
      </c>
      <c r="J28" s="149" t="s">
        <v>2020</v>
      </c>
      <c r="K28" s="138" t="s">
        <v>1547</v>
      </c>
      <c r="L28" s="138" t="s">
        <v>29</v>
      </c>
      <c r="M28" s="138" t="s">
        <v>2021</v>
      </c>
      <c r="N28" s="138" t="s">
        <v>1968</v>
      </c>
      <c r="O28" s="137"/>
      <c r="P28" s="137"/>
      <c r="Q28" s="140"/>
      <c r="R28" s="141">
        <f t="shared" si="1"/>
        <v>0</v>
      </c>
      <c r="S28" s="143"/>
      <c r="T28" s="143">
        <f t="shared" si="2"/>
        <v>0</v>
      </c>
      <c r="U28" s="143"/>
      <c r="V28" s="143"/>
      <c r="W28" s="143"/>
      <c r="X28" s="143"/>
      <c r="Y28" s="143"/>
      <c r="Z28" s="140"/>
      <c r="AA28" s="140"/>
      <c r="AB28" s="140"/>
      <c r="AC28" s="134"/>
      <c r="AD28" s="140"/>
      <c r="AE28" s="134"/>
      <c r="AF28" s="140"/>
      <c r="AG28" s="134"/>
      <c r="AH28" s="140"/>
      <c r="AI28" s="142"/>
      <c r="AJ28" s="134"/>
      <c r="AK28" s="140"/>
      <c r="AL28" s="140"/>
      <c r="AM28" s="142"/>
      <c r="AN28" s="134"/>
      <c r="AO28" s="140"/>
      <c r="AP28" s="140"/>
    </row>
    <row r="29">
      <c r="A29" s="133">
        <v>27.0</v>
      </c>
      <c r="B29" s="155">
        <v>46113.0</v>
      </c>
      <c r="C29" s="156"/>
      <c r="D29" s="138" t="s">
        <v>1789</v>
      </c>
      <c r="E29" s="136" t="s">
        <v>1897</v>
      </c>
      <c r="F29" s="138" t="s">
        <v>2022</v>
      </c>
      <c r="G29" s="138" t="s">
        <v>2023</v>
      </c>
      <c r="H29" s="140"/>
      <c r="I29" s="138" t="s">
        <v>2024</v>
      </c>
      <c r="J29" s="139" t="s">
        <v>2025</v>
      </c>
      <c r="K29" s="138" t="s">
        <v>646</v>
      </c>
      <c r="L29" s="138" t="s">
        <v>29</v>
      </c>
      <c r="M29" s="138" t="s">
        <v>2026</v>
      </c>
      <c r="N29" s="138" t="s">
        <v>1968</v>
      </c>
      <c r="O29" s="137"/>
      <c r="P29" s="137"/>
      <c r="Q29" s="140"/>
      <c r="R29" s="141">
        <f t="shared" si="1"/>
        <v>0</v>
      </c>
      <c r="S29" s="143"/>
      <c r="T29" s="143">
        <f t="shared" si="2"/>
        <v>0</v>
      </c>
      <c r="U29" s="143"/>
      <c r="V29" s="143"/>
      <c r="W29" s="143"/>
      <c r="X29" s="143"/>
      <c r="Y29" s="143"/>
      <c r="Z29" s="140"/>
      <c r="AA29" s="140"/>
      <c r="AB29" s="140"/>
      <c r="AC29" s="134"/>
      <c r="AD29" s="140"/>
      <c r="AE29" s="134"/>
      <c r="AF29" s="140"/>
      <c r="AG29" s="134"/>
      <c r="AH29" s="140"/>
      <c r="AI29" s="142"/>
      <c r="AJ29" s="134"/>
      <c r="AK29" s="140"/>
      <c r="AL29" s="140"/>
      <c r="AM29" s="142"/>
      <c r="AN29" s="134"/>
      <c r="AO29" s="140"/>
      <c r="AP29" s="140"/>
    </row>
    <row r="30">
      <c r="A30" s="133">
        <v>28.0</v>
      </c>
      <c r="B30" s="155">
        <v>46113.0</v>
      </c>
      <c r="C30" s="156"/>
      <c r="D30" s="138" t="s">
        <v>1789</v>
      </c>
      <c r="E30" s="136" t="s">
        <v>1897</v>
      </c>
      <c r="F30" s="138" t="s">
        <v>1893</v>
      </c>
      <c r="G30" s="138" t="s">
        <v>2027</v>
      </c>
      <c r="H30" s="140"/>
      <c r="I30" s="138" t="s">
        <v>2028</v>
      </c>
      <c r="J30" s="149" t="s">
        <v>2029</v>
      </c>
      <c r="K30" s="138" t="s">
        <v>589</v>
      </c>
      <c r="L30" s="138" t="s">
        <v>29</v>
      </c>
      <c r="M30" s="138" t="s">
        <v>2030</v>
      </c>
      <c r="N30" s="138" t="s">
        <v>1968</v>
      </c>
      <c r="O30" s="137"/>
      <c r="P30" s="137"/>
      <c r="Q30" s="140"/>
      <c r="R30" s="141">
        <f t="shared" si="1"/>
        <v>0</v>
      </c>
      <c r="S30" s="143"/>
      <c r="T30" s="143">
        <f t="shared" si="2"/>
        <v>0</v>
      </c>
      <c r="U30" s="143"/>
      <c r="V30" s="143"/>
      <c r="W30" s="143"/>
      <c r="X30" s="143"/>
      <c r="Y30" s="143"/>
      <c r="Z30" s="140"/>
      <c r="AA30" s="140"/>
      <c r="AB30" s="140"/>
      <c r="AC30" s="134"/>
      <c r="AD30" s="140"/>
      <c r="AE30" s="134"/>
      <c r="AF30" s="140"/>
      <c r="AG30" s="134"/>
      <c r="AH30" s="140"/>
      <c r="AI30" s="142"/>
      <c r="AJ30" s="134"/>
      <c r="AK30" s="140"/>
      <c r="AL30" s="140"/>
      <c r="AM30" s="142"/>
      <c r="AN30" s="134"/>
      <c r="AO30" s="140"/>
      <c r="AP30" s="140"/>
    </row>
    <row r="31">
      <c r="A31" s="133">
        <v>29.0</v>
      </c>
      <c r="B31" s="155">
        <v>46113.0</v>
      </c>
      <c r="C31" s="156"/>
      <c r="D31" s="138" t="s">
        <v>1789</v>
      </c>
      <c r="E31" s="136" t="s">
        <v>1897</v>
      </c>
      <c r="F31" s="138" t="s">
        <v>2022</v>
      </c>
      <c r="G31" s="138" t="s">
        <v>2031</v>
      </c>
      <c r="H31" s="140"/>
      <c r="I31" s="138" t="s">
        <v>2032</v>
      </c>
      <c r="J31" s="149" t="s">
        <v>2033</v>
      </c>
      <c r="K31" s="138" t="s">
        <v>2034</v>
      </c>
      <c r="L31" s="138" t="s">
        <v>29</v>
      </c>
      <c r="M31" s="138" t="s">
        <v>2035</v>
      </c>
      <c r="N31" s="138" t="s">
        <v>1968</v>
      </c>
      <c r="O31" s="137"/>
      <c r="P31" s="137"/>
      <c r="Q31" s="140"/>
      <c r="R31" s="141">
        <f t="shared" si="1"/>
        <v>0</v>
      </c>
      <c r="S31" s="143"/>
      <c r="T31" s="143">
        <f t="shared" si="2"/>
        <v>0</v>
      </c>
      <c r="U31" s="143"/>
      <c r="V31" s="143"/>
      <c r="W31" s="143"/>
      <c r="X31" s="143"/>
      <c r="Y31" s="143"/>
      <c r="Z31" s="140"/>
      <c r="AA31" s="140"/>
      <c r="AB31" s="140"/>
      <c r="AC31" s="134"/>
      <c r="AD31" s="140"/>
      <c r="AE31" s="134"/>
      <c r="AF31" s="140"/>
      <c r="AG31" s="134"/>
      <c r="AH31" s="140"/>
      <c r="AI31" s="142"/>
      <c r="AJ31" s="134"/>
      <c r="AK31" s="140"/>
      <c r="AL31" s="140"/>
      <c r="AM31" s="142"/>
      <c r="AN31" s="134"/>
      <c r="AO31" s="140"/>
      <c r="AP31" s="140"/>
    </row>
    <row r="32">
      <c r="A32" s="133">
        <v>30.0</v>
      </c>
      <c r="B32" s="155">
        <v>46113.0</v>
      </c>
      <c r="C32" s="156"/>
      <c r="D32" s="138" t="s">
        <v>1789</v>
      </c>
      <c r="E32" s="136" t="s">
        <v>1897</v>
      </c>
      <c r="F32" s="138" t="s">
        <v>1898</v>
      </c>
      <c r="G32" s="138" t="s">
        <v>2036</v>
      </c>
      <c r="H32" s="140"/>
      <c r="I32" s="138" t="s">
        <v>2037</v>
      </c>
      <c r="J32" s="139" t="s">
        <v>2038</v>
      </c>
      <c r="K32" s="138" t="s">
        <v>2039</v>
      </c>
      <c r="L32" s="138" t="s">
        <v>29</v>
      </c>
      <c r="M32" s="138" t="s">
        <v>2040</v>
      </c>
      <c r="N32" s="138" t="s">
        <v>1968</v>
      </c>
      <c r="O32" s="137"/>
      <c r="P32" s="137"/>
      <c r="Q32" s="140"/>
      <c r="R32" s="141">
        <f t="shared" si="1"/>
        <v>0</v>
      </c>
      <c r="S32" s="143"/>
      <c r="T32" s="143">
        <f t="shared" si="2"/>
        <v>0</v>
      </c>
      <c r="U32" s="143"/>
      <c r="V32" s="143"/>
      <c r="W32" s="143"/>
      <c r="X32" s="143"/>
      <c r="Y32" s="143"/>
      <c r="Z32" s="140"/>
      <c r="AA32" s="140"/>
      <c r="AB32" s="140"/>
      <c r="AC32" s="134"/>
      <c r="AD32" s="140"/>
      <c r="AE32" s="134"/>
      <c r="AF32" s="140"/>
      <c r="AG32" s="134"/>
      <c r="AH32" s="140"/>
      <c r="AI32" s="142"/>
      <c r="AJ32" s="134"/>
      <c r="AK32" s="140"/>
      <c r="AL32" s="140"/>
      <c r="AM32" s="142"/>
      <c r="AN32" s="134"/>
      <c r="AO32" s="140"/>
      <c r="AP32" s="140"/>
    </row>
    <row r="33">
      <c r="A33" s="133">
        <v>31.0</v>
      </c>
      <c r="B33" s="155">
        <v>46113.0</v>
      </c>
      <c r="C33" s="156"/>
      <c r="D33" s="138" t="s">
        <v>1789</v>
      </c>
      <c r="E33" s="136" t="s">
        <v>1897</v>
      </c>
      <c r="F33" s="138" t="s">
        <v>2005</v>
      </c>
      <c r="G33" s="160" t="s">
        <v>2006</v>
      </c>
      <c r="H33" s="161"/>
      <c r="I33" s="160" t="s">
        <v>2041</v>
      </c>
      <c r="J33" s="162" t="s">
        <v>2042</v>
      </c>
      <c r="K33" s="163" t="s">
        <v>395</v>
      </c>
      <c r="L33" s="160" t="s">
        <v>29</v>
      </c>
      <c r="M33" s="138" t="s">
        <v>2010</v>
      </c>
      <c r="N33" s="138" t="s">
        <v>1968</v>
      </c>
      <c r="O33" s="137"/>
      <c r="P33" s="137"/>
      <c r="Q33" s="140"/>
      <c r="R33" s="141">
        <f t="shared" si="1"/>
        <v>0</v>
      </c>
      <c r="S33" s="143"/>
      <c r="T33" s="143">
        <f t="shared" si="2"/>
        <v>0</v>
      </c>
      <c r="U33" s="143"/>
      <c r="V33" s="143"/>
      <c r="W33" s="143"/>
      <c r="X33" s="143"/>
      <c r="Y33" s="143"/>
      <c r="Z33" s="140"/>
      <c r="AA33" s="140"/>
      <c r="AB33" s="140"/>
      <c r="AC33" s="134"/>
      <c r="AD33" s="140"/>
      <c r="AE33" s="134"/>
      <c r="AF33" s="140"/>
      <c r="AG33" s="134"/>
      <c r="AH33" s="140"/>
      <c r="AI33" s="142"/>
      <c r="AJ33" s="134"/>
      <c r="AK33" s="140"/>
      <c r="AL33" s="140"/>
      <c r="AM33" s="142"/>
      <c r="AN33" s="134"/>
      <c r="AO33" s="140"/>
      <c r="AP33" s="140"/>
    </row>
    <row r="34">
      <c r="A34" s="133">
        <v>32.0</v>
      </c>
      <c r="B34" s="140"/>
      <c r="C34" s="156"/>
      <c r="D34" s="138" t="s">
        <v>1789</v>
      </c>
      <c r="E34" s="136" t="s">
        <v>1897</v>
      </c>
      <c r="F34" s="138" t="s">
        <v>1942</v>
      </c>
      <c r="G34" s="160" t="s">
        <v>1943</v>
      </c>
      <c r="H34" s="161"/>
      <c r="I34" s="160" t="s">
        <v>2043</v>
      </c>
      <c r="J34" s="164" t="s">
        <v>2044</v>
      </c>
      <c r="K34" s="163" t="s">
        <v>2045</v>
      </c>
      <c r="L34" s="163" t="s">
        <v>2046</v>
      </c>
      <c r="M34" s="138" t="s">
        <v>2010</v>
      </c>
      <c r="N34" s="138" t="s">
        <v>1968</v>
      </c>
      <c r="O34" s="137"/>
      <c r="P34" s="137"/>
      <c r="Q34" s="140"/>
      <c r="R34" s="141">
        <f t="shared" si="1"/>
        <v>0</v>
      </c>
      <c r="S34" s="143"/>
      <c r="T34" s="143">
        <f t="shared" si="2"/>
        <v>0</v>
      </c>
      <c r="U34" s="143"/>
      <c r="V34" s="143"/>
      <c r="W34" s="143"/>
      <c r="X34" s="143"/>
      <c r="Y34" s="143"/>
      <c r="Z34" s="140"/>
      <c r="AA34" s="140"/>
      <c r="AB34" s="140"/>
      <c r="AC34" s="134"/>
      <c r="AD34" s="140"/>
      <c r="AE34" s="134"/>
      <c r="AF34" s="140"/>
      <c r="AG34" s="134"/>
      <c r="AH34" s="140"/>
      <c r="AI34" s="142"/>
      <c r="AJ34" s="134"/>
      <c r="AK34" s="140"/>
      <c r="AL34" s="140"/>
      <c r="AM34" s="142"/>
      <c r="AN34" s="134"/>
      <c r="AO34" s="140"/>
      <c r="AP34" s="140"/>
    </row>
    <row r="35">
      <c r="A35" s="133">
        <v>33.0</v>
      </c>
      <c r="B35" s="140"/>
      <c r="C35" s="156"/>
      <c r="D35" s="138"/>
      <c r="E35" s="137"/>
      <c r="F35" s="140"/>
      <c r="G35" s="138"/>
      <c r="H35" s="140"/>
      <c r="I35" s="138"/>
      <c r="J35" s="136"/>
      <c r="K35" s="140"/>
      <c r="L35" s="140"/>
      <c r="M35" s="140"/>
      <c r="N35" s="140"/>
      <c r="O35" s="137"/>
      <c r="P35" s="137"/>
      <c r="Q35" s="140"/>
      <c r="R35" s="141">
        <f t="shared" si="1"/>
        <v>0</v>
      </c>
      <c r="S35" s="143"/>
      <c r="T35" s="143">
        <f t="shared" si="2"/>
        <v>0</v>
      </c>
      <c r="U35" s="143"/>
      <c r="V35" s="143"/>
      <c r="W35" s="143"/>
      <c r="X35" s="143"/>
      <c r="Y35" s="143"/>
      <c r="Z35" s="140"/>
      <c r="AA35" s="140"/>
      <c r="AB35" s="140"/>
      <c r="AC35" s="134"/>
      <c r="AD35" s="140"/>
      <c r="AE35" s="134"/>
      <c r="AF35" s="140"/>
      <c r="AG35" s="134"/>
      <c r="AH35" s="140"/>
      <c r="AI35" s="142"/>
      <c r="AJ35" s="134"/>
      <c r="AK35" s="140"/>
      <c r="AL35" s="140"/>
      <c r="AM35" s="142"/>
      <c r="AN35" s="134"/>
      <c r="AO35" s="140"/>
      <c r="AP35" s="140"/>
    </row>
    <row r="36">
      <c r="A36" s="133">
        <v>34.0</v>
      </c>
      <c r="B36" s="140"/>
      <c r="C36" s="156"/>
      <c r="D36" s="138"/>
      <c r="E36" s="137"/>
      <c r="F36" s="140"/>
      <c r="G36" s="140"/>
      <c r="H36" s="140"/>
      <c r="I36" s="140"/>
      <c r="J36" s="137"/>
      <c r="K36" s="140"/>
      <c r="L36" s="140"/>
      <c r="M36" s="140"/>
      <c r="N36" s="140"/>
      <c r="O36" s="137"/>
      <c r="P36" s="137"/>
      <c r="Q36" s="140"/>
      <c r="R36" s="141">
        <f t="shared" si="1"/>
        <v>0</v>
      </c>
      <c r="S36" s="143"/>
      <c r="T36" s="143">
        <f t="shared" si="2"/>
        <v>0</v>
      </c>
      <c r="U36" s="143"/>
      <c r="V36" s="143"/>
      <c r="W36" s="143"/>
      <c r="X36" s="143"/>
      <c r="Y36" s="143"/>
      <c r="Z36" s="140"/>
      <c r="AA36" s="140"/>
      <c r="AB36" s="140"/>
      <c r="AC36" s="134"/>
      <c r="AD36" s="140"/>
      <c r="AE36" s="134"/>
      <c r="AF36" s="140"/>
      <c r="AG36" s="134"/>
      <c r="AH36" s="140"/>
      <c r="AI36" s="142"/>
      <c r="AJ36" s="134"/>
      <c r="AK36" s="140"/>
      <c r="AL36" s="140"/>
      <c r="AM36" s="142"/>
      <c r="AN36" s="134"/>
      <c r="AO36" s="140"/>
      <c r="AP36" s="140"/>
    </row>
    <row r="37">
      <c r="A37" s="133">
        <v>35.0</v>
      </c>
      <c r="B37" s="140"/>
      <c r="C37" s="156"/>
      <c r="D37" s="138"/>
      <c r="E37" s="137"/>
      <c r="F37" s="140"/>
      <c r="G37" s="140"/>
      <c r="H37" s="140"/>
      <c r="I37" s="140"/>
      <c r="J37" s="137"/>
      <c r="K37" s="140"/>
      <c r="L37" s="140"/>
      <c r="M37" s="140"/>
      <c r="N37" s="140"/>
      <c r="O37" s="137"/>
      <c r="P37" s="137"/>
      <c r="Q37" s="140"/>
      <c r="R37" s="141">
        <f t="shared" si="1"/>
        <v>0</v>
      </c>
      <c r="S37" s="143"/>
      <c r="T37" s="143">
        <f t="shared" si="2"/>
        <v>0</v>
      </c>
      <c r="U37" s="143"/>
      <c r="V37" s="143"/>
      <c r="W37" s="143"/>
      <c r="X37" s="143"/>
      <c r="Y37" s="143"/>
      <c r="Z37" s="140"/>
      <c r="AA37" s="140"/>
      <c r="AB37" s="140"/>
      <c r="AC37" s="134"/>
      <c r="AD37" s="140"/>
      <c r="AE37" s="134"/>
      <c r="AF37" s="140"/>
      <c r="AG37" s="134"/>
      <c r="AH37" s="140"/>
      <c r="AI37" s="142"/>
      <c r="AJ37" s="134"/>
      <c r="AK37" s="140"/>
      <c r="AL37" s="140"/>
      <c r="AM37" s="142"/>
      <c r="AN37" s="134"/>
      <c r="AO37" s="140"/>
      <c r="AP37" s="140"/>
    </row>
    <row r="38">
      <c r="A38" s="133">
        <v>36.0</v>
      </c>
      <c r="B38" s="140"/>
      <c r="C38" s="156"/>
      <c r="D38" s="138"/>
      <c r="E38" s="137"/>
      <c r="F38" s="140"/>
      <c r="G38" s="140"/>
      <c r="H38" s="140"/>
      <c r="I38" s="140"/>
      <c r="J38" s="137"/>
      <c r="K38" s="140"/>
      <c r="L38" s="140"/>
      <c r="M38" s="140"/>
      <c r="N38" s="140"/>
      <c r="O38" s="137"/>
      <c r="P38" s="137"/>
      <c r="Q38" s="140"/>
      <c r="R38" s="141">
        <f t="shared" si="1"/>
        <v>0</v>
      </c>
      <c r="S38" s="143"/>
      <c r="T38" s="143">
        <f t="shared" si="2"/>
        <v>0</v>
      </c>
      <c r="U38" s="143"/>
      <c r="V38" s="143"/>
      <c r="W38" s="143"/>
      <c r="X38" s="143"/>
      <c r="Y38" s="143"/>
      <c r="Z38" s="140"/>
      <c r="AA38" s="140"/>
      <c r="AB38" s="140"/>
      <c r="AC38" s="134"/>
      <c r="AD38" s="140"/>
      <c r="AE38" s="134"/>
      <c r="AF38" s="140"/>
      <c r="AG38" s="134"/>
      <c r="AH38" s="140"/>
      <c r="AI38" s="142"/>
      <c r="AJ38" s="134"/>
      <c r="AK38" s="140"/>
      <c r="AL38" s="140"/>
      <c r="AM38" s="142"/>
      <c r="AN38" s="134"/>
      <c r="AO38" s="140"/>
      <c r="AP38" s="140"/>
    </row>
    <row r="39">
      <c r="A39" s="133">
        <v>37.0</v>
      </c>
      <c r="B39" s="140"/>
      <c r="C39" s="156"/>
      <c r="D39" s="138"/>
      <c r="E39" s="137"/>
      <c r="F39" s="140"/>
      <c r="G39" s="140"/>
      <c r="H39" s="140"/>
      <c r="I39" s="140"/>
      <c r="J39" s="137"/>
      <c r="K39" s="140"/>
      <c r="L39" s="140"/>
      <c r="M39" s="140"/>
      <c r="N39" s="140"/>
      <c r="O39" s="137"/>
      <c r="P39" s="137"/>
      <c r="Q39" s="140"/>
      <c r="R39" s="141">
        <f t="shared" si="1"/>
        <v>0</v>
      </c>
      <c r="S39" s="143"/>
      <c r="T39" s="143"/>
      <c r="U39" s="143"/>
      <c r="V39" s="143"/>
      <c r="W39" s="143"/>
      <c r="X39" s="143"/>
      <c r="Y39" s="143"/>
      <c r="Z39" s="140"/>
      <c r="AA39" s="140"/>
      <c r="AB39" s="140"/>
      <c r="AC39" s="134"/>
      <c r="AD39" s="140"/>
      <c r="AE39" s="134"/>
      <c r="AF39" s="140"/>
      <c r="AG39" s="134"/>
      <c r="AH39" s="140"/>
      <c r="AI39" s="142"/>
      <c r="AJ39" s="134"/>
      <c r="AK39" s="140"/>
      <c r="AL39" s="140"/>
      <c r="AM39" s="142"/>
      <c r="AN39" s="134"/>
      <c r="AO39" s="140"/>
      <c r="AP39" s="140"/>
    </row>
    <row r="40">
      <c r="A40" s="133">
        <v>38.0</v>
      </c>
      <c r="B40" s="140"/>
      <c r="C40" s="156"/>
      <c r="D40" s="138"/>
      <c r="E40" s="137"/>
      <c r="F40" s="140"/>
      <c r="G40" s="140"/>
      <c r="H40" s="140"/>
      <c r="I40" s="140"/>
      <c r="J40" s="137"/>
      <c r="K40" s="140"/>
      <c r="L40" s="140"/>
      <c r="M40" s="140"/>
      <c r="N40" s="140"/>
      <c r="O40" s="137"/>
      <c r="P40" s="137"/>
      <c r="Q40" s="140"/>
      <c r="R40" s="141">
        <f t="shared" si="1"/>
        <v>0</v>
      </c>
      <c r="S40" s="143"/>
      <c r="T40" s="143"/>
      <c r="U40" s="143"/>
      <c r="V40" s="143"/>
      <c r="W40" s="143"/>
      <c r="X40" s="143"/>
      <c r="Y40" s="143"/>
      <c r="Z40" s="140"/>
      <c r="AA40" s="140"/>
      <c r="AB40" s="140"/>
      <c r="AC40" s="134"/>
      <c r="AD40" s="140"/>
      <c r="AE40" s="134"/>
      <c r="AF40" s="140"/>
      <c r="AG40" s="134"/>
      <c r="AH40" s="140"/>
      <c r="AI40" s="142"/>
      <c r="AJ40" s="134"/>
      <c r="AK40" s="140"/>
      <c r="AL40" s="140"/>
      <c r="AM40" s="142"/>
      <c r="AN40" s="134"/>
      <c r="AO40" s="140"/>
      <c r="AP40" s="140"/>
    </row>
    <row r="41">
      <c r="A41" s="133">
        <v>39.0</v>
      </c>
      <c r="B41" s="140"/>
      <c r="C41" s="156"/>
      <c r="D41" s="138"/>
      <c r="E41" s="137"/>
      <c r="F41" s="140"/>
      <c r="G41" s="140"/>
      <c r="H41" s="140"/>
      <c r="I41" s="140"/>
      <c r="J41" s="137"/>
      <c r="K41" s="140"/>
      <c r="L41" s="140"/>
      <c r="M41" s="140"/>
      <c r="N41" s="140"/>
      <c r="O41" s="137"/>
      <c r="P41" s="137"/>
      <c r="Q41" s="140"/>
      <c r="R41" s="141">
        <f t="shared" si="1"/>
        <v>0</v>
      </c>
      <c r="S41" s="143"/>
      <c r="T41" s="143"/>
      <c r="U41" s="143"/>
      <c r="V41" s="143"/>
      <c r="W41" s="143"/>
      <c r="X41" s="143"/>
      <c r="Y41" s="143"/>
      <c r="Z41" s="140"/>
      <c r="AA41" s="140"/>
      <c r="AB41" s="140"/>
      <c r="AC41" s="134"/>
      <c r="AD41" s="140"/>
      <c r="AE41" s="134"/>
      <c r="AF41" s="140"/>
      <c r="AG41" s="134"/>
      <c r="AH41" s="140"/>
      <c r="AI41" s="142"/>
      <c r="AJ41" s="134"/>
      <c r="AK41" s="140"/>
      <c r="AL41" s="140"/>
      <c r="AM41" s="142"/>
      <c r="AN41" s="134"/>
      <c r="AO41" s="140"/>
      <c r="AP41" s="140"/>
    </row>
    <row r="42">
      <c r="A42" s="133">
        <v>40.0</v>
      </c>
      <c r="B42" s="140"/>
      <c r="C42" s="156"/>
      <c r="D42" s="138"/>
      <c r="E42" s="137"/>
      <c r="F42" s="140"/>
      <c r="G42" s="140"/>
      <c r="H42" s="140"/>
      <c r="I42" s="140"/>
      <c r="J42" s="137"/>
      <c r="K42" s="140"/>
      <c r="L42" s="140"/>
      <c r="M42" s="140"/>
      <c r="N42" s="140"/>
      <c r="O42" s="137"/>
      <c r="P42" s="137"/>
      <c r="Q42" s="140"/>
      <c r="R42" s="141">
        <f t="shared" si="1"/>
        <v>0</v>
      </c>
      <c r="S42" s="143"/>
      <c r="T42" s="143"/>
      <c r="U42" s="143"/>
      <c r="V42" s="143"/>
      <c r="W42" s="143"/>
      <c r="X42" s="143"/>
      <c r="Y42" s="143"/>
      <c r="Z42" s="140"/>
      <c r="AA42" s="140"/>
      <c r="AB42" s="140"/>
      <c r="AC42" s="134"/>
      <c r="AD42" s="140"/>
      <c r="AE42" s="134"/>
      <c r="AF42" s="140"/>
      <c r="AG42" s="134"/>
      <c r="AH42" s="140"/>
      <c r="AI42" s="142"/>
      <c r="AJ42" s="134"/>
      <c r="AK42" s="140"/>
      <c r="AL42" s="140"/>
      <c r="AM42" s="142"/>
      <c r="AN42" s="134"/>
      <c r="AO42" s="140"/>
      <c r="AP42" s="140"/>
    </row>
    <row r="43">
      <c r="A43" s="133">
        <v>41.0</v>
      </c>
      <c r="B43" s="140"/>
      <c r="C43" s="156"/>
      <c r="D43" s="138"/>
      <c r="E43" s="137"/>
      <c r="F43" s="140"/>
      <c r="G43" s="140"/>
      <c r="H43" s="140"/>
      <c r="I43" s="140"/>
      <c r="J43" s="137"/>
      <c r="K43" s="140"/>
      <c r="L43" s="140"/>
      <c r="M43" s="140"/>
      <c r="N43" s="140"/>
      <c r="O43" s="137"/>
      <c r="P43" s="137"/>
      <c r="Q43" s="140"/>
      <c r="R43" s="141">
        <f t="shared" si="1"/>
        <v>0</v>
      </c>
      <c r="S43" s="143"/>
      <c r="T43" s="143"/>
      <c r="U43" s="143"/>
      <c r="V43" s="143"/>
      <c r="W43" s="143"/>
      <c r="X43" s="143"/>
      <c r="Y43" s="143"/>
      <c r="Z43" s="140"/>
      <c r="AA43" s="140"/>
      <c r="AB43" s="140"/>
      <c r="AC43" s="134"/>
      <c r="AD43" s="140"/>
      <c r="AE43" s="134"/>
      <c r="AF43" s="140"/>
      <c r="AG43" s="134"/>
      <c r="AH43" s="140"/>
      <c r="AI43" s="142"/>
      <c r="AJ43" s="134"/>
      <c r="AK43" s="140"/>
      <c r="AL43" s="140"/>
      <c r="AM43" s="142"/>
      <c r="AN43" s="134"/>
      <c r="AO43" s="140"/>
      <c r="AP43" s="140"/>
    </row>
    <row r="44">
      <c r="A44" s="133">
        <v>42.0</v>
      </c>
      <c r="B44" s="140"/>
      <c r="C44" s="156"/>
      <c r="D44" s="138"/>
      <c r="E44" s="137"/>
      <c r="F44" s="140"/>
      <c r="G44" s="140"/>
      <c r="H44" s="140"/>
      <c r="I44" s="140"/>
      <c r="J44" s="137"/>
      <c r="K44" s="140"/>
      <c r="L44" s="140"/>
      <c r="M44" s="140"/>
      <c r="N44" s="140"/>
      <c r="O44" s="137"/>
      <c r="P44" s="137"/>
      <c r="Q44" s="140"/>
      <c r="R44" s="141">
        <f t="shared" si="1"/>
        <v>0</v>
      </c>
      <c r="S44" s="143"/>
      <c r="T44" s="143"/>
      <c r="U44" s="143"/>
      <c r="V44" s="143"/>
      <c r="W44" s="143"/>
      <c r="X44" s="143"/>
      <c r="Y44" s="143"/>
      <c r="Z44" s="140"/>
      <c r="AA44" s="140"/>
      <c r="AB44" s="140"/>
      <c r="AC44" s="134"/>
      <c r="AD44" s="140"/>
      <c r="AE44" s="134"/>
      <c r="AF44" s="140"/>
      <c r="AG44" s="134"/>
      <c r="AH44" s="140"/>
      <c r="AI44" s="142"/>
      <c r="AJ44" s="134"/>
      <c r="AK44" s="140"/>
      <c r="AL44" s="140"/>
      <c r="AM44" s="142"/>
      <c r="AN44" s="134"/>
      <c r="AO44" s="140"/>
      <c r="AP44" s="140"/>
    </row>
    <row r="45">
      <c r="A45" s="133">
        <v>43.0</v>
      </c>
      <c r="B45" s="140"/>
      <c r="C45" s="156"/>
      <c r="D45" s="138"/>
      <c r="E45" s="137"/>
      <c r="F45" s="140"/>
      <c r="G45" s="140"/>
      <c r="H45" s="140"/>
      <c r="I45" s="140"/>
      <c r="J45" s="137"/>
      <c r="K45" s="140"/>
      <c r="L45" s="140"/>
      <c r="M45" s="140"/>
      <c r="N45" s="140"/>
      <c r="O45" s="137"/>
      <c r="P45" s="137"/>
      <c r="Q45" s="140"/>
      <c r="R45" s="141">
        <f t="shared" si="1"/>
        <v>0</v>
      </c>
      <c r="S45" s="143"/>
      <c r="T45" s="143"/>
      <c r="U45" s="143"/>
      <c r="V45" s="143"/>
      <c r="W45" s="143"/>
      <c r="X45" s="143"/>
      <c r="Y45" s="143"/>
      <c r="Z45" s="140"/>
      <c r="AA45" s="140"/>
      <c r="AB45" s="140"/>
      <c r="AC45" s="134"/>
      <c r="AD45" s="140"/>
      <c r="AE45" s="134"/>
      <c r="AF45" s="140"/>
      <c r="AG45" s="134"/>
      <c r="AH45" s="140"/>
      <c r="AI45" s="142"/>
      <c r="AJ45" s="134"/>
      <c r="AK45" s="140"/>
      <c r="AL45" s="140"/>
      <c r="AM45" s="142"/>
      <c r="AN45" s="134"/>
      <c r="AO45" s="140"/>
      <c r="AP45" s="140"/>
    </row>
    <row r="46">
      <c r="A46" s="133">
        <v>44.0</v>
      </c>
      <c r="B46" s="140"/>
      <c r="C46" s="156"/>
      <c r="D46" s="138"/>
      <c r="E46" s="137"/>
      <c r="F46" s="140"/>
      <c r="G46" s="140"/>
      <c r="H46" s="140"/>
      <c r="I46" s="140"/>
      <c r="J46" s="137"/>
      <c r="K46" s="140"/>
      <c r="L46" s="140"/>
      <c r="M46" s="140"/>
      <c r="N46" s="140"/>
      <c r="O46" s="137"/>
      <c r="P46" s="137"/>
      <c r="Q46" s="140"/>
      <c r="R46" s="141">
        <f t="shared" si="1"/>
        <v>0</v>
      </c>
      <c r="S46" s="143"/>
      <c r="T46" s="143"/>
      <c r="U46" s="143"/>
      <c r="V46" s="143"/>
      <c r="W46" s="143"/>
      <c r="X46" s="143"/>
      <c r="Y46" s="143"/>
      <c r="Z46" s="140"/>
      <c r="AA46" s="140"/>
      <c r="AB46" s="140"/>
      <c r="AC46" s="134"/>
      <c r="AD46" s="140"/>
      <c r="AE46" s="134"/>
      <c r="AF46" s="140"/>
      <c r="AG46" s="134"/>
      <c r="AH46" s="140"/>
      <c r="AI46" s="142"/>
      <c r="AJ46" s="134"/>
      <c r="AK46" s="140"/>
      <c r="AL46" s="140"/>
      <c r="AM46" s="142"/>
      <c r="AN46" s="134"/>
      <c r="AO46" s="140"/>
      <c r="AP46" s="140"/>
    </row>
    <row r="47">
      <c r="A47" s="133">
        <v>45.0</v>
      </c>
      <c r="B47" s="140"/>
      <c r="C47" s="156"/>
      <c r="D47" s="138"/>
      <c r="E47" s="137"/>
      <c r="F47" s="140"/>
      <c r="G47" s="140"/>
      <c r="H47" s="140"/>
      <c r="I47" s="140"/>
      <c r="J47" s="137"/>
      <c r="K47" s="140"/>
      <c r="L47" s="140"/>
      <c r="M47" s="140"/>
      <c r="N47" s="140"/>
      <c r="O47" s="137"/>
      <c r="P47" s="137"/>
      <c r="Q47" s="140"/>
      <c r="R47" s="141">
        <f t="shared" si="1"/>
        <v>0</v>
      </c>
      <c r="S47" s="143"/>
      <c r="T47" s="143"/>
      <c r="U47" s="143"/>
      <c r="V47" s="143"/>
      <c r="W47" s="143"/>
      <c r="X47" s="143"/>
      <c r="Y47" s="143"/>
      <c r="Z47" s="140"/>
      <c r="AA47" s="140"/>
      <c r="AB47" s="140"/>
      <c r="AC47" s="134"/>
      <c r="AD47" s="140"/>
      <c r="AE47" s="134"/>
      <c r="AF47" s="140"/>
      <c r="AG47" s="134"/>
      <c r="AH47" s="140"/>
      <c r="AI47" s="142"/>
      <c r="AJ47" s="134"/>
      <c r="AK47" s="140"/>
      <c r="AL47" s="140"/>
      <c r="AM47" s="142"/>
      <c r="AN47" s="134"/>
      <c r="AO47" s="140"/>
      <c r="AP47" s="140"/>
    </row>
    <row r="48">
      <c r="A48" s="133">
        <v>46.0</v>
      </c>
      <c r="B48" s="140"/>
      <c r="C48" s="156"/>
      <c r="D48" s="138"/>
      <c r="E48" s="137"/>
      <c r="F48" s="140"/>
      <c r="G48" s="140"/>
      <c r="H48" s="140"/>
      <c r="I48" s="140"/>
      <c r="J48" s="137"/>
      <c r="K48" s="140"/>
      <c r="L48" s="140"/>
      <c r="M48" s="140"/>
      <c r="N48" s="140"/>
      <c r="O48" s="137"/>
      <c r="P48" s="137"/>
      <c r="Q48" s="140"/>
      <c r="R48" s="141">
        <f t="shared" si="1"/>
        <v>0</v>
      </c>
      <c r="S48" s="143"/>
      <c r="T48" s="143"/>
      <c r="U48" s="143"/>
      <c r="V48" s="143"/>
      <c r="W48" s="143"/>
      <c r="X48" s="143"/>
      <c r="Y48" s="143"/>
      <c r="Z48" s="140"/>
      <c r="AA48" s="140"/>
      <c r="AB48" s="140"/>
      <c r="AC48" s="134"/>
      <c r="AD48" s="140"/>
      <c r="AE48" s="134"/>
      <c r="AF48" s="140"/>
      <c r="AG48" s="134"/>
      <c r="AH48" s="140"/>
      <c r="AI48" s="142"/>
      <c r="AJ48" s="134"/>
      <c r="AK48" s="140"/>
      <c r="AL48" s="140"/>
      <c r="AM48" s="142"/>
      <c r="AN48" s="134"/>
      <c r="AO48" s="140"/>
      <c r="AP48" s="140"/>
    </row>
    <row r="49">
      <c r="A49" s="133">
        <v>47.0</v>
      </c>
      <c r="B49" s="140"/>
      <c r="C49" s="156"/>
      <c r="D49" s="138"/>
      <c r="E49" s="137"/>
      <c r="F49" s="140"/>
      <c r="G49" s="140"/>
      <c r="H49" s="140"/>
      <c r="I49" s="140"/>
      <c r="J49" s="137"/>
      <c r="K49" s="140"/>
      <c r="L49" s="140"/>
      <c r="M49" s="140"/>
      <c r="N49" s="140"/>
      <c r="O49" s="137"/>
      <c r="P49" s="137"/>
      <c r="Q49" s="140"/>
      <c r="R49" s="141">
        <f t="shared" si="1"/>
        <v>0</v>
      </c>
      <c r="S49" s="143"/>
      <c r="T49" s="143"/>
      <c r="U49" s="143"/>
      <c r="V49" s="143"/>
      <c r="W49" s="143"/>
      <c r="X49" s="143"/>
      <c r="Y49" s="143"/>
      <c r="Z49" s="140"/>
      <c r="AA49" s="140"/>
      <c r="AB49" s="140"/>
      <c r="AC49" s="134"/>
      <c r="AD49" s="140"/>
      <c r="AE49" s="134"/>
      <c r="AF49" s="140"/>
      <c r="AG49" s="134"/>
      <c r="AH49" s="140"/>
      <c r="AI49" s="142"/>
      <c r="AJ49" s="134"/>
      <c r="AK49" s="140"/>
      <c r="AL49" s="140"/>
      <c r="AM49" s="142"/>
      <c r="AN49" s="134"/>
      <c r="AO49" s="140"/>
      <c r="AP49" s="140"/>
    </row>
    <row r="50">
      <c r="A50" s="133">
        <v>48.0</v>
      </c>
      <c r="B50" s="140"/>
      <c r="C50" s="156"/>
      <c r="D50" s="138"/>
      <c r="E50" s="137"/>
      <c r="F50" s="140"/>
      <c r="G50" s="140"/>
      <c r="H50" s="140"/>
      <c r="I50" s="140"/>
      <c r="J50" s="137"/>
      <c r="K50" s="140"/>
      <c r="L50" s="140"/>
      <c r="M50" s="140"/>
      <c r="N50" s="140"/>
      <c r="O50" s="137"/>
      <c r="P50" s="137"/>
      <c r="Q50" s="140"/>
      <c r="R50" s="141">
        <f t="shared" si="1"/>
        <v>0</v>
      </c>
      <c r="S50" s="143"/>
      <c r="T50" s="143"/>
      <c r="U50" s="143"/>
      <c r="V50" s="143"/>
      <c r="W50" s="143"/>
      <c r="X50" s="143"/>
      <c r="Y50" s="143"/>
      <c r="Z50" s="140"/>
      <c r="AA50" s="140"/>
      <c r="AB50" s="140"/>
      <c r="AC50" s="134"/>
      <c r="AD50" s="140"/>
      <c r="AE50" s="134"/>
      <c r="AF50" s="140"/>
      <c r="AG50" s="134"/>
      <c r="AH50" s="140"/>
      <c r="AI50" s="142"/>
      <c r="AJ50" s="134"/>
      <c r="AK50" s="140"/>
      <c r="AL50" s="140"/>
      <c r="AM50" s="142"/>
      <c r="AN50" s="134"/>
      <c r="AO50" s="140"/>
      <c r="AP50" s="140"/>
    </row>
    <row r="51">
      <c r="A51" s="133">
        <v>49.0</v>
      </c>
      <c r="B51" s="140"/>
      <c r="C51" s="156"/>
      <c r="D51" s="138"/>
      <c r="E51" s="137"/>
      <c r="F51" s="140"/>
      <c r="G51" s="140"/>
      <c r="H51" s="140"/>
      <c r="I51" s="140"/>
      <c r="J51" s="137"/>
      <c r="K51" s="140"/>
      <c r="L51" s="140"/>
      <c r="M51" s="140"/>
      <c r="N51" s="140"/>
      <c r="O51" s="137"/>
      <c r="P51" s="137"/>
      <c r="Q51" s="140"/>
      <c r="R51" s="141">
        <f t="shared" si="1"/>
        <v>0</v>
      </c>
      <c r="S51" s="143"/>
      <c r="T51" s="143"/>
      <c r="U51" s="143"/>
      <c r="V51" s="143"/>
      <c r="W51" s="143"/>
      <c r="X51" s="143"/>
      <c r="Y51" s="143"/>
      <c r="Z51" s="140"/>
      <c r="AA51" s="140"/>
      <c r="AB51" s="140"/>
      <c r="AC51" s="134"/>
      <c r="AD51" s="140"/>
      <c r="AE51" s="134"/>
      <c r="AF51" s="140"/>
      <c r="AG51" s="134"/>
      <c r="AH51" s="140"/>
      <c r="AI51" s="142"/>
      <c r="AJ51" s="134"/>
      <c r="AK51" s="140"/>
      <c r="AL51" s="140"/>
      <c r="AM51" s="142"/>
      <c r="AN51" s="134"/>
      <c r="AO51" s="140"/>
      <c r="AP51" s="140"/>
    </row>
    <row r="52">
      <c r="A52" s="133">
        <v>50.0</v>
      </c>
      <c r="B52" s="140"/>
      <c r="C52" s="156"/>
      <c r="D52" s="138"/>
      <c r="E52" s="137"/>
      <c r="F52" s="140"/>
      <c r="G52" s="140"/>
      <c r="H52" s="140"/>
      <c r="I52" s="140"/>
      <c r="J52" s="137"/>
      <c r="K52" s="140"/>
      <c r="L52" s="140"/>
      <c r="M52" s="140"/>
      <c r="N52" s="140"/>
      <c r="O52" s="137"/>
      <c r="P52" s="137"/>
      <c r="Q52" s="140"/>
      <c r="R52" s="141">
        <f t="shared" si="1"/>
        <v>0</v>
      </c>
      <c r="S52" s="143"/>
      <c r="T52" s="143"/>
      <c r="U52" s="143"/>
      <c r="V52" s="143"/>
      <c r="W52" s="143"/>
      <c r="X52" s="143"/>
      <c r="Y52" s="143"/>
      <c r="Z52" s="140"/>
      <c r="AA52" s="140"/>
      <c r="AB52" s="140"/>
      <c r="AC52" s="134"/>
      <c r="AD52" s="140"/>
      <c r="AE52" s="134"/>
      <c r="AF52" s="140"/>
      <c r="AG52" s="134"/>
      <c r="AH52" s="140"/>
      <c r="AI52" s="142"/>
      <c r="AJ52" s="134"/>
      <c r="AK52" s="140"/>
      <c r="AL52" s="140"/>
      <c r="AM52" s="142"/>
      <c r="AN52" s="134"/>
      <c r="AO52" s="140"/>
      <c r="AP52" s="140"/>
    </row>
    <row r="53">
      <c r="A53" s="133">
        <v>51.0</v>
      </c>
      <c r="B53" s="140"/>
      <c r="C53" s="156"/>
      <c r="D53" s="138"/>
      <c r="E53" s="137"/>
      <c r="F53" s="140"/>
      <c r="G53" s="140"/>
      <c r="H53" s="140"/>
      <c r="I53" s="140"/>
      <c r="J53" s="137"/>
      <c r="K53" s="140"/>
      <c r="L53" s="140"/>
      <c r="M53" s="140"/>
      <c r="N53" s="140"/>
      <c r="O53" s="137"/>
      <c r="P53" s="137"/>
      <c r="Q53" s="140"/>
      <c r="R53" s="141">
        <f t="shared" si="1"/>
        <v>0</v>
      </c>
      <c r="S53" s="143"/>
      <c r="T53" s="143"/>
      <c r="U53" s="143"/>
      <c r="V53" s="143"/>
      <c r="W53" s="143"/>
      <c r="X53" s="143"/>
      <c r="Y53" s="143"/>
      <c r="Z53" s="140"/>
      <c r="AA53" s="140"/>
      <c r="AB53" s="140"/>
      <c r="AC53" s="134"/>
      <c r="AD53" s="140"/>
      <c r="AE53" s="134"/>
      <c r="AF53" s="140"/>
      <c r="AG53" s="134"/>
      <c r="AH53" s="140"/>
      <c r="AI53" s="142"/>
      <c r="AJ53" s="134"/>
      <c r="AK53" s="140"/>
      <c r="AL53" s="140"/>
      <c r="AM53" s="142"/>
      <c r="AN53" s="134"/>
      <c r="AO53" s="140"/>
      <c r="AP53" s="140"/>
    </row>
    <row r="54">
      <c r="A54" s="133">
        <v>52.0</v>
      </c>
      <c r="B54" s="140"/>
      <c r="C54" s="156"/>
      <c r="D54" s="138"/>
      <c r="E54" s="137"/>
      <c r="F54" s="140"/>
      <c r="G54" s="140"/>
      <c r="H54" s="140"/>
      <c r="I54" s="140"/>
      <c r="J54" s="137"/>
      <c r="K54" s="140"/>
      <c r="L54" s="140"/>
      <c r="M54" s="140"/>
      <c r="N54" s="140"/>
      <c r="O54" s="137"/>
      <c r="P54" s="137"/>
      <c r="Q54" s="140"/>
      <c r="R54" s="141">
        <f t="shared" si="1"/>
        <v>0</v>
      </c>
      <c r="S54" s="143"/>
      <c r="T54" s="143"/>
      <c r="U54" s="143"/>
      <c r="V54" s="143"/>
      <c r="W54" s="143"/>
      <c r="X54" s="143"/>
      <c r="Y54" s="143"/>
      <c r="Z54" s="140"/>
      <c r="AA54" s="140"/>
      <c r="AB54" s="140"/>
      <c r="AC54" s="134"/>
      <c r="AD54" s="140"/>
      <c r="AE54" s="134"/>
      <c r="AF54" s="140"/>
      <c r="AG54" s="134"/>
      <c r="AH54" s="140"/>
      <c r="AI54" s="142"/>
      <c r="AJ54" s="134"/>
      <c r="AK54" s="140"/>
      <c r="AL54" s="140"/>
      <c r="AM54" s="142"/>
      <c r="AN54" s="134"/>
      <c r="AO54" s="140"/>
      <c r="AP54" s="140"/>
    </row>
    <row r="55">
      <c r="A55" s="133">
        <v>53.0</v>
      </c>
      <c r="B55" s="140"/>
      <c r="C55" s="156"/>
      <c r="D55" s="138"/>
      <c r="E55" s="137"/>
      <c r="F55" s="140"/>
      <c r="G55" s="140"/>
      <c r="H55" s="140"/>
      <c r="I55" s="140"/>
      <c r="J55" s="137"/>
      <c r="K55" s="140"/>
      <c r="L55" s="140"/>
      <c r="M55" s="140"/>
      <c r="N55" s="140"/>
      <c r="O55" s="137"/>
      <c r="P55" s="137"/>
      <c r="Q55" s="140"/>
      <c r="R55" s="141">
        <f t="shared" si="1"/>
        <v>0</v>
      </c>
      <c r="S55" s="143"/>
      <c r="T55" s="143"/>
      <c r="U55" s="143"/>
      <c r="V55" s="143"/>
      <c r="W55" s="143"/>
      <c r="X55" s="143"/>
      <c r="Y55" s="143"/>
      <c r="Z55" s="140"/>
      <c r="AA55" s="140"/>
      <c r="AB55" s="140"/>
      <c r="AC55" s="134"/>
      <c r="AD55" s="140"/>
      <c r="AE55" s="134"/>
      <c r="AF55" s="140"/>
      <c r="AG55" s="134"/>
      <c r="AH55" s="140"/>
      <c r="AI55" s="142"/>
      <c r="AJ55" s="134"/>
      <c r="AK55" s="140"/>
      <c r="AL55" s="140"/>
      <c r="AM55" s="142"/>
      <c r="AN55" s="134"/>
      <c r="AO55" s="140"/>
      <c r="AP55" s="140"/>
    </row>
    <row r="56">
      <c r="A56" s="133">
        <v>54.0</v>
      </c>
      <c r="B56" s="140"/>
      <c r="C56" s="156"/>
      <c r="D56" s="138"/>
      <c r="E56" s="137"/>
      <c r="F56" s="140"/>
      <c r="G56" s="140"/>
      <c r="H56" s="140"/>
      <c r="I56" s="140"/>
      <c r="J56" s="137"/>
      <c r="K56" s="140"/>
      <c r="L56" s="140"/>
      <c r="M56" s="140"/>
      <c r="N56" s="140"/>
      <c r="O56" s="137"/>
      <c r="P56" s="137"/>
      <c r="Q56" s="140"/>
      <c r="R56" s="141">
        <f t="shared" si="1"/>
        <v>0</v>
      </c>
      <c r="S56" s="143"/>
      <c r="T56" s="143"/>
      <c r="U56" s="143"/>
      <c r="V56" s="143"/>
      <c r="W56" s="143"/>
      <c r="X56" s="143"/>
      <c r="Y56" s="143"/>
      <c r="Z56" s="140"/>
      <c r="AA56" s="140"/>
      <c r="AB56" s="140"/>
      <c r="AC56" s="134"/>
      <c r="AD56" s="140"/>
      <c r="AE56" s="134"/>
      <c r="AF56" s="140"/>
      <c r="AG56" s="134"/>
      <c r="AH56" s="140"/>
      <c r="AI56" s="142"/>
      <c r="AJ56" s="134"/>
      <c r="AK56" s="140"/>
      <c r="AL56" s="140"/>
      <c r="AM56" s="142"/>
      <c r="AN56" s="134"/>
      <c r="AO56" s="140"/>
      <c r="AP56" s="140"/>
    </row>
    <row r="57">
      <c r="A57" s="133">
        <v>55.0</v>
      </c>
      <c r="B57" s="140"/>
      <c r="C57" s="156"/>
      <c r="D57" s="138"/>
      <c r="E57" s="137"/>
      <c r="F57" s="140"/>
      <c r="G57" s="140"/>
      <c r="H57" s="140"/>
      <c r="I57" s="140"/>
      <c r="J57" s="137"/>
      <c r="K57" s="140"/>
      <c r="L57" s="140"/>
      <c r="M57" s="140"/>
      <c r="N57" s="140"/>
      <c r="O57" s="137"/>
      <c r="P57" s="137"/>
      <c r="Q57" s="140"/>
      <c r="R57" s="141">
        <f t="shared" si="1"/>
        <v>0</v>
      </c>
      <c r="S57" s="143"/>
      <c r="T57" s="143"/>
      <c r="U57" s="143"/>
      <c r="V57" s="143"/>
      <c r="W57" s="143"/>
      <c r="X57" s="143"/>
      <c r="Y57" s="143"/>
      <c r="Z57" s="140"/>
      <c r="AA57" s="140"/>
      <c r="AB57" s="140"/>
      <c r="AC57" s="134"/>
      <c r="AD57" s="140"/>
      <c r="AE57" s="134"/>
      <c r="AF57" s="140"/>
      <c r="AG57" s="134"/>
      <c r="AH57" s="140"/>
      <c r="AI57" s="142"/>
      <c r="AJ57" s="134"/>
      <c r="AK57" s="140"/>
      <c r="AL57" s="140"/>
      <c r="AM57" s="142"/>
      <c r="AN57" s="134"/>
      <c r="AO57" s="140"/>
      <c r="AP57" s="140"/>
    </row>
    <row r="58">
      <c r="A58" s="133">
        <v>56.0</v>
      </c>
      <c r="B58" s="140"/>
      <c r="C58" s="156"/>
      <c r="D58" s="138"/>
      <c r="E58" s="137"/>
      <c r="F58" s="140"/>
      <c r="G58" s="140"/>
      <c r="H58" s="140"/>
      <c r="I58" s="140"/>
      <c r="J58" s="137"/>
      <c r="K58" s="140"/>
      <c r="L58" s="140"/>
      <c r="M58" s="140"/>
      <c r="N58" s="140"/>
      <c r="O58" s="137"/>
      <c r="P58" s="137"/>
      <c r="Q58" s="140"/>
      <c r="R58" s="141">
        <f t="shared" si="1"/>
        <v>0</v>
      </c>
      <c r="S58" s="143"/>
      <c r="T58" s="143"/>
      <c r="U58" s="143"/>
      <c r="V58" s="143"/>
      <c r="W58" s="143"/>
      <c r="X58" s="143"/>
      <c r="Y58" s="143"/>
      <c r="Z58" s="140"/>
      <c r="AA58" s="140"/>
      <c r="AB58" s="140"/>
      <c r="AC58" s="134"/>
      <c r="AD58" s="140"/>
      <c r="AE58" s="134"/>
      <c r="AF58" s="140"/>
      <c r="AG58" s="134"/>
      <c r="AH58" s="140"/>
      <c r="AI58" s="142"/>
      <c r="AJ58" s="134"/>
      <c r="AK58" s="140"/>
      <c r="AL58" s="140"/>
      <c r="AM58" s="142"/>
      <c r="AN58" s="134"/>
      <c r="AO58" s="140"/>
      <c r="AP58" s="140"/>
    </row>
    <row r="59">
      <c r="A59" s="133">
        <v>57.0</v>
      </c>
      <c r="B59" s="140"/>
      <c r="C59" s="156"/>
      <c r="D59" s="138"/>
      <c r="E59" s="137"/>
      <c r="F59" s="140"/>
      <c r="G59" s="140"/>
      <c r="H59" s="140"/>
      <c r="I59" s="140"/>
      <c r="J59" s="137"/>
      <c r="K59" s="140"/>
      <c r="L59" s="140"/>
      <c r="M59" s="140"/>
      <c r="N59" s="140"/>
      <c r="O59" s="137"/>
      <c r="P59" s="137"/>
      <c r="Q59" s="140"/>
      <c r="R59" s="141">
        <f t="shared" si="1"/>
        <v>0</v>
      </c>
      <c r="S59" s="143"/>
      <c r="T59" s="143"/>
      <c r="U59" s="143"/>
      <c r="V59" s="143"/>
      <c r="W59" s="143"/>
      <c r="X59" s="143"/>
      <c r="Y59" s="143"/>
      <c r="Z59" s="140"/>
      <c r="AA59" s="140"/>
      <c r="AB59" s="140"/>
      <c r="AC59" s="134"/>
      <c r="AD59" s="140"/>
      <c r="AE59" s="134"/>
      <c r="AF59" s="140"/>
      <c r="AG59" s="134"/>
      <c r="AH59" s="140"/>
      <c r="AI59" s="142"/>
      <c r="AJ59" s="134"/>
      <c r="AK59" s="140"/>
      <c r="AL59" s="140"/>
      <c r="AM59" s="142"/>
      <c r="AN59" s="134"/>
      <c r="AO59" s="140"/>
      <c r="AP59" s="140"/>
    </row>
    <row r="60">
      <c r="A60" s="133">
        <v>58.0</v>
      </c>
      <c r="B60" s="140"/>
      <c r="C60" s="156"/>
      <c r="D60" s="138"/>
      <c r="E60" s="137"/>
      <c r="F60" s="140"/>
      <c r="G60" s="140"/>
      <c r="H60" s="140"/>
      <c r="I60" s="140"/>
      <c r="J60" s="137"/>
      <c r="K60" s="140"/>
      <c r="L60" s="140"/>
      <c r="M60" s="140"/>
      <c r="N60" s="140"/>
      <c r="O60" s="137"/>
      <c r="P60" s="137"/>
      <c r="Q60" s="140"/>
      <c r="R60" s="141">
        <f t="shared" si="1"/>
        <v>0</v>
      </c>
      <c r="S60" s="143"/>
      <c r="T60" s="143"/>
      <c r="U60" s="143"/>
      <c r="V60" s="143"/>
      <c r="W60" s="143"/>
      <c r="X60" s="143"/>
      <c r="Y60" s="143"/>
      <c r="Z60" s="140"/>
      <c r="AA60" s="140"/>
      <c r="AB60" s="140"/>
      <c r="AC60" s="134"/>
      <c r="AD60" s="140"/>
      <c r="AE60" s="134"/>
      <c r="AF60" s="140"/>
      <c r="AG60" s="134"/>
      <c r="AH60" s="140"/>
      <c r="AI60" s="142"/>
      <c r="AJ60" s="134"/>
      <c r="AK60" s="140"/>
      <c r="AL60" s="140"/>
      <c r="AM60" s="142"/>
      <c r="AN60" s="134"/>
      <c r="AO60" s="140"/>
      <c r="AP60" s="140"/>
    </row>
    <row r="61">
      <c r="A61" s="133">
        <v>59.0</v>
      </c>
      <c r="B61" s="140"/>
      <c r="C61" s="156"/>
      <c r="D61" s="138"/>
      <c r="E61" s="137"/>
      <c r="F61" s="140"/>
      <c r="G61" s="140"/>
      <c r="H61" s="140"/>
      <c r="I61" s="140"/>
      <c r="J61" s="137"/>
      <c r="K61" s="140"/>
      <c r="L61" s="140"/>
      <c r="M61" s="140"/>
      <c r="N61" s="140"/>
      <c r="O61" s="137"/>
      <c r="P61" s="137"/>
      <c r="Q61" s="140"/>
      <c r="R61" s="141">
        <f t="shared" si="1"/>
        <v>0</v>
      </c>
      <c r="S61" s="143"/>
      <c r="T61" s="143"/>
      <c r="U61" s="143"/>
      <c r="V61" s="143"/>
      <c r="W61" s="143"/>
      <c r="X61" s="143"/>
      <c r="Y61" s="143"/>
      <c r="Z61" s="140"/>
      <c r="AA61" s="140"/>
      <c r="AB61" s="140"/>
      <c r="AC61" s="134"/>
      <c r="AD61" s="140"/>
      <c r="AE61" s="134"/>
      <c r="AF61" s="140"/>
      <c r="AG61" s="134"/>
      <c r="AH61" s="140"/>
      <c r="AI61" s="142"/>
      <c r="AJ61" s="134"/>
      <c r="AK61" s="140"/>
      <c r="AL61" s="140"/>
      <c r="AM61" s="142"/>
      <c r="AN61" s="134"/>
      <c r="AO61" s="140"/>
      <c r="AP61" s="140"/>
    </row>
    <row r="62">
      <c r="A62" s="133">
        <v>60.0</v>
      </c>
      <c r="B62" s="140"/>
      <c r="C62" s="156"/>
      <c r="D62" s="138"/>
      <c r="E62" s="137"/>
      <c r="F62" s="140"/>
      <c r="G62" s="140"/>
      <c r="H62" s="140"/>
      <c r="I62" s="140"/>
      <c r="J62" s="137"/>
      <c r="K62" s="140"/>
      <c r="L62" s="140"/>
      <c r="M62" s="140"/>
      <c r="N62" s="140"/>
      <c r="O62" s="137"/>
      <c r="P62" s="137"/>
      <c r="Q62" s="140"/>
      <c r="R62" s="141">
        <f t="shared" si="1"/>
        <v>0</v>
      </c>
      <c r="S62" s="143"/>
      <c r="T62" s="143"/>
      <c r="U62" s="143"/>
      <c r="V62" s="143"/>
      <c r="W62" s="143"/>
      <c r="X62" s="143"/>
      <c r="Y62" s="143"/>
      <c r="Z62" s="140"/>
      <c r="AA62" s="140"/>
      <c r="AB62" s="140"/>
      <c r="AC62" s="134"/>
      <c r="AD62" s="140"/>
      <c r="AE62" s="134"/>
      <c r="AF62" s="140"/>
      <c r="AG62" s="134"/>
      <c r="AH62" s="140"/>
      <c r="AI62" s="142"/>
      <c r="AJ62" s="134"/>
      <c r="AK62" s="140"/>
      <c r="AL62" s="140"/>
      <c r="AM62" s="142"/>
      <c r="AN62" s="134"/>
      <c r="AO62" s="140"/>
      <c r="AP62" s="140"/>
    </row>
    <row r="63">
      <c r="A63" s="133">
        <v>61.0</v>
      </c>
      <c r="B63" s="140"/>
      <c r="C63" s="156"/>
      <c r="D63" s="138"/>
      <c r="E63" s="137"/>
      <c r="F63" s="140"/>
      <c r="G63" s="140"/>
      <c r="H63" s="140"/>
      <c r="I63" s="140"/>
      <c r="J63" s="137"/>
      <c r="K63" s="140"/>
      <c r="L63" s="140"/>
      <c r="M63" s="140"/>
      <c r="N63" s="140"/>
      <c r="O63" s="137"/>
      <c r="P63" s="137"/>
      <c r="Q63" s="140"/>
      <c r="R63" s="141">
        <f t="shared" si="1"/>
        <v>0</v>
      </c>
      <c r="S63" s="143"/>
      <c r="T63" s="143"/>
      <c r="U63" s="143"/>
      <c r="V63" s="143"/>
      <c r="W63" s="143"/>
      <c r="X63" s="143"/>
      <c r="Y63" s="143"/>
      <c r="Z63" s="140"/>
      <c r="AA63" s="140"/>
      <c r="AB63" s="140"/>
      <c r="AC63" s="134"/>
      <c r="AD63" s="140"/>
      <c r="AE63" s="134"/>
      <c r="AF63" s="140"/>
      <c r="AG63" s="134"/>
      <c r="AH63" s="140"/>
      <c r="AI63" s="142"/>
      <c r="AJ63" s="134"/>
      <c r="AK63" s="140"/>
      <c r="AL63" s="140"/>
      <c r="AM63" s="142"/>
      <c r="AN63" s="134"/>
      <c r="AO63" s="140"/>
      <c r="AP63" s="140"/>
    </row>
    <row r="64">
      <c r="A64" s="133">
        <v>62.0</v>
      </c>
      <c r="B64" s="140"/>
      <c r="C64" s="156"/>
      <c r="D64" s="138"/>
      <c r="E64" s="137"/>
      <c r="F64" s="140"/>
      <c r="G64" s="140"/>
      <c r="H64" s="140"/>
      <c r="I64" s="140"/>
      <c r="J64" s="137"/>
      <c r="K64" s="140"/>
      <c r="L64" s="140"/>
      <c r="M64" s="140"/>
      <c r="N64" s="140"/>
      <c r="O64" s="137"/>
      <c r="P64" s="137"/>
      <c r="Q64" s="140"/>
      <c r="R64" s="141">
        <f t="shared" si="1"/>
        <v>0</v>
      </c>
      <c r="S64" s="143"/>
      <c r="T64" s="143"/>
      <c r="U64" s="143"/>
      <c r="V64" s="143"/>
      <c r="W64" s="143"/>
      <c r="X64" s="143"/>
      <c r="Y64" s="143"/>
      <c r="Z64" s="140"/>
      <c r="AA64" s="140"/>
      <c r="AB64" s="140"/>
      <c r="AC64" s="134"/>
      <c r="AD64" s="140"/>
      <c r="AE64" s="134"/>
      <c r="AF64" s="140"/>
      <c r="AG64" s="134"/>
      <c r="AH64" s="140"/>
      <c r="AI64" s="142"/>
      <c r="AJ64" s="134"/>
      <c r="AK64" s="140"/>
      <c r="AL64" s="140"/>
      <c r="AM64" s="142"/>
      <c r="AN64" s="134"/>
      <c r="AO64" s="140"/>
      <c r="AP64" s="140"/>
    </row>
    <row r="65">
      <c r="A65" s="133">
        <v>63.0</v>
      </c>
      <c r="B65" s="140"/>
      <c r="C65" s="156"/>
      <c r="D65" s="138"/>
      <c r="E65" s="137"/>
      <c r="F65" s="140"/>
      <c r="G65" s="140"/>
      <c r="H65" s="140"/>
      <c r="I65" s="140"/>
      <c r="J65" s="137"/>
      <c r="K65" s="140"/>
      <c r="L65" s="140"/>
      <c r="M65" s="140"/>
      <c r="N65" s="140"/>
      <c r="O65" s="137"/>
      <c r="P65" s="137"/>
      <c r="Q65" s="140"/>
      <c r="R65" s="141">
        <f t="shared" si="1"/>
        <v>0</v>
      </c>
      <c r="S65" s="143"/>
      <c r="T65" s="143"/>
      <c r="U65" s="143"/>
      <c r="V65" s="143"/>
      <c r="W65" s="143"/>
      <c r="X65" s="143"/>
      <c r="Y65" s="143"/>
      <c r="Z65" s="140"/>
      <c r="AA65" s="140"/>
      <c r="AB65" s="140"/>
      <c r="AC65" s="134"/>
      <c r="AD65" s="140"/>
      <c r="AE65" s="134"/>
      <c r="AF65" s="140"/>
      <c r="AG65" s="134"/>
      <c r="AH65" s="140"/>
      <c r="AI65" s="142"/>
      <c r="AJ65" s="134"/>
      <c r="AK65" s="140"/>
      <c r="AL65" s="140"/>
      <c r="AM65" s="142"/>
      <c r="AN65" s="134"/>
      <c r="AO65" s="140"/>
      <c r="AP65" s="140"/>
    </row>
    <row r="66">
      <c r="A66" s="133">
        <v>64.0</v>
      </c>
      <c r="B66" s="140"/>
      <c r="C66" s="156"/>
      <c r="D66" s="138"/>
      <c r="E66" s="137"/>
      <c r="F66" s="140"/>
      <c r="G66" s="140"/>
      <c r="H66" s="140"/>
      <c r="I66" s="140"/>
      <c r="J66" s="137"/>
      <c r="K66" s="140"/>
      <c r="L66" s="140"/>
      <c r="M66" s="140"/>
      <c r="N66" s="140"/>
      <c r="O66" s="137"/>
      <c r="P66" s="137"/>
      <c r="Q66" s="140"/>
      <c r="R66" s="141">
        <f t="shared" si="1"/>
        <v>0</v>
      </c>
      <c r="S66" s="143"/>
      <c r="T66" s="143"/>
      <c r="U66" s="143"/>
      <c r="V66" s="143"/>
      <c r="W66" s="143"/>
      <c r="X66" s="143"/>
      <c r="Y66" s="143"/>
      <c r="Z66" s="140"/>
      <c r="AA66" s="140"/>
      <c r="AB66" s="140"/>
      <c r="AC66" s="134"/>
      <c r="AD66" s="140"/>
      <c r="AE66" s="134"/>
      <c r="AF66" s="140"/>
      <c r="AG66" s="134"/>
      <c r="AH66" s="140"/>
      <c r="AI66" s="142"/>
      <c r="AJ66" s="134"/>
      <c r="AK66" s="140"/>
      <c r="AL66" s="140"/>
      <c r="AM66" s="142"/>
      <c r="AN66" s="134"/>
      <c r="AO66" s="140"/>
      <c r="AP66" s="140"/>
    </row>
    <row r="67">
      <c r="A67" s="133">
        <v>65.0</v>
      </c>
      <c r="B67" s="140"/>
      <c r="C67" s="156"/>
      <c r="D67" s="138"/>
      <c r="E67" s="137"/>
      <c r="F67" s="140"/>
      <c r="G67" s="140"/>
      <c r="H67" s="140"/>
      <c r="I67" s="140"/>
      <c r="J67" s="137"/>
      <c r="K67" s="140"/>
      <c r="L67" s="140"/>
      <c r="M67" s="140"/>
      <c r="N67" s="140"/>
      <c r="O67" s="137"/>
      <c r="P67" s="137"/>
      <c r="Q67" s="140"/>
      <c r="R67" s="141">
        <f t="shared" si="1"/>
        <v>0</v>
      </c>
      <c r="S67" s="143"/>
      <c r="T67" s="143"/>
      <c r="U67" s="143"/>
      <c r="V67" s="143"/>
      <c r="W67" s="143"/>
      <c r="X67" s="143"/>
      <c r="Y67" s="143"/>
      <c r="Z67" s="140"/>
      <c r="AA67" s="140"/>
      <c r="AB67" s="140"/>
      <c r="AC67" s="134"/>
      <c r="AD67" s="140"/>
      <c r="AE67" s="134"/>
      <c r="AF67" s="140"/>
      <c r="AG67" s="134"/>
      <c r="AH67" s="140"/>
      <c r="AI67" s="142"/>
      <c r="AJ67" s="134"/>
      <c r="AK67" s="140"/>
      <c r="AL67" s="140"/>
      <c r="AM67" s="142"/>
      <c r="AN67" s="134"/>
      <c r="AO67" s="140"/>
      <c r="AP67" s="140"/>
    </row>
    <row r="68">
      <c r="A68" s="133">
        <v>66.0</v>
      </c>
      <c r="B68" s="140"/>
      <c r="C68" s="156"/>
      <c r="D68" s="138"/>
      <c r="E68" s="137"/>
      <c r="F68" s="140"/>
      <c r="G68" s="140"/>
      <c r="H68" s="140"/>
      <c r="I68" s="140"/>
      <c r="J68" s="137"/>
      <c r="K68" s="140"/>
      <c r="L68" s="140"/>
      <c r="M68" s="140"/>
      <c r="N68" s="140"/>
      <c r="O68" s="137"/>
      <c r="P68" s="137"/>
      <c r="Q68" s="140"/>
      <c r="R68" s="141">
        <f t="shared" si="1"/>
        <v>0</v>
      </c>
      <c r="S68" s="143"/>
      <c r="T68" s="143"/>
      <c r="U68" s="143"/>
      <c r="V68" s="143"/>
      <c r="W68" s="143"/>
      <c r="X68" s="143"/>
      <c r="Y68" s="143"/>
      <c r="Z68" s="140"/>
      <c r="AA68" s="140"/>
      <c r="AB68" s="140"/>
      <c r="AC68" s="134"/>
      <c r="AD68" s="140"/>
      <c r="AE68" s="134"/>
      <c r="AF68" s="140"/>
      <c r="AG68" s="134"/>
      <c r="AH68" s="140"/>
      <c r="AI68" s="142"/>
      <c r="AJ68" s="134"/>
      <c r="AK68" s="140"/>
      <c r="AL68" s="140"/>
      <c r="AM68" s="142"/>
      <c r="AN68" s="134"/>
      <c r="AO68" s="140"/>
      <c r="AP68" s="140"/>
    </row>
    <row r="69">
      <c r="A69" s="133">
        <v>67.0</v>
      </c>
      <c r="B69" s="140"/>
      <c r="C69" s="156"/>
      <c r="D69" s="138"/>
      <c r="E69" s="137"/>
      <c r="F69" s="140"/>
      <c r="G69" s="140"/>
      <c r="H69" s="140"/>
      <c r="I69" s="140"/>
      <c r="J69" s="137"/>
      <c r="K69" s="140"/>
      <c r="L69" s="140"/>
      <c r="M69" s="140"/>
      <c r="N69" s="140"/>
      <c r="O69" s="137"/>
      <c r="P69" s="137"/>
      <c r="Q69" s="140"/>
      <c r="R69" s="141">
        <f t="shared" si="1"/>
        <v>0</v>
      </c>
      <c r="S69" s="143"/>
      <c r="T69" s="143"/>
      <c r="U69" s="143"/>
      <c r="V69" s="143"/>
      <c r="W69" s="143"/>
      <c r="X69" s="143"/>
      <c r="Y69" s="143"/>
      <c r="Z69" s="140"/>
      <c r="AA69" s="140"/>
      <c r="AB69" s="140"/>
      <c r="AC69" s="134"/>
      <c r="AD69" s="140"/>
      <c r="AE69" s="134"/>
      <c r="AF69" s="140"/>
      <c r="AG69" s="134"/>
      <c r="AH69" s="140"/>
      <c r="AI69" s="142"/>
      <c r="AJ69" s="134"/>
      <c r="AK69" s="140"/>
      <c r="AL69" s="140"/>
      <c r="AM69" s="142"/>
      <c r="AN69" s="134"/>
      <c r="AO69" s="140"/>
      <c r="AP69" s="140"/>
    </row>
    <row r="70">
      <c r="A70" s="133">
        <v>68.0</v>
      </c>
      <c r="B70" s="140"/>
      <c r="C70" s="156"/>
      <c r="D70" s="138"/>
      <c r="E70" s="137"/>
      <c r="F70" s="140"/>
      <c r="G70" s="140"/>
      <c r="H70" s="140"/>
      <c r="I70" s="140"/>
      <c r="J70" s="137"/>
      <c r="K70" s="140"/>
      <c r="L70" s="140"/>
      <c r="M70" s="140"/>
      <c r="N70" s="140"/>
      <c r="O70" s="137"/>
      <c r="P70" s="137"/>
      <c r="Q70" s="140"/>
      <c r="R70" s="141">
        <f t="shared" si="1"/>
        <v>0</v>
      </c>
      <c r="S70" s="143"/>
      <c r="T70" s="143"/>
      <c r="U70" s="143"/>
      <c r="V70" s="143"/>
      <c r="W70" s="143"/>
      <c r="X70" s="143"/>
      <c r="Y70" s="143"/>
      <c r="Z70" s="140"/>
      <c r="AA70" s="140"/>
      <c r="AB70" s="140"/>
      <c r="AC70" s="134"/>
      <c r="AD70" s="140"/>
      <c r="AE70" s="134"/>
      <c r="AF70" s="140"/>
      <c r="AG70" s="134"/>
      <c r="AH70" s="140"/>
      <c r="AI70" s="142"/>
      <c r="AJ70" s="134"/>
      <c r="AK70" s="140"/>
      <c r="AL70" s="140"/>
      <c r="AM70" s="142"/>
      <c r="AN70" s="134"/>
      <c r="AO70" s="140"/>
      <c r="AP70" s="140"/>
    </row>
    <row r="71">
      <c r="A71" s="133">
        <v>69.0</v>
      </c>
      <c r="B71" s="140"/>
      <c r="C71" s="156"/>
      <c r="D71" s="138"/>
      <c r="E71" s="137"/>
      <c r="F71" s="140"/>
      <c r="G71" s="140"/>
      <c r="H71" s="140"/>
      <c r="I71" s="140"/>
      <c r="J71" s="137"/>
      <c r="K71" s="140"/>
      <c r="L71" s="140"/>
      <c r="M71" s="140"/>
      <c r="N71" s="140"/>
      <c r="O71" s="137"/>
      <c r="P71" s="137"/>
      <c r="Q71" s="140"/>
      <c r="R71" s="141">
        <f t="shared" si="1"/>
        <v>0</v>
      </c>
      <c r="S71" s="143"/>
      <c r="T71" s="143"/>
      <c r="U71" s="143"/>
      <c r="V71" s="143"/>
      <c r="W71" s="143"/>
      <c r="X71" s="143"/>
      <c r="Y71" s="143"/>
      <c r="Z71" s="140"/>
      <c r="AA71" s="140"/>
      <c r="AB71" s="140"/>
      <c r="AC71" s="134"/>
      <c r="AD71" s="140"/>
      <c r="AE71" s="134"/>
      <c r="AF71" s="140"/>
      <c r="AG71" s="134"/>
      <c r="AH71" s="140"/>
      <c r="AI71" s="142"/>
      <c r="AJ71" s="134"/>
      <c r="AK71" s="140"/>
      <c r="AL71" s="140"/>
      <c r="AM71" s="142"/>
      <c r="AN71" s="134"/>
      <c r="AO71" s="140"/>
      <c r="AP71" s="140"/>
    </row>
    <row r="72">
      <c r="A72" s="133">
        <v>70.0</v>
      </c>
      <c r="B72" s="140"/>
      <c r="C72" s="156"/>
      <c r="D72" s="138"/>
      <c r="E72" s="137"/>
      <c r="F72" s="140"/>
      <c r="G72" s="140"/>
      <c r="H72" s="140"/>
      <c r="I72" s="140"/>
      <c r="J72" s="137"/>
      <c r="K72" s="140"/>
      <c r="L72" s="140"/>
      <c r="M72" s="140"/>
      <c r="N72" s="140"/>
      <c r="O72" s="137"/>
      <c r="P72" s="137"/>
      <c r="Q72" s="140"/>
      <c r="R72" s="141">
        <f t="shared" si="1"/>
        <v>0</v>
      </c>
      <c r="S72" s="143"/>
      <c r="T72" s="143"/>
      <c r="U72" s="143"/>
      <c r="V72" s="143"/>
      <c r="W72" s="143"/>
      <c r="X72" s="143"/>
      <c r="Y72" s="143"/>
      <c r="Z72" s="140"/>
      <c r="AA72" s="140"/>
      <c r="AB72" s="140"/>
      <c r="AC72" s="134"/>
      <c r="AD72" s="140"/>
      <c r="AE72" s="134"/>
      <c r="AF72" s="140"/>
      <c r="AG72" s="134"/>
      <c r="AH72" s="140"/>
      <c r="AI72" s="142"/>
      <c r="AJ72" s="134"/>
      <c r="AK72" s="140"/>
      <c r="AL72" s="140"/>
      <c r="AM72" s="142"/>
      <c r="AN72" s="134"/>
      <c r="AO72" s="140"/>
      <c r="AP72" s="140"/>
    </row>
    <row r="73">
      <c r="A73" s="133">
        <v>71.0</v>
      </c>
      <c r="B73" s="140"/>
      <c r="C73" s="156"/>
      <c r="D73" s="138"/>
      <c r="E73" s="137"/>
      <c r="F73" s="140"/>
      <c r="G73" s="140"/>
      <c r="H73" s="140"/>
      <c r="I73" s="140"/>
      <c r="J73" s="137"/>
      <c r="K73" s="140"/>
      <c r="L73" s="140"/>
      <c r="M73" s="140"/>
      <c r="N73" s="140"/>
      <c r="O73" s="137"/>
      <c r="P73" s="137"/>
      <c r="Q73" s="140"/>
      <c r="R73" s="141">
        <f t="shared" si="1"/>
        <v>0</v>
      </c>
      <c r="S73" s="143"/>
      <c r="T73" s="143"/>
      <c r="U73" s="143"/>
      <c r="V73" s="143"/>
      <c r="W73" s="143"/>
      <c r="X73" s="143"/>
      <c r="Y73" s="143"/>
      <c r="Z73" s="140"/>
      <c r="AA73" s="140"/>
      <c r="AB73" s="140"/>
      <c r="AC73" s="134"/>
      <c r="AD73" s="140"/>
      <c r="AE73" s="134"/>
      <c r="AF73" s="140"/>
      <c r="AG73" s="134"/>
      <c r="AH73" s="140"/>
      <c r="AI73" s="142"/>
      <c r="AJ73" s="134"/>
      <c r="AK73" s="140"/>
      <c r="AL73" s="140"/>
      <c r="AM73" s="142"/>
      <c r="AN73" s="134"/>
      <c r="AO73" s="140"/>
      <c r="AP73" s="140"/>
    </row>
    <row r="74">
      <c r="A74" s="133">
        <v>72.0</v>
      </c>
      <c r="B74" s="140"/>
      <c r="C74" s="156"/>
      <c r="D74" s="138"/>
      <c r="E74" s="137"/>
      <c r="F74" s="140"/>
      <c r="G74" s="140"/>
      <c r="H74" s="140"/>
      <c r="I74" s="140"/>
      <c r="J74" s="137"/>
      <c r="K74" s="140"/>
      <c r="L74" s="140"/>
      <c r="M74" s="140"/>
      <c r="N74" s="140"/>
      <c r="O74" s="137"/>
      <c r="P74" s="137"/>
      <c r="Q74" s="140"/>
      <c r="R74" s="141">
        <f t="shared" si="1"/>
        <v>0</v>
      </c>
      <c r="S74" s="143"/>
      <c r="T74" s="143"/>
      <c r="U74" s="143"/>
      <c r="V74" s="143"/>
      <c r="W74" s="143"/>
      <c r="X74" s="143"/>
      <c r="Y74" s="143"/>
      <c r="Z74" s="140"/>
      <c r="AA74" s="140"/>
      <c r="AB74" s="140"/>
      <c r="AC74" s="134"/>
      <c r="AD74" s="140"/>
      <c r="AE74" s="134"/>
      <c r="AF74" s="140"/>
      <c r="AG74" s="134"/>
      <c r="AH74" s="140"/>
      <c r="AI74" s="142"/>
      <c r="AJ74" s="134"/>
      <c r="AK74" s="140"/>
      <c r="AL74" s="140"/>
      <c r="AM74" s="142"/>
      <c r="AN74" s="134"/>
      <c r="AO74" s="140"/>
      <c r="AP74" s="140"/>
    </row>
    <row r="75">
      <c r="A75" s="133">
        <v>73.0</v>
      </c>
      <c r="B75" s="140"/>
      <c r="C75" s="156"/>
      <c r="D75" s="138"/>
      <c r="E75" s="137"/>
      <c r="F75" s="140"/>
      <c r="G75" s="140"/>
      <c r="H75" s="140"/>
      <c r="I75" s="140"/>
      <c r="J75" s="137"/>
      <c r="K75" s="140"/>
      <c r="L75" s="140"/>
      <c r="M75" s="140"/>
      <c r="N75" s="140"/>
      <c r="O75" s="137"/>
      <c r="P75" s="137"/>
      <c r="Q75" s="140"/>
      <c r="R75" s="141">
        <f t="shared" si="1"/>
        <v>0</v>
      </c>
      <c r="S75" s="143"/>
      <c r="T75" s="143"/>
      <c r="U75" s="143"/>
      <c r="V75" s="143"/>
      <c r="W75" s="143"/>
      <c r="X75" s="143"/>
      <c r="Y75" s="143"/>
      <c r="Z75" s="140"/>
      <c r="AA75" s="140"/>
      <c r="AB75" s="140"/>
      <c r="AC75" s="134"/>
      <c r="AD75" s="140"/>
      <c r="AE75" s="134"/>
      <c r="AF75" s="140"/>
      <c r="AG75" s="134"/>
      <c r="AH75" s="140"/>
      <c r="AI75" s="142"/>
      <c r="AJ75" s="134"/>
      <c r="AK75" s="140"/>
      <c r="AL75" s="140"/>
      <c r="AM75" s="142"/>
      <c r="AN75" s="134"/>
      <c r="AO75" s="140"/>
      <c r="AP75" s="140"/>
    </row>
    <row r="76">
      <c r="A76" s="133">
        <v>74.0</v>
      </c>
      <c r="B76" s="140"/>
      <c r="C76" s="156"/>
      <c r="D76" s="138"/>
      <c r="E76" s="137"/>
      <c r="F76" s="140"/>
      <c r="G76" s="140"/>
      <c r="H76" s="140"/>
      <c r="I76" s="140"/>
      <c r="J76" s="137"/>
      <c r="K76" s="140"/>
      <c r="L76" s="140"/>
      <c r="M76" s="140"/>
      <c r="N76" s="140"/>
      <c r="O76" s="137"/>
      <c r="P76" s="137"/>
      <c r="Q76" s="140"/>
      <c r="R76" s="141">
        <f t="shared" si="1"/>
        <v>0</v>
      </c>
      <c r="S76" s="143"/>
      <c r="T76" s="143"/>
      <c r="U76" s="143"/>
      <c r="V76" s="143"/>
      <c r="W76" s="143"/>
      <c r="X76" s="143"/>
      <c r="Y76" s="143"/>
      <c r="Z76" s="140"/>
      <c r="AA76" s="140"/>
      <c r="AB76" s="140"/>
      <c r="AC76" s="134"/>
      <c r="AD76" s="140"/>
      <c r="AE76" s="134"/>
      <c r="AF76" s="140"/>
      <c r="AG76" s="134"/>
      <c r="AH76" s="140"/>
      <c r="AI76" s="142"/>
      <c r="AJ76" s="134"/>
      <c r="AK76" s="140"/>
      <c r="AL76" s="140"/>
      <c r="AM76" s="142"/>
      <c r="AN76" s="134"/>
      <c r="AO76" s="140"/>
      <c r="AP76" s="140"/>
    </row>
    <row r="77">
      <c r="A77" s="133">
        <v>75.0</v>
      </c>
      <c r="B77" s="140"/>
      <c r="C77" s="156"/>
      <c r="D77" s="138"/>
      <c r="E77" s="137"/>
      <c r="F77" s="140"/>
      <c r="G77" s="140"/>
      <c r="H77" s="140"/>
      <c r="I77" s="140"/>
      <c r="J77" s="137"/>
      <c r="K77" s="140"/>
      <c r="L77" s="140"/>
      <c r="M77" s="140"/>
      <c r="N77" s="140"/>
      <c r="O77" s="137"/>
      <c r="P77" s="137"/>
      <c r="Q77" s="140"/>
      <c r="R77" s="141">
        <f t="shared" si="1"/>
        <v>0</v>
      </c>
      <c r="S77" s="143"/>
      <c r="T77" s="143"/>
      <c r="U77" s="143"/>
      <c r="V77" s="143"/>
      <c r="W77" s="143"/>
      <c r="X77" s="143"/>
      <c r="Y77" s="143"/>
      <c r="Z77" s="140"/>
      <c r="AA77" s="140"/>
      <c r="AB77" s="140"/>
      <c r="AC77" s="134"/>
      <c r="AD77" s="140"/>
      <c r="AE77" s="134"/>
      <c r="AF77" s="140"/>
      <c r="AG77" s="134"/>
      <c r="AH77" s="140"/>
      <c r="AI77" s="142"/>
      <c r="AJ77" s="134"/>
      <c r="AK77" s="140"/>
      <c r="AL77" s="140"/>
      <c r="AM77" s="142"/>
      <c r="AN77" s="134"/>
      <c r="AO77" s="140"/>
      <c r="AP77" s="140"/>
    </row>
    <row r="78">
      <c r="A78" s="133">
        <v>76.0</v>
      </c>
      <c r="B78" s="140"/>
      <c r="C78" s="156"/>
      <c r="D78" s="138"/>
      <c r="E78" s="137"/>
      <c r="F78" s="140"/>
      <c r="G78" s="140"/>
      <c r="H78" s="140"/>
      <c r="I78" s="140"/>
      <c r="J78" s="137"/>
      <c r="K78" s="140"/>
      <c r="L78" s="140"/>
      <c r="M78" s="140"/>
      <c r="N78" s="140"/>
      <c r="O78" s="137"/>
      <c r="P78" s="137"/>
      <c r="Q78" s="140"/>
      <c r="R78" s="141">
        <f t="shared" si="1"/>
        <v>0</v>
      </c>
      <c r="S78" s="143"/>
      <c r="T78" s="143"/>
      <c r="U78" s="143"/>
      <c r="V78" s="143"/>
      <c r="W78" s="143"/>
      <c r="X78" s="143"/>
      <c r="Y78" s="143"/>
      <c r="Z78" s="140"/>
      <c r="AA78" s="140"/>
      <c r="AB78" s="140"/>
      <c r="AC78" s="134"/>
      <c r="AD78" s="140"/>
      <c r="AE78" s="134"/>
      <c r="AF78" s="140"/>
      <c r="AG78" s="134"/>
      <c r="AH78" s="140"/>
      <c r="AI78" s="142"/>
      <c r="AJ78" s="134"/>
      <c r="AK78" s="140"/>
      <c r="AL78" s="140"/>
      <c r="AM78" s="142"/>
      <c r="AN78" s="134"/>
      <c r="AO78" s="140"/>
      <c r="AP78" s="140"/>
    </row>
    <row r="79">
      <c r="A79" s="133">
        <v>77.0</v>
      </c>
      <c r="B79" s="140"/>
      <c r="C79" s="156"/>
      <c r="D79" s="138"/>
      <c r="E79" s="137"/>
      <c r="F79" s="140"/>
      <c r="G79" s="140"/>
      <c r="H79" s="140"/>
      <c r="I79" s="140"/>
      <c r="J79" s="137"/>
      <c r="K79" s="140"/>
      <c r="L79" s="140"/>
      <c r="M79" s="140"/>
      <c r="N79" s="140"/>
      <c r="O79" s="137"/>
      <c r="P79" s="137"/>
      <c r="Q79" s="140"/>
      <c r="R79" s="141">
        <f t="shared" si="1"/>
        <v>0</v>
      </c>
      <c r="S79" s="143"/>
      <c r="T79" s="143"/>
      <c r="U79" s="143"/>
      <c r="V79" s="143"/>
      <c r="W79" s="143"/>
      <c r="X79" s="143"/>
      <c r="Y79" s="143"/>
      <c r="Z79" s="140"/>
      <c r="AA79" s="140"/>
      <c r="AB79" s="140"/>
      <c r="AC79" s="134"/>
      <c r="AD79" s="140"/>
      <c r="AE79" s="134"/>
      <c r="AF79" s="140"/>
      <c r="AG79" s="134"/>
      <c r="AH79" s="140"/>
      <c r="AI79" s="142"/>
      <c r="AJ79" s="134"/>
      <c r="AK79" s="140"/>
      <c r="AL79" s="140"/>
      <c r="AM79" s="142"/>
      <c r="AN79" s="134"/>
      <c r="AO79" s="140"/>
      <c r="AP79" s="140"/>
    </row>
    <row r="80">
      <c r="A80" s="133">
        <v>78.0</v>
      </c>
      <c r="B80" s="140"/>
      <c r="C80" s="156"/>
      <c r="D80" s="138"/>
      <c r="E80" s="137"/>
      <c r="F80" s="140"/>
      <c r="G80" s="140"/>
      <c r="H80" s="140"/>
      <c r="I80" s="140"/>
      <c r="J80" s="137"/>
      <c r="K80" s="140"/>
      <c r="L80" s="140"/>
      <c r="M80" s="140"/>
      <c r="N80" s="140"/>
      <c r="O80" s="137"/>
      <c r="P80" s="137"/>
      <c r="Q80" s="140"/>
      <c r="R80" s="141">
        <f t="shared" si="1"/>
        <v>0</v>
      </c>
      <c r="S80" s="143"/>
      <c r="T80" s="143"/>
      <c r="U80" s="143"/>
      <c r="V80" s="143"/>
      <c r="W80" s="143"/>
      <c r="X80" s="143"/>
      <c r="Y80" s="143"/>
      <c r="Z80" s="140"/>
      <c r="AA80" s="140"/>
      <c r="AB80" s="140"/>
      <c r="AC80" s="134"/>
      <c r="AD80" s="140"/>
      <c r="AE80" s="134"/>
      <c r="AF80" s="140"/>
      <c r="AG80" s="134"/>
      <c r="AH80" s="140"/>
      <c r="AI80" s="142"/>
      <c r="AJ80" s="134"/>
      <c r="AK80" s="140"/>
      <c r="AL80" s="140"/>
      <c r="AM80" s="142"/>
      <c r="AN80" s="134"/>
      <c r="AO80" s="140"/>
      <c r="AP80" s="140"/>
    </row>
    <row r="81">
      <c r="A81" s="133">
        <v>79.0</v>
      </c>
      <c r="B81" s="140"/>
      <c r="C81" s="156"/>
      <c r="D81" s="138"/>
      <c r="E81" s="137"/>
      <c r="F81" s="140"/>
      <c r="G81" s="140"/>
      <c r="H81" s="140"/>
      <c r="I81" s="140"/>
      <c r="J81" s="137"/>
      <c r="K81" s="140"/>
      <c r="L81" s="140"/>
      <c r="M81" s="140"/>
      <c r="N81" s="140"/>
      <c r="O81" s="137"/>
      <c r="P81" s="137"/>
      <c r="Q81" s="140"/>
      <c r="R81" s="141">
        <f t="shared" si="1"/>
        <v>0</v>
      </c>
      <c r="S81" s="143"/>
      <c r="T81" s="143"/>
      <c r="U81" s="143"/>
      <c r="V81" s="143"/>
      <c r="W81" s="143"/>
      <c r="X81" s="143"/>
      <c r="Y81" s="143"/>
      <c r="Z81" s="140"/>
      <c r="AA81" s="140"/>
      <c r="AB81" s="140"/>
      <c r="AC81" s="134"/>
      <c r="AD81" s="140"/>
      <c r="AE81" s="134"/>
      <c r="AF81" s="140"/>
      <c r="AG81" s="134"/>
      <c r="AH81" s="140"/>
      <c r="AI81" s="142"/>
      <c r="AJ81" s="134"/>
      <c r="AK81" s="140"/>
      <c r="AL81" s="140"/>
      <c r="AM81" s="142"/>
      <c r="AN81" s="134"/>
      <c r="AO81" s="140"/>
      <c r="AP81" s="140"/>
    </row>
    <row r="82">
      <c r="A82" s="133">
        <v>80.0</v>
      </c>
      <c r="B82" s="140"/>
      <c r="C82" s="156"/>
      <c r="D82" s="138"/>
      <c r="E82" s="137"/>
      <c r="F82" s="140"/>
      <c r="G82" s="140"/>
      <c r="H82" s="140"/>
      <c r="I82" s="140"/>
      <c r="J82" s="137"/>
      <c r="K82" s="140"/>
      <c r="L82" s="140"/>
      <c r="M82" s="140"/>
      <c r="N82" s="140"/>
      <c r="O82" s="137"/>
      <c r="P82" s="137"/>
      <c r="Q82" s="140"/>
      <c r="R82" s="141">
        <f t="shared" si="1"/>
        <v>0</v>
      </c>
      <c r="S82" s="143"/>
      <c r="T82" s="143"/>
      <c r="U82" s="143"/>
      <c r="V82" s="143"/>
      <c r="W82" s="143"/>
      <c r="X82" s="143"/>
      <c r="Y82" s="143"/>
      <c r="Z82" s="140"/>
      <c r="AA82" s="140"/>
      <c r="AB82" s="140"/>
      <c r="AC82" s="134"/>
      <c r="AD82" s="140"/>
      <c r="AE82" s="134"/>
      <c r="AF82" s="140"/>
      <c r="AG82" s="134"/>
      <c r="AH82" s="140"/>
      <c r="AI82" s="142"/>
      <c r="AJ82" s="134"/>
      <c r="AK82" s="140"/>
      <c r="AL82" s="140"/>
      <c r="AM82" s="142"/>
      <c r="AN82" s="134"/>
      <c r="AO82" s="140"/>
      <c r="AP82" s="140"/>
    </row>
    <row r="83">
      <c r="A83" s="133">
        <v>81.0</v>
      </c>
      <c r="B83" s="140"/>
      <c r="C83" s="156"/>
      <c r="D83" s="138"/>
      <c r="E83" s="137"/>
      <c r="F83" s="140"/>
      <c r="G83" s="140"/>
      <c r="H83" s="140"/>
      <c r="I83" s="140"/>
      <c r="J83" s="137"/>
      <c r="K83" s="140"/>
      <c r="L83" s="140"/>
      <c r="M83" s="140"/>
      <c r="N83" s="140"/>
      <c r="O83" s="137"/>
      <c r="P83" s="137"/>
      <c r="Q83" s="140"/>
      <c r="R83" s="141">
        <f t="shared" si="1"/>
        <v>0</v>
      </c>
      <c r="S83" s="143"/>
      <c r="T83" s="143"/>
      <c r="U83" s="143"/>
      <c r="V83" s="143"/>
      <c r="W83" s="143"/>
      <c r="X83" s="143"/>
      <c r="Y83" s="143"/>
      <c r="Z83" s="140"/>
      <c r="AA83" s="140"/>
      <c r="AB83" s="140"/>
      <c r="AC83" s="134"/>
      <c r="AD83" s="140"/>
      <c r="AE83" s="134"/>
      <c r="AF83" s="140"/>
      <c r="AG83" s="134"/>
      <c r="AH83" s="140"/>
      <c r="AI83" s="142"/>
      <c r="AJ83" s="134"/>
      <c r="AK83" s="140"/>
      <c r="AL83" s="140"/>
      <c r="AM83" s="142"/>
      <c r="AN83" s="134"/>
      <c r="AO83" s="140"/>
      <c r="AP83" s="140"/>
    </row>
    <row r="84">
      <c r="A84" s="133">
        <v>82.0</v>
      </c>
      <c r="B84" s="140"/>
      <c r="C84" s="156"/>
      <c r="D84" s="138"/>
      <c r="E84" s="137"/>
      <c r="F84" s="140"/>
      <c r="G84" s="140"/>
      <c r="H84" s="140"/>
      <c r="I84" s="140"/>
      <c r="J84" s="137"/>
      <c r="K84" s="140"/>
      <c r="L84" s="140"/>
      <c r="M84" s="140"/>
      <c r="N84" s="140"/>
      <c r="O84" s="137"/>
      <c r="P84" s="137"/>
      <c r="Q84" s="140"/>
      <c r="R84" s="141">
        <f t="shared" si="1"/>
        <v>0</v>
      </c>
      <c r="S84" s="143"/>
      <c r="T84" s="143"/>
      <c r="U84" s="143"/>
      <c r="V84" s="143"/>
      <c r="W84" s="143"/>
      <c r="X84" s="143"/>
      <c r="Y84" s="143"/>
      <c r="Z84" s="140"/>
      <c r="AA84" s="140"/>
      <c r="AB84" s="140"/>
      <c r="AC84" s="134"/>
      <c r="AD84" s="140"/>
      <c r="AE84" s="134"/>
      <c r="AF84" s="140"/>
      <c r="AG84" s="134"/>
      <c r="AH84" s="140"/>
      <c r="AI84" s="142"/>
      <c r="AJ84" s="134"/>
      <c r="AK84" s="140"/>
      <c r="AL84" s="140"/>
      <c r="AM84" s="142"/>
      <c r="AN84" s="134"/>
      <c r="AO84" s="140"/>
      <c r="AP84" s="140"/>
    </row>
    <row r="85">
      <c r="A85" s="133">
        <v>83.0</v>
      </c>
      <c r="B85" s="140"/>
      <c r="C85" s="156"/>
      <c r="D85" s="138"/>
      <c r="E85" s="137"/>
      <c r="F85" s="140"/>
      <c r="G85" s="140"/>
      <c r="H85" s="140"/>
      <c r="I85" s="140"/>
      <c r="J85" s="137"/>
      <c r="K85" s="140"/>
      <c r="L85" s="140"/>
      <c r="M85" s="140"/>
      <c r="N85" s="140"/>
      <c r="O85" s="137"/>
      <c r="P85" s="137"/>
      <c r="Q85" s="140"/>
      <c r="R85" s="141">
        <f t="shared" si="1"/>
        <v>0</v>
      </c>
      <c r="S85" s="143"/>
      <c r="T85" s="143"/>
      <c r="U85" s="143"/>
      <c r="V85" s="143"/>
      <c r="W85" s="143"/>
      <c r="X85" s="143"/>
      <c r="Y85" s="143"/>
      <c r="Z85" s="140"/>
      <c r="AA85" s="140"/>
      <c r="AB85" s="140"/>
      <c r="AC85" s="134"/>
      <c r="AD85" s="140"/>
      <c r="AE85" s="134"/>
      <c r="AF85" s="140"/>
      <c r="AG85" s="134"/>
      <c r="AH85" s="140"/>
      <c r="AI85" s="142"/>
      <c r="AJ85" s="134"/>
      <c r="AK85" s="140"/>
      <c r="AL85" s="140"/>
      <c r="AM85" s="142"/>
      <c r="AN85" s="134"/>
      <c r="AO85" s="140"/>
      <c r="AP85" s="140"/>
    </row>
    <row r="86">
      <c r="A86" s="133">
        <v>84.0</v>
      </c>
      <c r="B86" s="140"/>
      <c r="C86" s="156"/>
      <c r="D86" s="138"/>
      <c r="E86" s="137"/>
      <c r="F86" s="140"/>
      <c r="G86" s="140"/>
      <c r="H86" s="140"/>
      <c r="I86" s="140"/>
      <c r="J86" s="137"/>
      <c r="K86" s="140"/>
      <c r="L86" s="140"/>
      <c r="M86" s="140"/>
      <c r="N86" s="140"/>
      <c r="O86" s="137"/>
      <c r="P86" s="137"/>
      <c r="Q86" s="140"/>
      <c r="R86" s="141">
        <f t="shared" si="1"/>
        <v>0</v>
      </c>
      <c r="S86" s="143"/>
      <c r="T86" s="143"/>
      <c r="U86" s="143"/>
      <c r="V86" s="143"/>
      <c r="W86" s="143"/>
      <c r="X86" s="143"/>
      <c r="Y86" s="143"/>
      <c r="Z86" s="140"/>
      <c r="AA86" s="140"/>
      <c r="AB86" s="140"/>
      <c r="AC86" s="134"/>
      <c r="AD86" s="140"/>
      <c r="AE86" s="134"/>
      <c r="AF86" s="140"/>
      <c r="AG86" s="134"/>
      <c r="AH86" s="140"/>
      <c r="AI86" s="142"/>
      <c r="AJ86" s="134"/>
      <c r="AK86" s="140"/>
      <c r="AL86" s="140"/>
      <c r="AM86" s="142"/>
      <c r="AN86" s="134"/>
      <c r="AO86" s="140"/>
      <c r="AP86" s="140"/>
    </row>
    <row r="87">
      <c r="A87" s="133">
        <v>85.0</v>
      </c>
      <c r="B87" s="140"/>
      <c r="C87" s="156"/>
      <c r="D87" s="138"/>
      <c r="E87" s="137"/>
      <c r="F87" s="140"/>
      <c r="G87" s="140"/>
      <c r="H87" s="140"/>
      <c r="I87" s="140"/>
      <c r="J87" s="137"/>
      <c r="K87" s="140"/>
      <c r="L87" s="140"/>
      <c r="M87" s="140"/>
      <c r="N87" s="140"/>
      <c r="O87" s="137"/>
      <c r="P87" s="137"/>
      <c r="Q87" s="140"/>
      <c r="R87" s="141">
        <f t="shared" si="1"/>
        <v>0</v>
      </c>
      <c r="S87" s="143"/>
      <c r="T87" s="143"/>
      <c r="U87" s="143"/>
      <c r="V87" s="143"/>
      <c r="W87" s="143"/>
      <c r="X87" s="143"/>
      <c r="Y87" s="143"/>
      <c r="Z87" s="140"/>
      <c r="AA87" s="140"/>
      <c r="AB87" s="140"/>
      <c r="AC87" s="134"/>
      <c r="AD87" s="140"/>
      <c r="AE87" s="134"/>
      <c r="AF87" s="140"/>
      <c r="AG87" s="134"/>
      <c r="AH87" s="140"/>
      <c r="AI87" s="142"/>
      <c r="AJ87" s="134"/>
      <c r="AK87" s="140"/>
      <c r="AL87" s="140"/>
      <c r="AM87" s="142"/>
      <c r="AN87" s="134"/>
      <c r="AO87" s="140"/>
      <c r="AP87" s="140"/>
    </row>
    <row r="88">
      <c r="A88" s="133">
        <v>86.0</v>
      </c>
      <c r="B88" s="140"/>
      <c r="C88" s="156"/>
      <c r="D88" s="138"/>
      <c r="E88" s="137"/>
      <c r="F88" s="140"/>
      <c r="G88" s="140"/>
      <c r="H88" s="140"/>
      <c r="I88" s="140"/>
      <c r="J88" s="137"/>
      <c r="K88" s="140"/>
      <c r="L88" s="140"/>
      <c r="M88" s="140"/>
      <c r="N88" s="140"/>
      <c r="O88" s="137"/>
      <c r="P88" s="137"/>
      <c r="Q88" s="140"/>
      <c r="R88" s="141">
        <f t="shared" si="1"/>
        <v>0</v>
      </c>
      <c r="S88" s="143"/>
      <c r="T88" s="143"/>
      <c r="U88" s="143"/>
      <c r="V88" s="143"/>
      <c r="W88" s="143"/>
      <c r="X88" s="143"/>
      <c r="Y88" s="143"/>
      <c r="Z88" s="140"/>
      <c r="AA88" s="140"/>
      <c r="AB88" s="140"/>
      <c r="AC88" s="134"/>
      <c r="AD88" s="140"/>
      <c r="AE88" s="134"/>
      <c r="AF88" s="140"/>
      <c r="AG88" s="134"/>
      <c r="AH88" s="140"/>
      <c r="AI88" s="142"/>
      <c r="AJ88" s="134"/>
      <c r="AK88" s="140"/>
      <c r="AL88" s="140"/>
      <c r="AM88" s="142"/>
      <c r="AN88" s="134"/>
      <c r="AO88" s="140"/>
      <c r="AP88" s="140"/>
    </row>
    <row r="89">
      <c r="A89" s="133">
        <v>87.0</v>
      </c>
      <c r="B89" s="140"/>
      <c r="C89" s="156"/>
      <c r="D89" s="138"/>
      <c r="E89" s="137"/>
      <c r="F89" s="140"/>
      <c r="G89" s="140"/>
      <c r="H89" s="140"/>
      <c r="I89" s="140"/>
      <c r="J89" s="137"/>
      <c r="K89" s="140"/>
      <c r="L89" s="140"/>
      <c r="M89" s="140"/>
      <c r="N89" s="140"/>
      <c r="O89" s="137"/>
      <c r="P89" s="137"/>
      <c r="Q89" s="140"/>
      <c r="R89" s="141">
        <f t="shared" si="1"/>
        <v>0</v>
      </c>
      <c r="S89" s="143"/>
      <c r="T89" s="143"/>
      <c r="U89" s="143"/>
      <c r="V89" s="143"/>
      <c r="W89" s="143"/>
      <c r="X89" s="143"/>
      <c r="Y89" s="143"/>
      <c r="Z89" s="140"/>
      <c r="AA89" s="140"/>
      <c r="AB89" s="140"/>
      <c r="AC89" s="134"/>
      <c r="AD89" s="140"/>
      <c r="AE89" s="134"/>
      <c r="AF89" s="140"/>
      <c r="AG89" s="134"/>
      <c r="AH89" s="140"/>
      <c r="AI89" s="142"/>
      <c r="AJ89" s="134"/>
      <c r="AK89" s="140"/>
      <c r="AL89" s="140"/>
      <c r="AM89" s="142"/>
      <c r="AN89" s="134"/>
      <c r="AO89" s="140"/>
      <c r="AP89" s="140"/>
    </row>
    <row r="90">
      <c r="A90" s="133">
        <v>88.0</v>
      </c>
      <c r="B90" s="140"/>
      <c r="C90" s="156"/>
      <c r="D90" s="138"/>
      <c r="E90" s="137"/>
      <c r="F90" s="140"/>
      <c r="G90" s="140"/>
      <c r="H90" s="140"/>
      <c r="I90" s="140"/>
      <c r="J90" s="137"/>
      <c r="K90" s="140"/>
      <c r="L90" s="140"/>
      <c r="M90" s="140"/>
      <c r="N90" s="140"/>
      <c r="O90" s="137"/>
      <c r="P90" s="137"/>
      <c r="Q90" s="140"/>
      <c r="R90" s="141">
        <f t="shared" si="1"/>
        <v>0</v>
      </c>
      <c r="S90" s="143"/>
      <c r="T90" s="143"/>
      <c r="U90" s="143"/>
      <c r="V90" s="143"/>
      <c r="W90" s="143"/>
      <c r="X90" s="143"/>
      <c r="Y90" s="143"/>
      <c r="Z90" s="140"/>
      <c r="AA90" s="140"/>
      <c r="AB90" s="140"/>
      <c r="AC90" s="134"/>
      <c r="AD90" s="140"/>
      <c r="AE90" s="134"/>
      <c r="AF90" s="140"/>
      <c r="AG90" s="134"/>
      <c r="AH90" s="140"/>
      <c r="AI90" s="142"/>
      <c r="AJ90" s="134"/>
      <c r="AK90" s="140"/>
      <c r="AL90" s="140"/>
      <c r="AM90" s="142"/>
      <c r="AN90" s="134"/>
      <c r="AO90" s="140"/>
      <c r="AP90" s="140"/>
    </row>
    <row r="91">
      <c r="A91" s="133">
        <v>89.0</v>
      </c>
      <c r="B91" s="140"/>
      <c r="C91" s="156"/>
      <c r="D91" s="138"/>
      <c r="E91" s="137"/>
      <c r="F91" s="140"/>
      <c r="G91" s="140"/>
      <c r="H91" s="140"/>
      <c r="I91" s="140"/>
      <c r="J91" s="137"/>
      <c r="K91" s="140"/>
      <c r="L91" s="140"/>
      <c r="M91" s="140"/>
      <c r="N91" s="140"/>
      <c r="O91" s="137"/>
      <c r="P91" s="137"/>
      <c r="Q91" s="140"/>
      <c r="R91" s="141">
        <f t="shared" si="1"/>
        <v>0</v>
      </c>
      <c r="S91" s="143"/>
      <c r="T91" s="143"/>
      <c r="U91" s="143"/>
      <c r="V91" s="143"/>
      <c r="W91" s="143"/>
      <c r="X91" s="143"/>
      <c r="Y91" s="143"/>
      <c r="Z91" s="140"/>
      <c r="AA91" s="140"/>
      <c r="AB91" s="140"/>
      <c r="AC91" s="134"/>
      <c r="AD91" s="140"/>
      <c r="AE91" s="134"/>
      <c r="AF91" s="140"/>
      <c r="AG91" s="134"/>
      <c r="AH91" s="140"/>
      <c r="AI91" s="142"/>
      <c r="AJ91" s="134"/>
      <c r="AK91" s="140"/>
      <c r="AL91" s="140"/>
      <c r="AM91" s="142"/>
      <c r="AN91" s="134"/>
      <c r="AO91" s="140"/>
      <c r="AP91" s="140"/>
    </row>
    <row r="92">
      <c r="A92" s="133">
        <v>90.0</v>
      </c>
      <c r="B92" s="140"/>
      <c r="C92" s="156"/>
      <c r="D92" s="138"/>
      <c r="E92" s="137"/>
      <c r="F92" s="140"/>
      <c r="G92" s="140"/>
      <c r="H92" s="140"/>
      <c r="I92" s="140"/>
      <c r="J92" s="137"/>
      <c r="K92" s="140"/>
      <c r="L92" s="140"/>
      <c r="M92" s="140"/>
      <c r="N92" s="140"/>
      <c r="O92" s="137"/>
      <c r="P92" s="137"/>
      <c r="Q92" s="140"/>
      <c r="R92" s="141">
        <f t="shared" si="1"/>
        <v>0</v>
      </c>
      <c r="S92" s="143"/>
      <c r="T92" s="143"/>
      <c r="U92" s="143"/>
      <c r="V92" s="143"/>
      <c r="W92" s="143"/>
      <c r="X92" s="143"/>
      <c r="Y92" s="143"/>
      <c r="Z92" s="140"/>
      <c r="AA92" s="140"/>
      <c r="AB92" s="140"/>
      <c r="AC92" s="134"/>
      <c r="AD92" s="140"/>
      <c r="AE92" s="134"/>
      <c r="AF92" s="140"/>
      <c r="AG92" s="134"/>
      <c r="AH92" s="140"/>
      <c r="AI92" s="142"/>
      <c r="AJ92" s="134"/>
      <c r="AK92" s="140"/>
      <c r="AL92" s="140"/>
      <c r="AM92" s="142"/>
      <c r="AN92" s="134"/>
      <c r="AO92" s="140"/>
      <c r="AP92" s="140"/>
    </row>
    <row r="93">
      <c r="A93" s="133">
        <v>91.0</v>
      </c>
      <c r="B93" s="140"/>
      <c r="C93" s="156"/>
      <c r="D93" s="138"/>
      <c r="E93" s="137"/>
      <c r="F93" s="140"/>
      <c r="G93" s="140"/>
      <c r="H93" s="140"/>
      <c r="I93" s="140"/>
      <c r="J93" s="137"/>
      <c r="K93" s="140"/>
      <c r="L93" s="140"/>
      <c r="M93" s="140"/>
      <c r="N93" s="140"/>
      <c r="O93" s="137"/>
      <c r="P93" s="137"/>
      <c r="Q93" s="140"/>
      <c r="R93" s="141">
        <f t="shared" si="1"/>
        <v>0</v>
      </c>
      <c r="S93" s="143"/>
      <c r="T93" s="143"/>
      <c r="U93" s="143"/>
      <c r="V93" s="143"/>
      <c r="W93" s="143"/>
      <c r="X93" s="143"/>
      <c r="Y93" s="143"/>
      <c r="Z93" s="140"/>
      <c r="AA93" s="140"/>
      <c r="AB93" s="140"/>
      <c r="AC93" s="134"/>
      <c r="AD93" s="140"/>
      <c r="AE93" s="134"/>
      <c r="AF93" s="140"/>
      <c r="AG93" s="134"/>
      <c r="AH93" s="140"/>
      <c r="AI93" s="142"/>
      <c r="AJ93" s="134"/>
      <c r="AK93" s="140"/>
      <c r="AL93" s="140"/>
      <c r="AM93" s="142"/>
      <c r="AN93" s="134"/>
      <c r="AO93" s="140"/>
      <c r="AP93" s="140"/>
    </row>
    <row r="94">
      <c r="A94" s="133">
        <v>92.0</v>
      </c>
      <c r="B94" s="140"/>
      <c r="C94" s="156"/>
      <c r="D94" s="138"/>
      <c r="E94" s="137"/>
      <c r="F94" s="140"/>
      <c r="G94" s="140"/>
      <c r="H94" s="140"/>
      <c r="I94" s="140"/>
      <c r="J94" s="137"/>
      <c r="K94" s="140"/>
      <c r="L94" s="140"/>
      <c r="M94" s="140"/>
      <c r="N94" s="140"/>
      <c r="O94" s="137"/>
      <c r="P94" s="137"/>
      <c r="Q94" s="140"/>
      <c r="R94" s="141">
        <f t="shared" si="1"/>
        <v>0</v>
      </c>
      <c r="S94" s="143"/>
      <c r="T94" s="143"/>
      <c r="U94" s="143"/>
      <c r="V94" s="143"/>
      <c r="W94" s="143"/>
      <c r="X94" s="143"/>
      <c r="Y94" s="143"/>
      <c r="Z94" s="140"/>
      <c r="AA94" s="140"/>
      <c r="AB94" s="140"/>
      <c r="AC94" s="134"/>
      <c r="AD94" s="140"/>
      <c r="AE94" s="134"/>
      <c r="AF94" s="140"/>
      <c r="AG94" s="134"/>
      <c r="AH94" s="140"/>
      <c r="AI94" s="142"/>
      <c r="AJ94" s="134"/>
      <c r="AK94" s="140"/>
      <c r="AL94" s="140"/>
      <c r="AM94" s="142"/>
      <c r="AN94" s="134"/>
      <c r="AO94" s="140"/>
      <c r="AP94" s="140"/>
    </row>
    <row r="95">
      <c r="A95" s="133">
        <v>93.0</v>
      </c>
      <c r="B95" s="140"/>
      <c r="C95" s="156"/>
      <c r="D95" s="138"/>
      <c r="E95" s="137"/>
      <c r="F95" s="140"/>
      <c r="G95" s="140"/>
      <c r="H95" s="140"/>
      <c r="I95" s="140"/>
      <c r="J95" s="137"/>
      <c r="K95" s="140"/>
      <c r="L95" s="140"/>
      <c r="M95" s="140"/>
      <c r="N95" s="140"/>
      <c r="O95" s="137"/>
      <c r="P95" s="137"/>
      <c r="Q95" s="140"/>
      <c r="R95" s="141">
        <f t="shared" si="1"/>
        <v>0</v>
      </c>
      <c r="S95" s="143"/>
      <c r="T95" s="143"/>
      <c r="U95" s="143"/>
      <c r="V95" s="143"/>
      <c r="W95" s="143"/>
      <c r="X95" s="143"/>
      <c r="Y95" s="143"/>
      <c r="Z95" s="140"/>
      <c r="AA95" s="140"/>
      <c r="AB95" s="140"/>
      <c r="AC95" s="134"/>
      <c r="AD95" s="140"/>
      <c r="AE95" s="134"/>
      <c r="AF95" s="140"/>
      <c r="AG95" s="134"/>
      <c r="AH95" s="140"/>
      <c r="AI95" s="142"/>
      <c r="AJ95" s="134"/>
      <c r="AK95" s="140"/>
      <c r="AL95" s="140"/>
      <c r="AM95" s="142"/>
      <c r="AN95" s="134"/>
      <c r="AO95" s="140"/>
      <c r="AP95" s="140"/>
    </row>
    <row r="96">
      <c r="A96" s="133">
        <v>94.0</v>
      </c>
      <c r="B96" s="140"/>
      <c r="C96" s="156"/>
      <c r="D96" s="138"/>
      <c r="E96" s="137"/>
      <c r="F96" s="140"/>
      <c r="G96" s="140"/>
      <c r="H96" s="140"/>
      <c r="I96" s="140"/>
      <c r="J96" s="137"/>
      <c r="K96" s="140"/>
      <c r="L96" s="140"/>
      <c r="M96" s="140"/>
      <c r="N96" s="140"/>
      <c r="O96" s="137"/>
      <c r="P96" s="137"/>
      <c r="Q96" s="140"/>
      <c r="R96" s="141">
        <f t="shared" si="1"/>
        <v>0</v>
      </c>
      <c r="S96" s="143"/>
      <c r="T96" s="143"/>
      <c r="U96" s="143"/>
      <c r="V96" s="143"/>
      <c r="W96" s="143"/>
      <c r="X96" s="143"/>
      <c r="Y96" s="143"/>
      <c r="Z96" s="140"/>
      <c r="AA96" s="140"/>
      <c r="AB96" s="140"/>
      <c r="AC96" s="134"/>
      <c r="AD96" s="140"/>
      <c r="AE96" s="134"/>
      <c r="AF96" s="140"/>
      <c r="AG96" s="134"/>
      <c r="AH96" s="140"/>
      <c r="AI96" s="142"/>
      <c r="AJ96" s="134"/>
      <c r="AK96" s="140"/>
      <c r="AL96" s="140"/>
      <c r="AM96" s="142"/>
      <c r="AN96" s="134"/>
      <c r="AO96" s="140"/>
      <c r="AP96" s="140"/>
    </row>
    <row r="97">
      <c r="A97" s="133">
        <v>95.0</v>
      </c>
      <c r="B97" s="140"/>
      <c r="C97" s="156"/>
      <c r="D97" s="138"/>
      <c r="E97" s="137"/>
      <c r="F97" s="140"/>
      <c r="G97" s="140"/>
      <c r="H97" s="140"/>
      <c r="I97" s="140"/>
      <c r="J97" s="137"/>
      <c r="K97" s="140"/>
      <c r="L97" s="140"/>
      <c r="M97" s="140"/>
      <c r="N97" s="140"/>
      <c r="O97" s="137"/>
      <c r="P97" s="137"/>
      <c r="Q97" s="140"/>
      <c r="R97" s="141">
        <f t="shared" si="1"/>
        <v>0</v>
      </c>
      <c r="S97" s="143"/>
      <c r="T97" s="143"/>
      <c r="U97" s="143"/>
      <c r="V97" s="143"/>
      <c r="W97" s="143"/>
      <c r="X97" s="143"/>
      <c r="Y97" s="143"/>
      <c r="Z97" s="140"/>
      <c r="AA97" s="140"/>
      <c r="AB97" s="140"/>
      <c r="AC97" s="134"/>
      <c r="AD97" s="140"/>
      <c r="AE97" s="134"/>
      <c r="AF97" s="140"/>
      <c r="AG97" s="134"/>
      <c r="AH97" s="140"/>
      <c r="AI97" s="142"/>
      <c r="AJ97" s="134"/>
      <c r="AK97" s="140"/>
      <c r="AL97" s="140"/>
      <c r="AM97" s="142"/>
      <c r="AN97" s="134"/>
      <c r="AO97" s="140"/>
      <c r="AP97" s="140"/>
    </row>
    <row r="98">
      <c r="A98" s="133">
        <v>96.0</v>
      </c>
      <c r="B98" s="140"/>
      <c r="C98" s="156"/>
      <c r="D98" s="138"/>
      <c r="E98" s="137"/>
      <c r="F98" s="140"/>
      <c r="G98" s="140"/>
      <c r="H98" s="140"/>
      <c r="I98" s="140"/>
      <c r="J98" s="137"/>
      <c r="K98" s="140"/>
      <c r="L98" s="140"/>
      <c r="M98" s="140"/>
      <c r="N98" s="140"/>
      <c r="O98" s="137"/>
      <c r="P98" s="137"/>
      <c r="Q98" s="140"/>
      <c r="R98" s="141">
        <f t="shared" si="1"/>
        <v>0</v>
      </c>
      <c r="S98" s="143"/>
      <c r="T98" s="143"/>
      <c r="U98" s="143"/>
      <c r="V98" s="143"/>
      <c r="W98" s="143"/>
      <c r="X98" s="143"/>
      <c r="Y98" s="143"/>
      <c r="Z98" s="140"/>
      <c r="AA98" s="140"/>
      <c r="AB98" s="140"/>
      <c r="AC98" s="134"/>
      <c r="AD98" s="140"/>
      <c r="AE98" s="134"/>
      <c r="AF98" s="140"/>
      <c r="AG98" s="134"/>
      <c r="AH98" s="140"/>
      <c r="AI98" s="142"/>
      <c r="AJ98" s="134"/>
      <c r="AK98" s="140"/>
      <c r="AL98" s="140"/>
      <c r="AM98" s="142"/>
      <c r="AN98" s="134"/>
      <c r="AO98" s="140"/>
      <c r="AP98" s="140"/>
    </row>
    <row r="99">
      <c r="A99" s="133">
        <v>97.0</v>
      </c>
      <c r="B99" s="140"/>
      <c r="C99" s="156"/>
      <c r="D99" s="138"/>
      <c r="E99" s="137"/>
      <c r="F99" s="140"/>
      <c r="G99" s="140"/>
      <c r="H99" s="140"/>
      <c r="I99" s="140"/>
      <c r="J99" s="137"/>
      <c r="K99" s="140"/>
      <c r="L99" s="140"/>
      <c r="M99" s="140"/>
      <c r="N99" s="140"/>
      <c r="O99" s="137"/>
      <c r="P99" s="137"/>
      <c r="Q99" s="140"/>
      <c r="R99" s="141">
        <f t="shared" si="1"/>
        <v>0</v>
      </c>
      <c r="S99" s="143"/>
      <c r="T99" s="143"/>
      <c r="U99" s="143"/>
      <c r="V99" s="143"/>
      <c r="W99" s="143"/>
      <c r="X99" s="143"/>
      <c r="Y99" s="143"/>
      <c r="Z99" s="140"/>
      <c r="AA99" s="140"/>
      <c r="AB99" s="140"/>
      <c r="AC99" s="134"/>
      <c r="AD99" s="140"/>
      <c r="AE99" s="134"/>
      <c r="AF99" s="140"/>
      <c r="AG99" s="134"/>
      <c r="AH99" s="140"/>
      <c r="AI99" s="142"/>
      <c r="AJ99" s="134"/>
      <c r="AK99" s="140"/>
      <c r="AL99" s="140"/>
      <c r="AM99" s="142"/>
      <c r="AN99" s="134"/>
      <c r="AO99" s="140"/>
      <c r="AP99" s="140"/>
    </row>
    <row r="100">
      <c r="A100" s="133">
        <v>98.0</v>
      </c>
      <c r="B100" s="140"/>
      <c r="C100" s="156"/>
      <c r="D100" s="138"/>
      <c r="E100" s="137"/>
      <c r="F100" s="140"/>
      <c r="G100" s="140"/>
      <c r="H100" s="140"/>
      <c r="I100" s="140"/>
      <c r="J100" s="137"/>
      <c r="K100" s="140"/>
      <c r="L100" s="140"/>
      <c r="M100" s="140"/>
      <c r="N100" s="140"/>
      <c r="O100" s="137"/>
      <c r="P100" s="137"/>
      <c r="Q100" s="140"/>
      <c r="R100" s="141">
        <f t="shared" si="1"/>
        <v>0</v>
      </c>
      <c r="S100" s="143"/>
      <c r="T100" s="143"/>
      <c r="U100" s="143"/>
      <c r="V100" s="143"/>
      <c r="W100" s="143"/>
      <c r="X100" s="143"/>
      <c r="Y100" s="143"/>
      <c r="Z100" s="140"/>
      <c r="AA100" s="140"/>
      <c r="AB100" s="140"/>
      <c r="AC100" s="134"/>
      <c r="AD100" s="140"/>
      <c r="AE100" s="134"/>
      <c r="AF100" s="140"/>
      <c r="AG100" s="134"/>
      <c r="AH100" s="140"/>
      <c r="AI100" s="142"/>
      <c r="AJ100" s="134"/>
      <c r="AK100" s="140"/>
      <c r="AL100" s="140"/>
      <c r="AM100" s="142"/>
      <c r="AN100" s="134"/>
      <c r="AO100" s="140"/>
      <c r="AP100" s="140"/>
    </row>
    <row r="101">
      <c r="A101" s="133">
        <v>99.0</v>
      </c>
      <c r="B101" s="140"/>
      <c r="C101" s="156"/>
      <c r="D101" s="138"/>
      <c r="E101" s="137"/>
      <c r="F101" s="140"/>
      <c r="G101" s="140"/>
      <c r="H101" s="140"/>
      <c r="I101" s="140"/>
      <c r="J101" s="137"/>
      <c r="K101" s="140"/>
      <c r="L101" s="140"/>
      <c r="M101" s="140"/>
      <c r="N101" s="140"/>
      <c r="O101" s="137"/>
      <c r="P101" s="137"/>
      <c r="Q101" s="140"/>
      <c r="R101" s="141">
        <f t="shared" si="1"/>
        <v>0</v>
      </c>
      <c r="S101" s="143"/>
      <c r="T101" s="143"/>
      <c r="U101" s="143"/>
      <c r="V101" s="143"/>
      <c r="W101" s="143"/>
      <c r="X101" s="143"/>
      <c r="Y101" s="143"/>
      <c r="Z101" s="140"/>
      <c r="AA101" s="140"/>
      <c r="AB101" s="140"/>
      <c r="AC101" s="134"/>
      <c r="AD101" s="140"/>
      <c r="AE101" s="134"/>
      <c r="AF101" s="140"/>
      <c r="AG101" s="134"/>
      <c r="AH101" s="140"/>
      <c r="AI101" s="142"/>
      <c r="AJ101" s="134"/>
      <c r="AK101" s="140"/>
      <c r="AL101" s="140"/>
      <c r="AM101" s="142"/>
      <c r="AN101" s="134"/>
      <c r="AO101" s="140"/>
      <c r="AP101" s="140"/>
    </row>
    <row r="102">
      <c r="A102" s="133">
        <v>100.0</v>
      </c>
      <c r="B102" s="140"/>
      <c r="C102" s="156"/>
      <c r="D102" s="138"/>
      <c r="E102" s="137"/>
      <c r="F102" s="140"/>
      <c r="G102" s="140"/>
      <c r="H102" s="140"/>
      <c r="I102" s="140"/>
      <c r="J102" s="137"/>
      <c r="K102" s="140"/>
      <c r="L102" s="140"/>
      <c r="M102" s="140"/>
      <c r="N102" s="140"/>
      <c r="O102" s="137"/>
      <c r="P102" s="137"/>
      <c r="Q102" s="140"/>
      <c r="R102" s="141">
        <f t="shared" si="1"/>
        <v>0</v>
      </c>
      <c r="S102" s="143"/>
      <c r="T102" s="143"/>
      <c r="U102" s="143"/>
      <c r="V102" s="143"/>
      <c r="W102" s="143"/>
      <c r="X102" s="143"/>
      <c r="Y102" s="143"/>
      <c r="Z102" s="140"/>
      <c r="AA102" s="140"/>
      <c r="AB102" s="140"/>
      <c r="AC102" s="134"/>
      <c r="AD102" s="140"/>
      <c r="AE102" s="134"/>
      <c r="AF102" s="140"/>
      <c r="AG102" s="134"/>
      <c r="AH102" s="140"/>
      <c r="AI102" s="142"/>
      <c r="AJ102" s="134"/>
      <c r="AK102" s="140"/>
      <c r="AL102" s="140"/>
      <c r="AM102" s="142"/>
      <c r="AN102" s="134"/>
      <c r="AO102" s="140"/>
      <c r="AP102" s="140"/>
    </row>
    <row r="103">
      <c r="A103" s="133">
        <v>101.0</v>
      </c>
      <c r="B103" s="140"/>
      <c r="C103" s="156"/>
      <c r="D103" s="138"/>
      <c r="E103" s="137"/>
      <c r="F103" s="140"/>
      <c r="G103" s="140"/>
      <c r="H103" s="140"/>
      <c r="I103" s="140"/>
      <c r="J103" s="137"/>
      <c r="K103" s="140"/>
      <c r="L103" s="140"/>
      <c r="M103" s="140"/>
      <c r="N103" s="140"/>
      <c r="O103" s="137"/>
      <c r="P103" s="137"/>
      <c r="Q103" s="140"/>
      <c r="R103" s="141">
        <f t="shared" si="1"/>
        <v>0</v>
      </c>
      <c r="S103" s="143"/>
      <c r="T103" s="143"/>
      <c r="U103" s="143"/>
      <c r="V103" s="143"/>
      <c r="W103" s="143"/>
      <c r="X103" s="143"/>
      <c r="Y103" s="143"/>
      <c r="Z103" s="140"/>
      <c r="AA103" s="140"/>
      <c r="AB103" s="140"/>
      <c r="AC103" s="134"/>
      <c r="AD103" s="140"/>
      <c r="AE103" s="134"/>
      <c r="AF103" s="140"/>
      <c r="AG103" s="134"/>
      <c r="AH103" s="140"/>
      <c r="AI103" s="142"/>
      <c r="AJ103" s="134"/>
      <c r="AK103" s="140"/>
      <c r="AL103" s="140"/>
      <c r="AM103" s="142"/>
      <c r="AN103" s="134"/>
      <c r="AO103" s="140"/>
      <c r="AP103" s="140"/>
    </row>
    <row r="104">
      <c r="A104" s="133">
        <v>102.0</v>
      </c>
      <c r="C104" s="165"/>
      <c r="D104" s="138"/>
      <c r="E104" s="137"/>
      <c r="J104" s="120"/>
      <c r="O104" s="120"/>
      <c r="P104" s="120"/>
    </row>
    <row r="105">
      <c r="A105" s="133">
        <v>103.0</v>
      </c>
      <c r="C105" s="165"/>
      <c r="J105" s="120"/>
      <c r="O105" s="120"/>
      <c r="P105" s="120"/>
    </row>
    <row r="106">
      <c r="A106" s="133">
        <v>104.0</v>
      </c>
      <c r="C106" s="165"/>
      <c r="J106" s="120"/>
      <c r="O106" s="120"/>
      <c r="P106" s="120"/>
    </row>
    <row r="107">
      <c r="A107" s="133">
        <v>105.0</v>
      </c>
      <c r="C107" s="165"/>
      <c r="J107" s="120"/>
      <c r="O107" s="120"/>
      <c r="P107" s="120"/>
    </row>
    <row r="108">
      <c r="A108" s="133">
        <v>106.0</v>
      </c>
      <c r="C108" s="165"/>
      <c r="J108" s="120"/>
      <c r="O108" s="120"/>
      <c r="P108" s="120"/>
    </row>
    <row r="109">
      <c r="A109" s="133">
        <v>107.0</v>
      </c>
      <c r="C109" s="165"/>
      <c r="J109" s="120"/>
      <c r="O109" s="120"/>
      <c r="P109" s="120"/>
    </row>
    <row r="110">
      <c r="A110" s="133">
        <v>108.0</v>
      </c>
      <c r="C110" s="165"/>
      <c r="J110" s="120"/>
      <c r="O110" s="120"/>
      <c r="P110" s="120"/>
    </row>
    <row r="111">
      <c r="A111" s="133">
        <v>109.0</v>
      </c>
      <c r="C111" s="165"/>
      <c r="J111" s="120"/>
      <c r="O111" s="120"/>
      <c r="P111" s="120"/>
    </row>
    <row r="112">
      <c r="A112" s="133">
        <v>110.0</v>
      </c>
      <c r="C112" s="165"/>
      <c r="J112" s="120"/>
      <c r="O112" s="120"/>
      <c r="P112" s="120"/>
    </row>
    <row r="113">
      <c r="A113" s="133">
        <v>111.0</v>
      </c>
      <c r="C113" s="165"/>
      <c r="J113" s="120"/>
      <c r="O113" s="120"/>
      <c r="P113" s="120"/>
    </row>
    <row r="114">
      <c r="A114" s="133">
        <v>112.0</v>
      </c>
      <c r="C114" s="165"/>
      <c r="J114" s="120"/>
      <c r="O114" s="120"/>
      <c r="P114" s="120"/>
    </row>
    <row r="115">
      <c r="A115" s="133">
        <v>113.0</v>
      </c>
      <c r="C115" s="165"/>
      <c r="J115" s="120"/>
      <c r="O115" s="120"/>
      <c r="P115" s="120"/>
    </row>
    <row r="116">
      <c r="A116" s="133">
        <v>114.0</v>
      </c>
      <c r="C116" s="165"/>
      <c r="J116" s="120"/>
      <c r="O116" s="120"/>
      <c r="P116" s="120"/>
    </row>
    <row r="117">
      <c r="A117" s="133">
        <v>115.0</v>
      </c>
      <c r="C117" s="165"/>
      <c r="J117" s="120"/>
      <c r="O117" s="120"/>
      <c r="P117" s="120"/>
    </row>
    <row r="118">
      <c r="A118" s="133">
        <v>116.0</v>
      </c>
      <c r="C118" s="165"/>
      <c r="J118" s="120"/>
      <c r="O118" s="120"/>
      <c r="P118" s="120"/>
    </row>
    <row r="119">
      <c r="C119" s="165"/>
      <c r="J119" s="120"/>
      <c r="O119" s="120"/>
      <c r="P119" s="120"/>
    </row>
    <row r="120">
      <c r="C120" s="165"/>
      <c r="J120" s="120"/>
      <c r="O120" s="120"/>
      <c r="P120" s="120"/>
    </row>
    <row r="121">
      <c r="C121" s="165"/>
      <c r="J121" s="120"/>
      <c r="O121" s="120"/>
      <c r="P121" s="120"/>
    </row>
    <row r="122">
      <c r="C122" s="165"/>
      <c r="J122" s="120"/>
      <c r="O122" s="120"/>
      <c r="P122" s="120"/>
    </row>
    <row r="123">
      <c r="C123" s="165"/>
      <c r="J123" s="120"/>
      <c r="O123" s="120"/>
      <c r="P123" s="120"/>
    </row>
    <row r="124">
      <c r="C124" s="165"/>
      <c r="J124" s="120"/>
      <c r="O124" s="120"/>
      <c r="P124" s="120"/>
    </row>
    <row r="125">
      <c r="C125" s="165"/>
      <c r="J125" s="120"/>
      <c r="O125" s="120"/>
      <c r="P125" s="120"/>
    </row>
    <row r="126">
      <c r="C126" s="165"/>
      <c r="J126" s="120"/>
      <c r="O126" s="120"/>
      <c r="P126" s="120"/>
    </row>
    <row r="127">
      <c r="C127" s="165"/>
      <c r="J127" s="120"/>
      <c r="O127" s="120"/>
      <c r="P127" s="120"/>
    </row>
    <row r="128">
      <c r="C128" s="165"/>
      <c r="J128" s="120"/>
      <c r="O128" s="120"/>
      <c r="P128" s="120"/>
    </row>
    <row r="129">
      <c r="C129" s="165"/>
      <c r="J129" s="120"/>
      <c r="O129" s="120"/>
      <c r="P129" s="120"/>
    </row>
    <row r="130">
      <c r="C130" s="165"/>
      <c r="J130" s="120"/>
      <c r="O130" s="120"/>
      <c r="P130" s="120"/>
    </row>
    <row r="131">
      <c r="C131" s="165"/>
      <c r="J131" s="120"/>
      <c r="O131" s="120"/>
      <c r="P131" s="120"/>
    </row>
    <row r="132">
      <c r="C132" s="165"/>
      <c r="J132" s="120"/>
      <c r="O132" s="120"/>
      <c r="P132" s="120"/>
    </row>
    <row r="133">
      <c r="C133" s="165"/>
      <c r="J133" s="120"/>
      <c r="O133" s="120"/>
      <c r="P133" s="120"/>
    </row>
    <row r="134">
      <c r="C134" s="165"/>
      <c r="J134" s="120"/>
      <c r="O134" s="120"/>
      <c r="P134" s="120"/>
    </row>
    <row r="135">
      <c r="C135" s="165"/>
      <c r="J135" s="120"/>
      <c r="O135" s="120"/>
      <c r="P135" s="120"/>
    </row>
    <row r="136">
      <c r="C136" s="165"/>
      <c r="J136" s="120"/>
      <c r="O136" s="120"/>
      <c r="P136" s="120"/>
    </row>
    <row r="137">
      <c r="C137" s="165"/>
      <c r="J137" s="120"/>
      <c r="O137" s="120"/>
      <c r="P137" s="120"/>
    </row>
    <row r="138">
      <c r="C138" s="165"/>
      <c r="J138" s="120"/>
      <c r="O138" s="120"/>
      <c r="P138" s="120"/>
    </row>
    <row r="139">
      <c r="C139" s="165"/>
      <c r="J139" s="120"/>
      <c r="O139" s="120"/>
      <c r="P139" s="120"/>
    </row>
    <row r="140">
      <c r="C140" s="165"/>
      <c r="J140" s="120"/>
      <c r="O140" s="120"/>
      <c r="P140" s="120"/>
    </row>
    <row r="141">
      <c r="C141" s="165"/>
      <c r="J141" s="120"/>
      <c r="O141" s="120"/>
      <c r="P141" s="120"/>
    </row>
    <row r="142">
      <c r="C142" s="165"/>
      <c r="J142" s="120"/>
      <c r="O142" s="120"/>
      <c r="P142" s="120"/>
    </row>
    <row r="143">
      <c r="C143" s="165"/>
      <c r="J143" s="120"/>
      <c r="O143" s="120"/>
      <c r="P143" s="120"/>
    </row>
    <row r="144">
      <c r="C144" s="165"/>
      <c r="J144" s="120"/>
      <c r="O144" s="120"/>
      <c r="P144" s="120"/>
    </row>
    <row r="145">
      <c r="C145" s="165"/>
      <c r="J145" s="120"/>
      <c r="O145" s="120"/>
      <c r="P145" s="120"/>
    </row>
    <row r="146">
      <c r="C146" s="165"/>
      <c r="J146" s="120"/>
      <c r="O146" s="120"/>
      <c r="P146" s="120"/>
    </row>
    <row r="147">
      <c r="C147" s="165"/>
      <c r="J147" s="120"/>
      <c r="O147" s="120"/>
      <c r="P147" s="120"/>
    </row>
    <row r="148">
      <c r="C148" s="165"/>
      <c r="J148" s="120"/>
      <c r="O148" s="120"/>
      <c r="P148" s="120"/>
    </row>
    <row r="149">
      <c r="C149" s="165"/>
      <c r="J149" s="120"/>
      <c r="O149" s="120"/>
      <c r="P149" s="120"/>
    </row>
    <row r="150">
      <c r="C150" s="165"/>
      <c r="J150" s="120"/>
      <c r="O150" s="120"/>
      <c r="P150" s="120"/>
    </row>
    <row r="151">
      <c r="C151" s="165"/>
      <c r="J151" s="120"/>
      <c r="O151" s="120"/>
      <c r="P151" s="120"/>
    </row>
    <row r="152">
      <c r="C152" s="165"/>
      <c r="J152" s="120"/>
      <c r="O152" s="120"/>
      <c r="P152" s="120"/>
    </row>
    <row r="153">
      <c r="C153" s="165"/>
      <c r="J153" s="120"/>
      <c r="O153" s="120"/>
      <c r="P153" s="120"/>
    </row>
    <row r="154">
      <c r="C154" s="165"/>
      <c r="J154" s="120"/>
      <c r="O154" s="120"/>
      <c r="P154" s="120"/>
    </row>
    <row r="155">
      <c r="C155" s="165"/>
      <c r="J155" s="120"/>
      <c r="O155" s="120"/>
      <c r="P155" s="120"/>
    </row>
    <row r="156">
      <c r="C156" s="165"/>
      <c r="J156" s="120"/>
      <c r="O156" s="120"/>
      <c r="P156" s="120"/>
    </row>
    <row r="157">
      <c r="C157" s="165"/>
      <c r="J157" s="120"/>
      <c r="O157" s="120"/>
      <c r="P157" s="120"/>
    </row>
    <row r="158">
      <c r="C158" s="165"/>
      <c r="J158" s="120"/>
      <c r="O158" s="120"/>
      <c r="P158" s="120"/>
    </row>
    <row r="159">
      <c r="C159" s="165"/>
      <c r="J159" s="120"/>
      <c r="O159" s="120"/>
      <c r="P159" s="120"/>
    </row>
    <row r="160">
      <c r="C160" s="165"/>
      <c r="J160" s="120"/>
      <c r="O160" s="120"/>
      <c r="P160" s="120"/>
    </row>
    <row r="161">
      <c r="C161" s="165"/>
      <c r="J161" s="120"/>
      <c r="O161" s="120"/>
      <c r="P161" s="120"/>
    </row>
    <row r="162">
      <c r="C162" s="165"/>
      <c r="J162" s="120"/>
      <c r="O162" s="120"/>
      <c r="P162" s="120"/>
    </row>
    <row r="163">
      <c r="C163" s="165"/>
      <c r="J163" s="120"/>
      <c r="O163" s="120"/>
      <c r="P163" s="120"/>
    </row>
    <row r="164">
      <c r="C164" s="165"/>
      <c r="J164" s="120"/>
      <c r="O164" s="120"/>
      <c r="P164" s="120"/>
    </row>
    <row r="165">
      <c r="C165" s="165"/>
      <c r="J165" s="120"/>
      <c r="O165" s="120"/>
      <c r="P165" s="120"/>
    </row>
    <row r="166">
      <c r="C166" s="165"/>
      <c r="J166" s="120"/>
      <c r="O166" s="120"/>
      <c r="P166" s="120"/>
    </row>
    <row r="167">
      <c r="C167" s="165"/>
      <c r="J167" s="120"/>
      <c r="O167" s="120"/>
      <c r="P167" s="120"/>
    </row>
    <row r="168">
      <c r="C168" s="165"/>
      <c r="J168" s="120"/>
      <c r="O168" s="120"/>
      <c r="P168" s="120"/>
    </row>
    <row r="169">
      <c r="C169" s="165"/>
      <c r="J169" s="120"/>
      <c r="O169" s="120"/>
      <c r="P169" s="120"/>
    </row>
    <row r="170">
      <c r="C170" s="165"/>
      <c r="J170" s="120"/>
      <c r="O170" s="120"/>
      <c r="P170" s="120"/>
    </row>
    <row r="171">
      <c r="C171" s="165"/>
      <c r="J171" s="120"/>
      <c r="O171" s="120"/>
      <c r="P171" s="120"/>
    </row>
    <row r="172">
      <c r="C172" s="165"/>
      <c r="J172" s="120"/>
      <c r="O172" s="120"/>
      <c r="P172" s="120"/>
    </row>
    <row r="173">
      <c r="C173" s="165"/>
      <c r="J173" s="120"/>
      <c r="O173" s="120"/>
      <c r="P173" s="120"/>
    </row>
    <row r="174">
      <c r="C174" s="165"/>
      <c r="J174" s="120"/>
      <c r="O174" s="120"/>
      <c r="P174" s="120"/>
    </row>
    <row r="175">
      <c r="C175" s="165"/>
      <c r="J175" s="120"/>
      <c r="O175" s="120"/>
      <c r="P175" s="120"/>
    </row>
    <row r="176">
      <c r="C176" s="165"/>
      <c r="J176" s="120"/>
      <c r="O176" s="120"/>
      <c r="P176" s="120"/>
    </row>
    <row r="177">
      <c r="C177" s="165"/>
      <c r="J177" s="120"/>
      <c r="O177" s="120"/>
      <c r="P177" s="120"/>
    </row>
    <row r="178">
      <c r="C178" s="165"/>
      <c r="J178" s="120"/>
      <c r="O178" s="120"/>
      <c r="P178" s="120"/>
    </row>
    <row r="179">
      <c r="C179" s="165"/>
      <c r="J179" s="120"/>
      <c r="O179" s="120"/>
      <c r="P179" s="120"/>
    </row>
    <row r="180">
      <c r="C180" s="165"/>
      <c r="J180" s="120"/>
      <c r="O180" s="120"/>
      <c r="P180" s="120"/>
    </row>
    <row r="181">
      <c r="C181" s="165"/>
      <c r="J181" s="120"/>
      <c r="O181" s="120"/>
      <c r="P181" s="120"/>
    </row>
    <row r="182">
      <c r="C182" s="165"/>
      <c r="J182" s="120"/>
      <c r="O182" s="120"/>
      <c r="P182" s="120"/>
    </row>
    <row r="183">
      <c r="C183" s="165"/>
      <c r="J183" s="120"/>
      <c r="O183" s="120"/>
      <c r="P183" s="120"/>
    </row>
    <row r="184">
      <c r="C184" s="165"/>
      <c r="J184" s="120"/>
      <c r="O184" s="120"/>
      <c r="P184" s="120"/>
    </row>
    <row r="185">
      <c r="C185" s="165"/>
      <c r="J185" s="120"/>
      <c r="O185" s="120"/>
      <c r="P185" s="120"/>
    </row>
    <row r="186">
      <c r="C186" s="165"/>
      <c r="J186" s="120"/>
      <c r="O186" s="120"/>
      <c r="P186" s="120"/>
    </row>
    <row r="187">
      <c r="C187" s="165"/>
      <c r="J187" s="120"/>
      <c r="O187" s="120"/>
      <c r="P187" s="120"/>
    </row>
    <row r="188">
      <c r="C188" s="165"/>
      <c r="J188" s="120"/>
      <c r="O188" s="120"/>
      <c r="P188" s="120"/>
    </row>
    <row r="189">
      <c r="C189" s="165"/>
      <c r="J189" s="120"/>
      <c r="O189" s="120"/>
      <c r="P189" s="120"/>
    </row>
    <row r="190">
      <c r="C190" s="165"/>
      <c r="J190" s="120"/>
      <c r="O190" s="120"/>
      <c r="P190" s="120"/>
    </row>
    <row r="191">
      <c r="C191" s="165"/>
      <c r="J191" s="120"/>
      <c r="O191" s="120"/>
      <c r="P191" s="120"/>
    </row>
    <row r="192">
      <c r="C192" s="165"/>
      <c r="J192" s="120"/>
      <c r="O192" s="120"/>
      <c r="P192" s="120"/>
    </row>
    <row r="193">
      <c r="C193" s="165"/>
      <c r="J193" s="120"/>
      <c r="O193" s="120"/>
      <c r="P193" s="120"/>
    </row>
    <row r="194">
      <c r="C194" s="165"/>
      <c r="J194" s="120"/>
      <c r="O194" s="120"/>
      <c r="P194" s="120"/>
    </row>
    <row r="195">
      <c r="C195" s="165"/>
      <c r="J195" s="120"/>
      <c r="O195" s="120"/>
      <c r="P195" s="120"/>
    </row>
    <row r="196">
      <c r="C196" s="165"/>
      <c r="J196" s="120"/>
      <c r="O196" s="120"/>
      <c r="P196" s="120"/>
    </row>
    <row r="197">
      <c r="C197" s="165"/>
      <c r="J197" s="120"/>
      <c r="O197" s="120"/>
      <c r="P197" s="120"/>
    </row>
    <row r="198">
      <c r="C198" s="165"/>
      <c r="J198" s="120"/>
      <c r="O198" s="120"/>
      <c r="P198" s="120"/>
    </row>
    <row r="199">
      <c r="C199" s="165"/>
      <c r="J199" s="120"/>
      <c r="O199" s="120"/>
      <c r="P199" s="120"/>
    </row>
    <row r="200">
      <c r="C200" s="165"/>
      <c r="J200" s="120"/>
      <c r="O200" s="120"/>
      <c r="P200" s="120"/>
    </row>
    <row r="201">
      <c r="C201" s="165"/>
      <c r="J201" s="120"/>
      <c r="O201" s="120"/>
      <c r="P201" s="120"/>
    </row>
    <row r="202">
      <c r="C202" s="165"/>
      <c r="J202" s="120"/>
      <c r="O202" s="120"/>
      <c r="P202" s="120"/>
    </row>
    <row r="203">
      <c r="C203" s="165"/>
      <c r="J203" s="120"/>
      <c r="O203" s="120"/>
      <c r="P203" s="120"/>
    </row>
    <row r="204">
      <c r="C204" s="165"/>
      <c r="J204" s="120"/>
      <c r="O204" s="120"/>
      <c r="P204" s="120"/>
    </row>
    <row r="205">
      <c r="C205" s="165"/>
      <c r="J205" s="120"/>
      <c r="O205" s="120"/>
      <c r="P205" s="120"/>
    </row>
    <row r="206">
      <c r="C206" s="165"/>
      <c r="J206" s="120"/>
      <c r="O206" s="120"/>
      <c r="P206" s="120"/>
    </row>
    <row r="207">
      <c r="C207" s="165"/>
      <c r="J207" s="120"/>
      <c r="O207" s="120"/>
      <c r="P207" s="120"/>
    </row>
    <row r="208">
      <c r="C208" s="165"/>
      <c r="J208" s="120"/>
      <c r="O208" s="120"/>
      <c r="P208" s="120"/>
    </row>
    <row r="209">
      <c r="C209" s="165"/>
      <c r="J209" s="120"/>
      <c r="O209" s="120"/>
      <c r="P209" s="120"/>
    </row>
    <row r="210">
      <c r="C210" s="165"/>
      <c r="J210" s="120"/>
      <c r="O210" s="120"/>
      <c r="P210" s="120"/>
    </row>
    <row r="211">
      <c r="C211" s="165"/>
      <c r="J211" s="120"/>
      <c r="O211" s="120"/>
      <c r="P211" s="120"/>
    </row>
    <row r="212">
      <c r="C212" s="165"/>
      <c r="J212" s="120"/>
      <c r="O212" s="120"/>
      <c r="P212" s="120"/>
    </row>
    <row r="213">
      <c r="C213" s="165"/>
      <c r="J213" s="120"/>
      <c r="O213" s="120"/>
      <c r="P213" s="120"/>
    </row>
    <row r="214">
      <c r="C214" s="165"/>
      <c r="J214" s="120"/>
      <c r="O214" s="120"/>
      <c r="P214" s="120"/>
    </row>
    <row r="215">
      <c r="C215" s="165"/>
      <c r="J215" s="120"/>
      <c r="O215" s="120"/>
      <c r="P215" s="120"/>
    </row>
    <row r="216">
      <c r="C216" s="165"/>
      <c r="J216" s="120"/>
      <c r="O216" s="120"/>
      <c r="P216" s="120"/>
    </row>
    <row r="217">
      <c r="C217" s="165"/>
      <c r="J217" s="120"/>
      <c r="O217" s="120"/>
      <c r="P217" s="120"/>
    </row>
    <row r="218">
      <c r="C218" s="165"/>
      <c r="J218" s="120"/>
      <c r="O218" s="120"/>
      <c r="P218" s="120"/>
    </row>
    <row r="219">
      <c r="C219" s="165"/>
      <c r="J219" s="120"/>
      <c r="O219" s="120"/>
      <c r="P219" s="120"/>
    </row>
    <row r="220">
      <c r="C220" s="165"/>
      <c r="J220" s="120"/>
      <c r="O220" s="120"/>
      <c r="P220" s="120"/>
    </row>
    <row r="221">
      <c r="C221" s="165"/>
      <c r="J221" s="120"/>
      <c r="O221" s="120"/>
      <c r="P221" s="120"/>
    </row>
    <row r="222">
      <c r="C222" s="165"/>
      <c r="J222" s="120"/>
      <c r="O222" s="120"/>
      <c r="P222" s="120"/>
    </row>
    <row r="223">
      <c r="C223" s="165"/>
      <c r="J223" s="120"/>
      <c r="O223" s="120"/>
      <c r="P223" s="120"/>
    </row>
    <row r="224">
      <c r="C224" s="165"/>
      <c r="J224" s="120"/>
      <c r="O224" s="120"/>
      <c r="P224" s="120"/>
    </row>
    <row r="225">
      <c r="C225" s="165"/>
      <c r="J225" s="120"/>
      <c r="O225" s="120"/>
      <c r="P225" s="120"/>
    </row>
    <row r="226">
      <c r="C226" s="165"/>
      <c r="J226" s="120"/>
      <c r="O226" s="120"/>
      <c r="P226" s="120"/>
    </row>
    <row r="227">
      <c r="C227" s="165"/>
      <c r="J227" s="120"/>
      <c r="O227" s="120"/>
      <c r="P227" s="120"/>
    </row>
    <row r="228">
      <c r="C228" s="165"/>
      <c r="J228" s="120"/>
      <c r="O228" s="120"/>
      <c r="P228" s="120"/>
    </row>
    <row r="229">
      <c r="C229" s="165"/>
      <c r="J229" s="120"/>
      <c r="O229" s="120"/>
      <c r="P229" s="120"/>
    </row>
    <row r="230">
      <c r="C230" s="165"/>
      <c r="J230" s="120"/>
      <c r="O230" s="120"/>
      <c r="P230" s="120"/>
    </row>
    <row r="231">
      <c r="C231" s="165"/>
      <c r="J231" s="120"/>
      <c r="O231" s="120"/>
      <c r="P231" s="120"/>
    </row>
    <row r="232">
      <c r="C232" s="165"/>
      <c r="J232" s="120"/>
      <c r="O232" s="120"/>
      <c r="P232" s="120"/>
    </row>
    <row r="233">
      <c r="C233" s="165"/>
      <c r="J233" s="120"/>
      <c r="O233" s="120"/>
      <c r="P233" s="120"/>
    </row>
    <row r="234">
      <c r="C234" s="165"/>
      <c r="J234" s="120"/>
      <c r="O234" s="120"/>
      <c r="P234" s="120"/>
    </row>
    <row r="235">
      <c r="C235" s="165"/>
      <c r="J235" s="120"/>
      <c r="O235" s="120"/>
      <c r="P235" s="120"/>
    </row>
    <row r="236">
      <c r="C236" s="165"/>
      <c r="J236" s="120"/>
      <c r="O236" s="120"/>
      <c r="P236" s="120"/>
    </row>
    <row r="237">
      <c r="C237" s="165"/>
      <c r="J237" s="120"/>
      <c r="O237" s="120"/>
      <c r="P237" s="120"/>
    </row>
    <row r="238">
      <c r="C238" s="165"/>
      <c r="J238" s="120"/>
      <c r="O238" s="120"/>
      <c r="P238" s="120"/>
    </row>
    <row r="239">
      <c r="C239" s="165"/>
      <c r="J239" s="120"/>
      <c r="O239" s="120"/>
      <c r="P239" s="120"/>
    </row>
    <row r="240">
      <c r="C240" s="165"/>
      <c r="J240" s="120"/>
      <c r="O240" s="120"/>
      <c r="P240" s="120"/>
    </row>
    <row r="241">
      <c r="C241" s="165"/>
      <c r="J241" s="120"/>
      <c r="O241" s="120"/>
      <c r="P241" s="120"/>
    </row>
    <row r="242">
      <c r="C242" s="165"/>
      <c r="J242" s="120"/>
      <c r="O242" s="120"/>
      <c r="P242" s="120"/>
    </row>
    <row r="243">
      <c r="C243" s="165"/>
      <c r="J243" s="120"/>
      <c r="O243" s="120"/>
      <c r="P243" s="120"/>
    </row>
    <row r="244">
      <c r="C244" s="165"/>
      <c r="J244" s="120"/>
      <c r="O244" s="120"/>
      <c r="P244" s="120"/>
    </row>
    <row r="245">
      <c r="C245" s="165"/>
      <c r="J245" s="120"/>
      <c r="O245" s="120"/>
      <c r="P245" s="120"/>
    </row>
    <row r="246">
      <c r="C246" s="165"/>
      <c r="J246" s="120"/>
      <c r="O246" s="120"/>
      <c r="P246" s="120"/>
    </row>
    <row r="247">
      <c r="C247" s="165"/>
      <c r="J247" s="120"/>
      <c r="O247" s="120"/>
      <c r="P247" s="120"/>
    </row>
    <row r="248">
      <c r="C248" s="165"/>
      <c r="J248" s="120"/>
      <c r="O248" s="120"/>
      <c r="P248" s="120"/>
    </row>
    <row r="249">
      <c r="C249" s="165"/>
      <c r="J249" s="120"/>
      <c r="O249" s="120"/>
      <c r="P249" s="120"/>
    </row>
    <row r="250">
      <c r="C250" s="165"/>
      <c r="J250" s="120"/>
      <c r="O250" s="120"/>
      <c r="P250" s="120"/>
    </row>
    <row r="251">
      <c r="C251" s="165"/>
      <c r="J251" s="120"/>
      <c r="O251" s="120"/>
      <c r="P251" s="120"/>
    </row>
    <row r="252">
      <c r="C252" s="165"/>
      <c r="J252" s="120"/>
      <c r="O252" s="120"/>
      <c r="P252" s="120"/>
    </row>
    <row r="253">
      <c r="C253" s="165"/>
      <c r="J253" s="120"/>
      <c r="O253" s="120"/>
      <c r="P253" s="120"/>
    </row>
    <row r="254">
      <c r="C254" s="165"/>
      <c r="J254" s="120"/>
      <c r="O254" s="120"/>
      <c r="P254" s="120"/>
    </row>
    <row r="255">
      <c r="C255" s="165"/>
      <c r="J255" s="120"/>
      <c r="O255" s="120"/>
      <c r="P255" s="120"/>
    </row>
    <row r="256">
      <c r="C256" s="165"/>
      <c r="J256" s="120"/>
      <c r="O256" s="120"/>
      <c r="P256" s="120"/>
    </row>
    <row r="257">
      <c r="C257" s="165"/>
      <c r="J257" s="120"/>
      <c r="O257" s="120"/>
      <c r="P257" s="120"/>
    </row>
    <row r="258">
      <c r="C258" s="165"/>
      <c r="J258" s="120"/>
      <c r="O258" s="120"/>
      <c r="P258" s="120"/>
    </row>
    <row r="259">
      <c r="C259" s="165"/>
      <c r="J259" s="120"/>
      <c r="O259" s="120"/>
      <c r="P259" s="120"/>
    </row>
    <row r="260">
      <c r="C260" s="165"/>
      <c r="J260" s="120"/>
      <c r="O260" s="120"/>
      <c r="P260" s="120"/>
    </row>
    <row r="261">
      <c r="C261" s="165"/>
      <c r="J261" s="120"/>
      <c r="O261" s="120"/>
      <c r="P261" s="120"/>
    </row>
    <row r="262">
      <c r="C262" s="165"/>
      <c r="J262" s="120"/>
      <c r="O262" s="120"/>
      <c r="P262" s="120"/>
    </row>
    <row r="263">
      <c r="C263" s="165"/>
      <c r="J263" s="120"/>
      <c r="O263" s="120"/>
      <c r="P263" s="120"/>
    </row>
    <row r="264">
      <c r="C264" s="165"/>
      <c r="J264" s="120"/>
      <c r="O264" s="120"/>
      <c r="P264" s="120"/>
    </row>
    <row r="265">
      <c r="C265" s="165"/>
      <c r="J265" s="120"/>
      <c r="O265" s="120"/>
      <c r="P265" s="120"/>
    </row>
    <row r="266">
      <c r="C266" s="165"/>
      <c r="J266" s="120"/>
      <c r="O266" s="120"/>
      <c r="P266" s="120"/>
    </row>
    <row r="267">
      <c r="C267" s="165"/>
      <c r="J267" s="120"/>
      <c r="O267" s="120"/>
      <c r="P267" s="120"/>
    </row>
    <row r="268">
      <c r="C268" s="165"/>
      <c r="J268" s="120"/>
      <c r="O268" s="120"/>
      <c r="P268" s="120"/>
    </row>
    <row r="269">
      <c r="C269" s="165"/>
      <c r="J269" s="120"/>
      <c r="O269" s="120"/>
      <c r="P269" s="120"/>
    </row>
    <row r="270">
      <c r="C270" s="165"/>
      <c r="J270" s="120"/>
      <c r="O270" s="120"/>
      <c r="P270" s="120"/>
    </row>
    <row r="271">
      <c r="C271" s="165"/>
      <c r="J271" s="120"/>
      <c r="O271" s="120"/>
      <c r="P271" s="120"/>
    </row>
    <row r="272">
      <c r="C272" s="165"/>
      <c r="J272" s="120"/>
      <c r="O272" s="120"/>
      <c r="P272" s="120"/>
    </row>
    <row r="273">
      <c r="C273" s="165"/>
      <c r="J273" s="120"/>
      <c r="O273" s="120"/>
      <c r="P273" s="120"/>
    </row>
    <row r="274">
      <c r="C274" s="165"/>
      <c r="J274" s="120"/>
      <c r="O274" s="120"/>
      <c r="P274" s="120"/>
    </row>
    <row r="275">
      <c r="C275" s="165"/>
      <c r="J275" s="120"/>
      <c r="O275" s="120"/>
      <c r="P275" s="120"/>
    </row>
    <row r="276">
      <c r="C276" s="165"/>
      <c r="J276" s="120"/>
      <c r="O276" s="120"/>
      <c r="P276" s="120"/>
    </row>
    <row r="277">
      <c r="C277" s="165"/>
      <c r="J277" s="120"/>
      <c r="O277" s="120"/>
      <c r="P277" s="120"/>
    </row>
    <row r="278">
      <c r="C278" s="165"/>
      <c r="J278" s="120"/>
      <c r="O278" s="120"/>
      <c r="P278" s="120"/>
    </row>
    <row r="279">
      <c r="C279" s="165"/>
      <c r="J279" s="120"/>
      <c r="O279" s="120"/>
      <c r="P279" s="120"/>
    </row>
    <row r="280">
      <c r="C280" s="165"/>
      <c r="J280" s="120"/>
      <c r="O280" s="120"/>
      <c r="P280" s="120"/>
    </row>
    <row r="281">
      <c r="C281" s="165"/>
      <c r="J281" s="120"/>
      <c r="O281" s="120"/>
      <c r="P281" s="120"/>
    </row>
    <row r="282">
      <c r="C282" s="165"/>
      <c r="J282" s="120"/>
      <c r="O282" s="120"/>
      <c r="P282" s="120"/>
    </row>
    <row r="283">
      <c r="C283" s="165"/>
      <c r="J283" s="120"/>
      <c r="O283" s="120"/>
      <c r="P283" s="120"/>
    </row>
    <row r="284">
      <c r="C284" s="165"/>
      <c r="J284" s="120"/>
      <c r="O284" s="120"/>
      <c r="P284" s="120"/>
    </row>
    <row r="285">
      <c r="C285" s="165"/>
      <c r="J285" s="120"/>
      <c r="O285" s="120"/>
      <c r="P285" s="120"/>
    </row>
    <row r="286">
      <c r="C286" s="165"/>
      <c r="J286" s="120"/>
      <c r="O286" s="120"/>
      <c r="P286" s="120"/>
    </row>
    <row r="287">
      <c r="C287" s="165"/>
      <c r="J287" s="120"/>
      <c r="O287" s="120"/>
      <c r="P287" s="120"/>
    </row>
    <row r="288">
      <c r="C288" s="165"/>
      <c r="J288" s="120"/>
      <c r="O288" s="120"/>
      <c r="P288" s="120"/>
    </row>
    <row r="289">
      <c r="C289" s="165"/>
      <c r="J289" s="120"/>
      <c r="O289" s="120"/>
      <c r="P289" s="120"/>
    </row>
    <row r="290">
      <c r="C290" s="165"/>
      <c r="J290" s="120"/>
      <c r="O290" s="120"/>
      <c r="P290" s="120"/>
    </row>
    <row r="291">
      <c r="C291" s="165"/>
      <c r="J291" s="120"/>
      <c r="O291" s="120"/>
      <c r="P291" s="120"/>
    </row>
    <row r="292">
      <c r="C292" s="165"/>
      <c r="J292" s="120"/>
      <c r="O292" s="120"/>
      <c r="P292" s="120"/>
    </row>
    <row r="293">
      <c r="C293" s="165"/>
      <c r="J293" s="120"/>
      <c r="O293" s="120"/>
      <c r="P293" s="120"/>
    </row>
    <row r="294">
      <c r="C294" s="165"/>
      <c r="J294" s="120"/>
      <c r="O294" s="120"/>
      <c r="P294" s="120"/>
    </row>
    <row r="295">
      <c r="C295" s="165"/>
      <c r="J295" s="120"/>
      <c r="O295" s="120"/>
      <c r="P295" s="120"/>
    </row>
    <row r="296">
      <c r="C296" s="165"/>
      <c r="J296" s="120"/>
      <c r="O296" s="120"/>
      <c r="P296" s="120"/>
    </row>
    <row r="297">
      <c r="C297" s="165"/>
      <c r="J297" s="120"/>
      <c r="O297" s="120"/>
      <c r="P297" s="120"/>
    </row>
    <row r="298">
      <c r="C298" s="165"/>
      <c r="J298" s="120"/>
      <c r="O298" s="120"/>
      <c r="P298" s="120"/>
    </row>
    <row r="299">
      <c r="C299" s="165"/>
      <c r="J299" s="120"/>
      <c r="O299" s="120"/>
      <c r="P299" s="120"/>
    </row>
    <row r="300">
      <c r="C300" s="165"/>
      <c r="J300" s="120"/>
      <c r="O300" s="120"/>
      <c r="P300" s="120"/>
    </row>
    <row r="301">
      <c r="C301" s="165"/>
      <c r="J301" s="120"/>
      <c r="O301" s="120"/>
      <c r="P301" s="120"/>
    </row>
    <row r="302">
      <c r="C302" s="165"/>
      <c r="J302" s="120"/>
      <c r="O302" s="120"/>
      <c r="P302" s="120"/>
    </row>
    <row r="303">
      <c r="C303" s="165"/>
      <c r="J303" s="120"/>
      <c r="O303" s="120"/>
      <c r="P303" s="120"/>
    </row>
    <row r="304">
      <c r="C304" s="165"/>
      <c r="J304" s="120"/>
      <c r="O304" s="120"/>
      <c r="P304" s="120"/>
    </row>
    <row r="305">
      <c r="C305" s="165"/>
      <c r="J305" s="120"/>
      <c r="O305" s="120"/>
      <c r="P305" s="120"/>
    </row>
    <row r="306">
      <c r="C306" s="165"/>
      <c r="J306" s="120"/>
      <c r="O306" s="120"/>
      <c r="P306" s="120"/>
    </row>
    <row r="307">
      <c r="C307" s="165"/>
      <c r="J307" s="120"/>
      <c r="O307" s="120"/>
      <c r="P307" s="120"/>
    </row>
    <row r="308">
      <c r="C308" s="165"/>
      <c r="J308" s="120"/>
      <c r="O308" s="120"/>
      <c r="P308" s="120"/>
    </row>
    <row r="309">
      <c r="C309" s="165"/>
      <c r="J309" s="120"/>
      <c r="O309" s="120"/>
      <c r="P309" s="120"/>
    </row>
    <row r="310">
      <c r="C310" s="165"/>
      <c r="J310" s="120"/>
      <c r="O310" s="120"/>
      <c r="P310" s="120"/>
    </row>
    <row r="311">
      <c r="C311" s="165"/>
      <c r="J311" s="120"/>
      <c r="O311" s="120"/>
      <c r="P311" s="120"/>
    </row>
    <row r="312">
      <c r="C312" s="165"/>
      <c r="J312" s="120"/>
      <c r="O312" s="120"/>
      <c r="P312" s="120"/>
    </row>
    <row r="313">
      <c r="C313" s="165"/>
      <c r="J313" s="120"/>
      <c r="O313" s="120"/>
      <c r="P313" s="120"/>
    </row>
    <row r="314">
      <c r="C314" s="165"/>
      <c r="J314" s="120"/>
      <c r="O314" s="120"/>
      <c r="P314" s="120"/>
    </row>
    <row r="315">
      <c r="C315" s="165"/>
      <c r="J315" s="120"/>
      <c r="O315" s="120"/>
      <c r="P315" s="120"/>
    </row>
    <row r="316">
      <c r="C316" s="165"/>
      <c r="J316" s="120"/>
      <c r="O316" s="120"/>
      <c r="P316" s="120"/>
    </row>
    <row r="317">
      <c r="C317" s="165"/>
      <c r="J317" s="120"/>
      <c r="O317" s="120"/>
      <c r="P317" s="120"/>
    </row>
    <row r="318">
      <c r="C318" s="165"/>
      <c r="J318" s="120"/>
      <c r="O318" s="120"/>
      <c r="P318" s="120"/>
    </row>
    <row r="319">
      <c r="C319" s="165"/>
      <c r="J319" s="120"/>
      <c r="O319" s="120"/>
      <c r="P319" s="120"/>
    </row>
    <row r="320">
      <c r="C320" s="165"/>
      <c r="J320" s="120"/>
      <c r="O320" s="120"/>
      <c r="P320" s="120"/>
    </row>
    <row r="321">
      <c r="C321" s="165"/>
      <c r="J321" s="120"/>
      <c r="O321" s="120"/>
      <c r="P321" s="120"/>
    </row>
    <row r="322">
      <c r="C322" s="165"/>
      <c r="J322" s="120"/>
      <c r="O322" s="120"/>
      <c r="P322" s="120"/>
    </row>
    <row r="323">
      <c r="C323" s="165"/>
      <c r="J323" s="120"/>
      <c r="O323" s="120"/>
      <c r="P323" s="120"/>
    </row>
    <row r="324">
      <c r="C324" s="165"/>
      <c r="J324" s="120"/>
      <c r="O324" s="120"/>
      <c r="P324" s="120"/>
    </row>
    <row r="325">
      <c r="C325" s="165"/>
      <c r="J325" s="120"/>
      <c r="O325" s="120"/>
      <c r="P325" s="120"/>
    </row>
    <row r="326">
      <c r="C326" s="165"/>
      <c r="J326" s="120"/>
      <c r="O326" s="120"/>
      <c r="P326" s="120"/>
    </row>
    <row r="327">
      <c r="C327" s="165"/>
      <c r="J327" s="120"/>
      <c r="O327" s="120"/>
      <c r="P327" s="120"/>
    </row>
    <row r="328">
      <c r="C328" s="165"/>
      <c r="J328" s="120"/>
      <c r="O328" s="120"/>
      <c r="P328" s="120"/>
    </row>
    <row r="329">
      <c r="C329" s="165"/>
      <c r="J329" s="120"/>
      <c r="O329" s="120"/>
      <c r="P329" s="120"/>
    </row>
    <row r="330">
      <c r="C330" s="165"/>
      <c r="J330" s="120"/>
      <c r="O330" s="120"/>
      <c r="P330" s="120"/>
    </row>
    <row r="331">
      <c r="C331" s="165"/>
      <c r="J331" s="120"/>
      <c r="O331" s="120"/>
      <c r="P331" s="120"/>
    </row>
    <row r="332">
      <c r="C332" s="165"/>
      <c r="J332" s="120"/>
      <c r="O332" s="120"/>
      <c r="P332" s="120"/>
    </row>
    <row r="333">
      <c r="C333" s="165"/>
      <c r="J333" s="120"/>
      <c r="O333" s="120"/>
      <c r="P333" s="120"/>
    </row>
    <row r="334">
      <c r="C334" s="165"/>
      <c r="J334" s="120"/>
      <c r="O334" s="120"/>
      <c r="P334" s="120"/>
    </row>
    <row r="335">
      <c r="C335" s="165"/>
      <c r="J335" s="120"/>
      <c r="O335" s="120"/>
      <c r="P335" s="120"/>
    </row>
    <row r="336">
      <c r="C336" s="165"/>
      <c r="J336" s="120"/>
      <c r="O336" s="120"/>
      <c r="P336" s="120"/>
    </row>
    <row r="337">
      <c r="C337" s="165"/>
      <c r="J337" s="120"/>
      <c r="O337" s="120"/>
      <c r="P337" s="120"/>
    </row>
    <row r="338">
      <c r="C338" s="165"/>
      <c r="J338" s="120"/>
      <c r="O338" s="120"/>
      <c r="P338" s="120"/>
    </row>
    <row r="339">
      <c r="C339" s="165"/>
      <c r="J339" s="120"/>
      <c r="O339" s="120"/>
      <c r="P339" s="120"/>
    </row>
    <row r="340">
      <c r="C340" s="165"/>
      <c r="J340" s="120"/>
      <c r="O340" s="120"/>
      <c r="P340" s="120"/>
    </row>
    <row r="341">
      <c r="C341" s="165"/>
      <c r="J341" s="120"/>
      <c r="O341" s="120"/>
      <c r="P341" s="120"/>
    </row>
    <row r="342">
      <c r="C342" s="165"/>
      <c r="J342" s="120"/>
      <c r="O342" s="120"/>
      <c r="P342" s="120"/>
    </row>
    <row r="343">
      <c r="C343" s="165"/>
      <c r="J343" s="120"/>
      <c r="O343" s="120"/>
      <c r="P343" s="120"/>
    </row>
    <row r="344">
      <c r="C344" s="165"/>
      <c r="J344" s="120"/>
      <c r="O344" s="120"/>
      <c r="P344" s="120"/>
    </row>
    <row r="345">
      <c r="C345" s="165"/>
      <c r="J345" s="120"/>
      <c r="O345" s="120"/>
      <c r="P345" s="120"/>
    </row>
    <row r="346">
      <c r="C346" s="165"/>
      <c r="J346" s="120"/>
      <c r="O346" s="120"/>
      <c r="P346" s="120"/>
    </row>
    <row r="347">
      <c r="C347" s="165"/>
      <c r="J347" s="120"/>
      <c r="O347" s="120"/>
      <c r="P347" s="120"/>
    </row>
    <row r="348">
      <c r="C348" s="165"/>
      <c r="J348" s="120"/>
      <c r="O348" s="120"/>
      <c r="P348" s="120"/>
    </row>
    <row r="349">
      <c r="C349" s="165"/>
      <c r="J349" s="120"/>
      <c r="O349" s="120"/>
      <c r="P349" s="120"/>
    </row>
    <row r="350">
      <c r="C350" s="165"/>
      <c r="J350" s="120"/>
      <c r="O350" s="120"/>
      <c r="P350" s="120"/>
    </row>
    <row r="351">
      <c r="C351" s="165"/>
      <c r="J351" s="120"/>
      <c r="O351" s="120"/>
      <c r="P351" s="120"/>
    </row>
    <row r="352">
      <c r="C352" s="165"/>
      <c r="J352" s="120"/>
      <c r="O352" s="120"/>
      <c r="P352" s="120"/>
    </row>
    <row r="353">
      <c r="C353" s="165"/>
      <c r="J353" s="120"/>
      <c r="O353" s="120"/>
      <c r="P353" s="120"/>
    </row>
    <row r="354">
      <c r="C354" s="165"/>
      <c r="J354" s="120"/>
      <c r="O354" s="120"/>
      <c r="P354" s="120"/>
    </row>
    <row r="355">
      <c r="C355" s="165"/>
      <c r="J355" s="120"/>
      <c r="O355" s="120"/>
      <c r="P355" s="120"/>
    </row>
    <row r="356">
      <c r="C356" s="165"/>
      <c r="J356" s="120"/>
      <c r="O356" s="120"/>
      <c r="P356" s="120"/>
    </row>
    <row r="357">
      <c r="C357" s="165"/>
      <c r="J357" s="120"/>
      <c r="O357" s="120"/>
      <c r="P357" s="120"/>
    </row>
    <row r="358">
      <c r="C358" s="165"/>
      <c r="J358" s="120"/>
      <c r="O358" s="120"/>
      <c r="P358" s="120"/>
    </row>
    <row r="359">
      <c r="C359" s="165"/>
      <c r="J359" s="120"/>
      <c r="O359" s="120"/>
      <c r="P359" s="120"/>
    </row>
    <row r="360">
      <c r="C360" s="165"/>
      <c r="J360" s="120"/>
      <c r="O360" s="120"/>
      <c r="P360" s="120"/>
    </row>
    <row r="361">
      <c r="C361" s="165"/>
      <c r="J361" s="120"/>
      <c r="O361" s="120"/>
      <c r="P361" s="120"/>
    </row>
    <row r="362">
      <c r="C362" s="165"/>
      <c r="J362" s="120"/>
      <c r="O362" s="120"/>
      <c r="P362" s="120"/>
    </row>
    <row r="363">
      <c r="C363" s="165"/>
      <c r="J363" s="120"/>
      <c r="O363" s="120"/>
      <c r="P363" s="120"/>
    </row>
    <row r="364">
      <c r="C364" s="165"/>
      <c r="J364" s="120"/>
      <c r="O364" s="120"/>
      <c r="P364" s="120"/>
    </row>
    <row r="365">
      <c r="C365" s="165"/>
      <c r="J365" s="120"/>
      <c r="O365" s="120"/>
      <c r="P365" s="120"/>
    </row>
    <row r="366">
      <c r="C366" s="165"/>
      <c r="J366" s="120"/>
      <c r="O366" s="120"/>
      <c r="P366" s="120"/>
    </row>
    <row r="367">
      <c r="C367" s="165"/>
      <c r="J367" s="120"/>
      <c r="O367" s="120"/>
      <c r="P367" s="120"/>
    </row>
    <row r="368">
      <c r="C368" s="165"/>
      <c r="J368" s="120"/>
      <c r="O368" s="120"/>
      <c r="P368" s="120"/>
    </row>
    <row r="369">
      <c r="C369" s="165"/>
      <c r="J369" s="120"/>
      <c r="O369" s="120"/>
      <c r="P369" s="120"/>
    </row>
    <row r="370">
      <c r="C370" s="165"/>
      <c r="J370" s="120"/>
      <c r="O370" s="120"/>
      <c r="P370" s="120"/>
    </row>
    <row r="371">
      <c r="C371" s="165"/>
      <c r="J371" s="120"/>
      <c r="O371" s="120"/>
      <c r="P371" s="120"/>
    </row>
    <row r="372">
      <c r="C372" s="165"/>
      <c r="J372" s="120"/>
      <c r="O372" s="120"/>
      <c r="P372" s="120"/>
    </row>
    <row r="373">
      <c r="C373" s="165"/>
      <c r="J373" s="120"/>
      <c r="O373" s="120"/>
      <c r="P373" s="120"/>
    </row>
    <row r="374">
      <c r="C374" s="165"/>
      <c r="J374" s="120"/>
      <c r="O374" s="120"/>
      <c r="P374" s="120"/>
    </row>
    <row r="375">
      <c r="C375" s="165"/>
      <c r="J375" s="120"/>
      <c r="O375" s="120"/>
      <c r="P375" s="120"/>
    </row>
    <row r="376">
      <c r="C376" s="165"/>
      <c r="J376" s="120"/>
      <c r="O376" s="120"/>
      <c r="P376" s="120"/>
    </row>
    <row r="377">
      <c r="C377" s="165"/>
      <c r="J377" s="120"/>
      <c r="O377" s="120"/>
      <c r="P377" s="120"/>
    </row>
    <row r="378">
      <c r="C378" s="165"/>
      <c r="J378" s="120"/>
      <c r="O378" s="120"/>
      <c r="P378" s="120"/>
    </row>
    <row r="379">
      <c r="C379" s="165"/>
      <c r="J379" s="120"/>
      <c r="O379" s="120"/>
      <c r="P379" s="120"/>
    </row>
    <row r="380">
      <c r="C380" s="165"/>
      <c r="J380" s="120"/>
      <c r="O380" s="120"/>
      <c r="P380" s="120"/>
    </row>
    <row r="381">
      <c r="C381" s="165"/>
      <c r="J381" s="120"/>
      <c r="O381" s="120"/>
      <c r="P381" s="120"/>
    </row>
    <row r="382">
      <c r="C382" s="165"/>
      <c r="J382" s="120"/>
      <c r="O382" s="120"/>
      <c r="P382" s="120"/>
    </row>
    <row r="383">
      <c r="C383" s="165"/>
      <c r="J383" s="120"/>
      <c r="O383" s="120"/>
      <c r="P383" s="120"/>
    </row>
    <row r="384">
      <c r="C384" s="165"/>
      <c r="J384" s="120"/>
      <c r="O384" s="120"/>
      <c r="P384" s="120"/>
    </row>
    <row r="385">
      <c r="C385" s="165"/>
      <c r="J385" s="120"/>
      <c r="O385" s="120"/>
      <c r="P385" s="120"/>
    </row>
    <row r="386">
      <c r="C386" s="165"/>
      <c r="J386" s="120"/>
      <c r="O386" s="120"/>
      <c r="P386" s="120"/>
    </row>
    <row r="387">
      <c r="C387" s="165"/>
      <c r="J387" s="120"/>
      <c r="O387" s="120"/>
      <c r="P387" s="120"/>
    </row>
    <row r="388">
      <c r="C388" s="165"/>
      <c r="J388" s="120"/>
      <c r="O388" s="120"/>
      <c r="P388" s="120"/>
    </row>
    <row r="389">
      <c r="C389" s="165"/>
      <c r="J389" s="120"/>
      <c r="O389" s="120"/>
      <c r="P389" s="120"/>
    </row>
    <row r="390">
      <c r="C390" s="165"/>
      <c r="J390" s="120"/>
      <c r="O390" s="120"/>
      <c r="P390" s="120"/>
    </row>
    <row r="391">
      <c r="C391" s="165"/>
      <c r="J391" s="120"/>
      <c r="O391" s="120"/>
      <c r="P391" s="120"/>
    </row>
    <row r="392">
      <c r="C392" s="165"/>
      <c r="J392" s="120"/>
      <c r="O392" s="120"/>
      <c r="P392" s="120"/>
    </row>
    <row r="393">
      <c r="C393" s="165"/>
      <c r="J393" s="120"/>
      <c r="O393" s="120"/>
      <c r="P393" s="120"/>
    </row>
    <row r="394">
      <c r="C394" s="165"/>
      <c r="J394" s="120"/>
      <c r="O394" s="120"/>
      <c r="P394" s="120"/>
    </row>
    <row r="395">
      <c r="C395" s="165"/>
      <c r="J395" s="120"/>
      <c r="O395" s="120"/>
      <c r="P395" s="120"/>
    </row>
    <row r="396">
      <c r="C396" s="165"/>
      <c r="J396" s="120"/>
      <c r="O396" s="120"/>
      <c r="P396" s="120"/>
    </row>
    <row r="397">
      <c r="C397" s="165"/>
      <c r="J397" s="120"/>
      <c r="O397" s="120"/>
      <c r="P397" s="120"/>
    </row>
    <row r="398">
      <c r="C398" s="165"/>
      <c r="J398" s="120"/>
      <c r="O398" s="120"/>
      <c r="P398" s="120"/>
    </row>
    <row r="399">
      <c r="C399" s="165"/>
      <c r="J399" s="120"/>
      <c r="O399" s="120"/>
      <c r="P399" s="120"/>
    </row>
    <row r="400">
      <c r="C400" s="165"/>
      <c r="J400" s="120"/>
      <c r="O400" s="120"/>
      <c r="P400" s="120"/>
    </row>
    <row r="401">
      <c r="C401" s="165"/>
      <c r="J401" s="120"/>
      <c r="O401" s="120"/>
      <c r="P401" s="120"/>
    </row>
    <row r="402">
      <c r="C402" s="165"/>
      <c r="J402" s="120"/>
      <c r="O402" s="120"/>
      <c r="P402" s="120"/>
    </row>
    <row r="403">
      <c r="C403" s="165"/>
      <c r="J403" s="120"/>
      <c r="O403" s="120"/>
      <c r="P403" s="120"/>
    </row>
    <row r="404">
      <c r="C404" s="165"/>
      <c r="J404" s="120"/>
      <c r="O404" s="120"/>
      <c r="P404" s="120"/>
    </row>
    <row r="405">
      <c r="C405" s="165"/>
      <c r="J405" s="120"/>
      <c r="O405" s="120"/>
      <c r="P405" s="120"/>
    </row>
    <row r="406">
      <c r="C406" s="165"/>
      <c r="J406" s="120"/>
      <c r="O406" s="120"/>
      <c r="P406" s="120"/>
    </row>
    <row r="407">
      <c r="C407" s="165"/>
      <c r="J407" s="120"/>
      <c r="O407" s="120"/>
      <c r="P407" s="120"/>
    </row>
    <row r="408">
      <c r="C408" s="165"/>
      <c r="J408" s="120"/>
      <c r="O408" s="120"/>
      <c r="P408" s="120"/>
    </row>
    <row r="409">
      <c r="C409" s="165"/>
      <c r="J409" s="120"/>
      <c r="O409" s="120"/>
      <c r="P409" s="120"/>
    </row>
    <row r="410">
      <c r="C410" s="165"/>
      <c r="J410" s="120"/>
      <c r="O410" s="120"/>
      <c r="P410" s="120"/>
    </row>
    <row r="411">
      <c r="C411" s="165"/>
      <c r="J411" s="120"/>
      <c r="O411" s="120"/>
      <c r="P411" s="120"/>
    </row>
    <row r="412">
      <c r="C412" s="165"/>
      <c r="J412" s="120"/>
      <c r="O412" s="120"/>
      <c r="P412" s="120"/>
    </row>
    <row r="413">
      <c r="C413" s="165"/>
      <c r="J413" s="120"/>
      <c r="O413" s="120"/>
      <c r="P413" s="120"/>
    </row>
    <row r="414">
      <c r="C414" s="165"/>
      <c r="J414" s="120"/>
      <c r="O414" s="120"/>
      <c r="P414" s="120"/>
    </row>
    <row r="415">
      <c r="C415" s="165"/>
      <c r="J415" s="120"/>
      <c r="O415" s="120"/>
      <c r="P415" s="120"/>
    </row>
    <row r="416">
      <c r="C416" s="165"/>
      <c r="J416" s="120"/>
      <c r="O416" s="120"/>
      <c r="P416" s="120"/>
    </row>
    <row r="417">
      <c r="C417" s="165"/>
      <c r="J417" s="120"/>
      <c r="O417" s="120"/>
      <c r="P417" s="120"/>
    </row>
    <row r="418">
      <c r="C418" s="165"/>
      <c r="J418" s="120"/>
      <c r="O418" s="120"/>
      <c r="P418" s="120"/>
    </row>
    <row r="419">
      <c r="C419" s="165"/>
      <c r="J419" s="120"/>
      <c r="O419" s="120"/>
      <c r="P419" s="120"/>
    </row>
    <row r="420">
      <c r="C420" s="165"/>
      <c r="J420" s="120"/>
      <c r="O420" s="120"/>
      <c r="P420" s="120"/>
    </row>
    <row r="421">
      <c r="C421" s="165"/>
      <c r="J421" s="120"/>
      <c r="O421" s="120"/>
      <c r="P421" s="120"/>
    </row>
    <row r="422">
      <c r="C422" s="165"/>
      <c r="J422" s="120"/>
      <c r="O422" s="120"/>
      <c r="P422" s="120"/>
    </row>
    <row r="423">
      <c r="C423" s="165"/>
      <c r="J423" s="120"/>
      <c r="O423" s="120"/>
      <c r="P423" s="120"/>
    </row>
    <row r="424">
      <c r="C424" s="165"/>
      <c r="J424" s="120"/>
      <c r="O424" s="120"/>
      <c r="P424" s="120"/>
    </row>
    <row r="425">
      <c r="C425" s="165"/>
      <c r="J425" s="120"/>
      <c r="O425" s="120"/>
      <c r="P425" s="120"/>
    </row>
    <row r="426">
      <c r="C426" s="165"/>
      <c r="J426" s="120"/>
      <c r="O426" s="120"/>
      <c r="P426" s="120"/>
    </row>
    <row r="427">
      <c r="C427" s="165"/>
      <c r="J427" s="120"/>
      <c r="O427" s="120"/>
      <c r="P427" s="120"/>
    </row>
    <row r="428">
      <c r="C428" s="165"/>
      <c r="J428" s="120"/>
      <c r="O428" s="120"/>
      <c r="P428" s="120"/>
    </row>
    <row r="429">
      <c r="C429" s="165"/>
      <c r="J429" s="120"/>
      <c r="O429" s="120"/>
      <c r="P429" s="120"/>
    </row>
    <row r="430">
      <c r="C430" s="165"/>
      <c r="J430" s="120"/>
      <c r="O430" s="120"/>
      <c r="P430" s="120"/>
    </row>
    <row r="431">
      <c r="C431" s="165"/>
      <c r="J431" s="120"/>
      <c r="O431" s="120"/>
      <c r="P431" s="120"/>
    </row>
    <row r="432">
      <c r="C432" s="165"/>
      <c r="J432" s="120"/>
      <c r="O432" s="120"/>
      <c r="P432" s="120"/>
    </row>
    <row r="433">
      <c r="C433" s="165"/>
      <c r="J433" s="120"/>
      <c r="O433" s="120"/>
      <c r="P433" s="120"/>
    </row>
    <row r="434">
      <c r="C434" s="165"/>
      <c r="J434" s="120"/>
      <c r="O434" s="120"/>
      <c r="P434" s="120"/>
    </row>
    <row r="435">
      <c r="C435" s="165"/>
      <c r="J435" s="120"/>
      <c r="O435" s="120"/>
      <c r="P435" s="120"/>
    </row>
    <row r="436">
      <c r="C436" s="165"/>
      <c r="J436" s="120"/>
      <c r="O436" s="120"/>
      <c r="P436" s="120"/>
    </row>
    <row r="437">
      <c r="C437" s="165"/>
      <c r="J437" s="120"/>
      <c r="O437" s="120"/>
      <c r="P437" s="120"/>
    </row>
    <row r="438">
      <c r="C438" s="165"/>
      <c r="J438" s="120"/>
      <c r="O438" s="120"/>
      <c r="P438" s="120"/>
    </row>
    <row r="439">
      <c r="C439" s="165"/>
      <c r="J439" s="120"/>
      <c r="O439" s="120"/>
      <c r="P439" s="120"/>
    </row>
    <row r="440">
      <c r="C440" s="165"/>
      <c r="J440" s="120"/>
      <c r="O440" s="120"/>
      <c r="P440" s="120"/>
    </row>
    <row r="441">
      <c r="C441" s="165"/>
      <c r="J441" s="120"/>
      <c r="O441" s="120"/>
      <c r="P441" s="120"/>
    </row>
    <row r="442">
      <c r="C442" s="165"/>
      <c r="J442" s="120"/>
      <c r="O442" s="120"/>
      <c r="P442" s="120"/>
    </row>
    <row r="443">
      <c r="C443" s="165"/>
      <c r="J443" s="120"/>
      <c r="O443" s="120"/>
      <c r="P443" s="120"/>
    </row>
    <row r="444">
      <c r="C444" s="165"/>
      <c r="J444" s="120"/>
      <c r="O444" s="120"/>
      <c r="P444" s="120"/>
    </row>
    <row r="445">
      <c r="C445" s="165"/>
      <c r="J445" s="120"/>
      <c r="O445" s="120"/>
      <c r="P445" s="120"/>
    </row>
    <row r="446">
      <c r="C446" s="165"/>
      <c r="J446" s="120"/>
      <c r="O446" s="120"/>
      <c r="P446" s="120"/>
    </row>
    <row r="447">
      <c r="C447" s="165"/>
      <c r="J447" s="120"/>
      <c r="O447" s="120"/>
      <c r="P447" s="120"/>
    </row>
    <row r="448">
      <c r="C448" s="165"/>
      <c r="J448" s="120"/>
      <c r="O448" s="120"/>
      <c r="P448" s="120"/>
    </row>
    <row r="449">
      <c r="C449" s="165"/>
      <c r="J449" s="120"/>
      <c r="O449" s="120"/>
      <c r="P449" s="120"/>
    </row>
    <row r="450">
      <c r="C450" s="165"/>
      <c r="J450" s="120"/>
      <c r="O450" s="120"/>
      <c r="P450" s="120"/>
    </row>
    <row r="451">
      <c r="C451" s="165"/>
      <c r="J451" s="120"/>
      <c r="O451" s="120"/>
      <c r="P451" s="120"/>
    </row>
    <row r="452">
      <c r="C452" s="165"/>
      <c r="J452" s="120"/>
      <c r="O452" s="120"/>
      <c r="P452" s="120"/>
    </row>
    <row r="453">
      <c r="C453" s="165"/>
      <c r="J453" s="120"/>
      <c r="O453" s="120"/>
      <c r="P453" s="120"/>
    </row>
    <row r="454">
      <c r="C454" s="165"/>
      <c r="J454" s="120"/>
      <c r="O454" s="120"/>
      <c r="P454" s="120"/>
    </row>
    <row r="455">
      <c r="C455" s="165"/>
      <c r="J455" s="120"/>
      <c r="O455" s="120"/>
      <c r="P455" s="120"/>
    </row>
    <row r="456">
      <c r="C456" s="165"/>
      <c r="J456" s="120"/>
      <c r="O456" s="120"/>
      <c r="P456" s="120"/>
    </row>
    <row r="457">
      <c r="C457" s="165"/>
      <c r="J457" s="120"/>
      <c r="O457" s="120"/>
      <c r="P457" s="120"/>
    </row>
    <row r="458">
      <c r="C458" s="165"/>
      <c r="J458" s="120"/>
      <c r="O458" s="120"/>
      <c r="P458" s="120"/>
    </row>
    <row r="459">
      <c r="C459" s="165"/>
      <c r="J459" s="120"/>
      <c r="O459" s="120"/>
      <c r="P459" s="120"/>
    </row>
    <row r="460">
      <c r="C460" s="165"/>
      <c r="J460" s="120"/>
      <c r="O460" s="120"/>
      <c r="P460" s="120"/>
    </row>
    <row r="461">
      <c r="C461" s="165"/>
      <c r="J461" s="120"/>
      <c r="O461" s="120"/>
      <c r="P461" s="120"/>
    </row>
    <row r="462">
      <c r="C462" s="165"/>
      <c r="J462" s="120"/>
      <c r="O462" s="120"/>
      <c r="P462" s="120"/>
    </row>
    <row r="463">
      <c r="C463" s="165"/>
      <c r="J463" s="120"/>
      <c r="O463" s="120"/>
      <c r="P463" s="120"/>
    </row>
    <row r="464">
      <c r="C464" s="165"/>
      <c r="J464" s="120"/>
      <c r="O464" s="120"/>
      <c r="P464" s="120"/>
    </row>
    <row r="465">
      <c r="C465" s="165"/>
      <c r="J465" s="120"/>
      <c r="O465" s="120"/>
      <c r="P465" s="120"/>
    </row>
    <row r="466">
      <c r="C466" s="165"/>
      <c r="J466" s="120"/>
      <c r="O466" s="120"/>
      <c r="P466" s="120"/>
    </row>
    <row r="467">
      <c r="C467" s="165"/>
      <c r="J467" s="120"/>
      <c r="O467" s="120"/>
      <c r="P467" s="120"/>
    </row>
    <row r="468">
      <c r="C468" s="165"/>
      <c r="J468" s="120"/>
      <c r="O468" s="120"/>
      <c r="P468" s="120"/>
    </row>
    <row r="469">
      <c r="C469" s="165"/>
      <c r="J469" s="120"/>
      <c r="O469" s="120"/>
      <c r="P469" s="120"/>
    </row>
    <row r="470">
      <c r="C470" s="165"/>
      <c r="J470" s="120"/>
      <c r="O470" s="120"/>
      <c r="P470" s="120"/>
    </row>
    <row r="471">
      <c r="C471" s="165"/>
      <c r="J471" s="120"/>
      <c r="O471" s="120"/>
      <c r="P471" s="120"/>
    </row>
    <row r="472">
      <c r="C472" s="165"/>
      <c r="J472" s="120"/>
      <c r="O472" s="120"/>
      <c r="P472" s="120"/>
    </row>
    <row r="473">
      <c r="C473" s="165"/>
      <c r="J473" s="120"/>
      <c r="O473" s="120"/>
      <c r="P473" s="120"/>
    </row>
    <row r="474">
      <c r="C474" s="165"/>
      <c r="J474" s="120"/>
      <c r="O474" s="120"/>
      <c r="P474" s="120"/>
    </row>
    <row r="475">
      <c r="C475" s="165"/>
      <c r="J475" s="120"/>
      <c r="O475" s="120"/>
      <c r="P475" s="120"/>
    </row>
    <row r="476">
      <c r="C476" s="165"/>
      <c r="J476" s="120"/>
      <c r="O476" s="120"/>
      <c r="P476" s="120"/>
    </row>
    <row r="477">
      <c r="C477" s="165"/>
      <c r="J477" s="120"/>
      <c r="O477" s="120"/>
      <c r="P477" s="120"/>
    </row>
    <row r="478">
      <c r="C478" s="165"/>
      <c r="J478" s="120"/>
      <c r="O478" s="120"/>
      <c r="P478" s="120"/>
    </row>
    <row r="479">
      <c r="C479" s="165"/>
      <c r="J479" s="120"/>
      <c r="O479" s="120"/>
      <c r="P479" s="120"/>
    </row>
    <row r="480">
      <c r="C480" s="165"/>
      <c r="J480" s="120"/>
      <c r="O480" s="120"/>
      <c r="P480" s="120"/>
    </row>
    <row r="481">
      <c r="C481" s="165"/>
      <c r="J481" s="120"/>
      <c r="O481" s="120"/>
      <c r="P481" s="120"/>
    </row>
    <row r="482">
      <c r="C482" s="165"/>
      <c r="J482" s="120"/>
      <c r="O482" s="120"/>
      <c r="P482" s="120"/>
    </row>
    <row r="483">
      <c r="C483" s="165"/>
      <c r="J483" s="120"/>
      <c r="O483" s="120"/>
      <c r="P483" s="120"/>
    </row>
    <row r="484">
      <c r="C484" s="165"/>
      <c r="J484" s="120"/>
      <c r="O484" s="120"/>
      <c r="P484" s="120"/>
    </row>
    <row r="485">
      <c r="C485" s="165"/>
      <c r="J485" s="120"/>
      <c r="O485" s="120"/>
      <c r="P485" s="120"/>
    </row>
    <row r="486">
      <c r="C486" s="165"/>
      <c r="J486" s="120"/>
      <c r="O486" s="120"/>
      <c r="P486" s="120"/>
    </row>
    <row r="487">
      <c r="C487" s="165"/>
      <c r="J487" s="120"/>
      <c r="O487" s="120"/>
      <c r="P487" s="120"/>
    </row>
    <row r="488">
      <c r="C488" s="165"/>
      <c r="J488" s="120"/>
      <c r="O488" s="120"/>
      <c r="P488" s="120"/>
    </row>
    <row r="489">
      <c r="C489" s="165"/>
      <c r="J489" s="120"/>
      <c r="O489" s="120"/>
      <c r="P489" s="120"/>
    </row>
    <row r="490">
      <c r="C490" s="165"/>
      <c r="J490" s="120"/>
      <c r="O490" s="120"/>
      <c r="P490" s="120"/>
    </row>
    <row r="491">
      <c r="C491" s="165"/>
      <c r="J491" s="120"/>
      <c r="O491" s="120"/>
      <c r="P491" s="120"/>
    </row>
    <row r="492">
      <c r="C492" s="165"/>
      <c r="J492" s="120"/>
      <c r="O492" s="120"/>
      <c r="P492" s="120"/>
    </row>
    <row r="493">
      <c r="C493" s="165"/>
      <c r="J493" s="120"/>
      <c r="O493" s="120"/>
      <c r="P493" s="120"/>
    </row>
    <row r="494">
      <c r="C494" s="165"/>
      <c r="J494" s="120"/>
      <c r="O494" s="120"/>
      <c r="P494" s="120"/>
    </row>
    <row r="495">
      <c r="C495" s="165"/>
      <c r="J495" s="120"/>
      <c r="O495" s="120"/>
      <c r="P495" s="120"/>
    </row>
    <row r="496">
      <c r="C496" s="165"/>
      <c r="J496" s="120"/>
      <c r="O496" s="120"/>
      <c r="P496" s="120"/>
    </row>
    <row r="497">
      <c r="C497" s="165"/>
      <c r="J497" s="120"/>
      <c r="O497" s="120"/>
      <c r="P497" s="120"/>
    </row>
    <row r="498">
      <c r="C498" s="165"/>
      <c r="J498" s="120"/>
      <c r="O498" s="120"/>
      <c r="P498" s="120"/>
    </row>
    <row r="499">
      <c r="C499" s="165"/>
      <c r="J499" s="120"/>
      <c r="O499" s="120"/>
      <c r="P499" s="120"/>
    </row>
    <row r="500">
      <c r="C500" s="165"/>
      <c r="J500" s="120"/>
      <c r="O500" s="120"/>
      <c r="P500" s="120"/>
    </row>
    <row r="501">
      <c r="C501" s="165"/>
      <c r="J501" s="120"/>
      <c r="O501" s="120"/>
      <c r="P501" s="120"/>
    </row>
    <row r="502">
      <c r="C502" s="165"/>
      <c r="J502" s="120"/>
      <c r="O502" s="120"/>
      <c r="P502" s="120"/>
    </row>
    <row r="503">
      <c r="C503" s="165"/>
      <c r="J503" s="120"/>
      <c r="O503" s="120"/>
      <c r="P503" s="120"/>
    </row>
    <row r="504">
      <c r="C504" s="165"/>
      <c r="J504" s="120"/>
      <c r="O504" s="120"/>
      <c r="P504" s="120"/>
    </row>
    <row r="505">
      <c r="C505" s="165"/>
      <c r="J505" s="120"/>
      <c r="O505" s="120"/>
      <c r="P505" s="120"/>
    </row>
    <row r="506">
      <c r="C506" s="165"/>
      <c r="J506" s="120"/>
      <c r="O506" s="120"/>
      <c r="P506" s="120"/>
    </row>
    <row r="507">
      <c r="C507" s="165"/>
      <c r="J507" s="120"/>
      <c r="O507" s="120"/>
      <c r="P507" s="120"/>
    </row>
    <row r="508">
      <c r="C508" s="165"/>
      <c r="J508" s="120"/>
      <c r="O508" s="120"/>
      <c r="P508" s="120"/>
    </row>
    <row r="509">
      <c r="C509" s="165"/>
      <c r="J509" s="120"/>
      <c r="O509" s="120"/>
      <c r="P509" s="120"/>
    </row>
    <row r="510">
      <c r="C510" s="165"/>
      <c r="J510" s="120"/>
      <c r="O510" s="120"/>
      <c r="P510" s="120"/>
    </row>
    <row r="511">
      <c r="C511" s="165"/>
      <c r="J511" s="120"/>
      <c r="O511" s="120"/>
      <c r="P511" s="120"/>
    </row>
    <row r="512">
      <c r="C512" s="165"/>
      <c r="J512" s="120"/>
      <c r="O512" s="120"/>
      <c r="P512" s="120"/>
    </row>
    <row r="513">
      <c r="C513" s="165"/>
      <c r="J513" s="120"/>
      <c r="O513" s="120"/>
      <c r="P513" s="120"/>
    </row>
    <row r="514">
      <c r="C514" s="165"/>
      <c r="J514" s="120"/>
      <c r="O514" s="120"/>
      <c r="P514" s="120"/>
    </row>
    <row r="515">
      <c r="C515" s="165"/>
      <c r="J515" s="120"/>
      <c r="O515" s="120"/>
      <c r="P515" s="120"/>
    </row>
    <row r="516">
      <c r="C516" s="165"/>
      <c r="J516" s="120"/>
      <c r="O516" s="120"/>
      <c r="P516" s="120"/>
    </row>
    <row r="517">
      <c r="C517" s="165"/>
      <c r="J517" s="120"/>
      <c r="O517" s="120"/>
      <c r="P517" s="120"/>
    </row>
    <row r="518">
      <c r="C518" s="165"/>
      <c r="J518" s="120"/>
      <c r="O518" s="120"/>
      <c r="P518" s="120"/>
    </row>
    <row r="519">
      <c r="C519" s="165"/>
      <c r="J519" s="120"/>
      <c r="O519" s="120"/>
      <c r="P519" s="120"/>
    </row>
    <row r="520">
      <c r="C520" s="165"/>
      <c r="J520" s="120"/>
      <c r="O520" s="120"/>
      <c r="P520" s="120"/>
    </row>
    <row r="521">
      <c r="C521" s="165"/>
      <c r="J521" s="120"/>
      <c r="O521" s="120"/>
      <c r="P521" s="120"/>
    </row>
    <row r="522">
      <c r="C522" s="165"/>
      <c r="J522" s="120"/>
      <c r="O522" s="120"/>
      <c r="P522" s="120"/>
    </row>
    <row r="523">
      <c r="C523" s="165"/>
      <c r="J523" s="120"/>
      <c r="O523" s="120"/>
      <c r="P523" s="120"/>
    </row>
    <row r="524">
      <c r="C524" s="165"/>
      <c r="J524" s="120"/>
      <c r="O524" s="120"/>
      <c r="P524" s="120"/>
    </row>
    <row r="525">
      <c r="C525" s="165"/>
      <c r="J525" s="120"/>
      <c r="O525" s="120"/>
      <c r="P525" s="120"/>
    </row>
    <row r="526">
      <c r="C526" s="165"/>
      <c r="J526" s="120"/>
      <c r="O526" s="120"/>
      <c r="P526" s="120"/>
    </row>
    <row r="527">
      <c r="C527" s="165"/>
      <c r="J527" s="120"/>
      <c r="O527" s="120"/>
      <c r="P527" s="120"/>
    </row>
    <row r="528">
      <c r="C528" s="165"/>
      <c r="J528" s="120"/>
      <c r="O528" s="120"/>
      <c r="P528" s="120"/>
    </row>
    <row r="529">
      <c r="C529" s="165"/>
      <c r="J529" s="120"/>
      <c r="O529" s="120"/>
      <c r="P529" s="120"/>
    </row>
    <row r="530">
      <c r="C530" s="165"/>
      <c r="J530" s="120"/>
      <c r="O530" s="120"/>
      <c r="P530" s="120"/>
    </row>
    <row r="531">
      <c r="C531" s="165"/>
      <c r="J531" s="120"/>
      <c r="O531" s="120"/>
      <c r="P531" s="120"/>
    </row>
    <row r="532">
      <c r="C532" s="165"/>
      <c r="J532" s="120"/>
      <c r="O532" s="120"/>
      <c r="P532" s="120"/>
    </row>
    <row r="533">
      <c r="C533" s="165"/>
      <c r="J533" s="120"/>
      <c r="O533" s="120"/>
      <c r="P533" s="120"/>
    </row>
    <row r="534">
      <c r="C534" s="165"/>
      <c r="J534" s="120"/>
      <c r="O534" s="120"/>
      <c r="P534" s="120"/>
    </row>
    <row r="535">
      <c r="C535" s="165"/>
      <c r="J535" s="120"/>
      <c r="O535" s="120"/>
      <c r="P535" s="120"/>
    </row>
    <row r="536">
      <c r="C536" s="165"/>
      <c r="J536" s="120"/>
      <c r="O536" s="120"/>
      <c r="P536" s="120"/>
    </row>
    <row r="537">
      <c r="C537" s="165"/>
      <c r="J537" s="120"/>
      <c r="O537" s="120"/>
      <c r="P537" s="120"/>
    </row>
    <row r="538">
      <c r="C538" s="165"/>
      <c r="J538" s="120"/>
      <c r="O538" s="120"/>
      <c r="P538" s="120"/>
    </row>
    <row r="539">
      <c r="C539" s="165"/>
      <c r="J539" s="120"/>
      <c r="O539" s="120"/>
      <c r="P539" s="120"/>
    </row>
    <row r="540">
      <c r="C540" s="165"/>
      <c r="J540" s="120"/>
      <c r="O540" s="120"/>
      <c r="P540" s="120"/>
    </row>
    <row r="541">
      <c r="C541" s="165"/>
      <c r="J541" s="120"/>
      <c r="O541" s="120"/>
      <c r="P541" s="120"/>
    </row>
    <row r="542">
      <c r="C542" s="165"/>
      <c r="J542" s="120"/>
      <c r="O542" s="120"/>
      <c r="P542" s="120"/>
    </row>
    <row r="543">
      <c r="C543" s="165"/>
      <c r="J543" s="120"/>
      <c r="O543" s="120"/>
      <c r="P543" s="120"/>
    </row>
    <row r="544">
      <c r="C544" s="165"/>
      <c r="J544" s="120"/>
      <c r="O544" s="120"/>
      <c r="P544" s="120"/>
    </row>
    <row r="545">
      <c r="C545" s="165"/>
      <c r="J545" s="120"/>
      <c r="O545" s="120"/>
      <c r="P545" s="120"/>
    </row>
    <row r="546">
      <c r="C546" s="165"/>
      <c r="J546" s="120"/>
      <c r="O546" s="120"/>
      <c r="P546" s="120"/>
    </row>
    <row r="547">
      <c r="C547" s="165"/>
      <c r="J547" s="120"/>
      <c r="O547" s="120"/>
      <c r="P547" s="120"/>
    </row>
    <row r="548">
      <c r="C548" s="165"/>
      <c r="J548" s="120"/>
      <c r="O548" s="120"/>
      <c r="P548" s="120"/>
    </row>
    <row r="549">
      <c r="C549" s="165"/>
      <c r="J549" s="120"/>
      <c r="O549" s="120"/>
      <c r="P549" s="120"/>
    </row>
    <row r="550">
      <c r="C550" s="165"/>
      <c r="J550" s="120"/>
      <c r="O550" s="120"/>
      <c r="P550" s="120"/>
    </row>
    <row r="551">
      <c r="C551" s="165"/>
      <c r="J551" s="120"/>
      <c r="O551" s="120"/>
      <c r="P551" s="120"/>
    </row>
    <row r="552">
      <c r="C552" s="165"/>
      <c r="J552" s="120"/>
      <c r="O552" s="120"/>
      <c r="P552" s="120"/>
    </row>
    <row r="553">
      <c r="C553" s="165"/>
      <c r="J553" s="120"/>
      <c r="O553" s="120"/>
      <c r="P553" s="120"/>
    </row>
    <row r="554">
      <c r="C554" s="165"/>
      <c r="J554" s="120"/>
      <c r="O554" s="120"/>
      <c r="P554" s="120"/>
    </row>
    <row r="555">
      <c r="C555" s="165"/>
      <c r="J555" s="120"/>
      <c r="O555" s="120"/>
      <c r="P555" s="120"/>
    </row>
    <row r="556">
      <c r="C556" s="165"/>
      <c r="J556" s="120"/>
      <c r="O556" s="120"/>
      <c r="P556" s="120"/>
    </row>
    <row r="557">
      <c r="C557" s="165"/>
      <c r="J557" s="120"/>
      <c r="O557" s="120"/>
      <c r="P557" s="120"/>
    </row>
    <row r="558">
      <c r="C558" s="165"/>
      <c r="J558" s="120"/>
      <c r="O558" s="120"/>
      <c r="P558" s="120"/>
    </row>
    <row r="559">
      <c r="C559" s="165"/>
      <c r="J559" s="120"/>
      <c r="O559" s="120"/>
      <c r="P559" s="120"/>
    </row>
    <row r="560">
      <c r="C560" s="165"/>
      <c r="J560" s="120"/>
      <c r="O560" s="120"/>
      <c r="P560" s="120"/>
    </row>
    <row r="561">
      <c r="C561" s="165"/>
      <c r="J561" s="120"/>
      <c r="O561" s="120"/>
      <c r="P561" s="120"/>
    </row>
    <row r="562">
      <c r="C562" s="165"/>
      <c r="J562" s="120"/>
      <c r="O562" s="120"/>
      <c r="P562" s="120"/>
    </row>
    <row r="563">
      <c r="C563" s="165"/>
      <c r="J563" s="120"/>
      <c r="O563" s="120"/>
      <c r="P563" s="120"/>
    </row>
    <row r="564">
      <c r="C564" s="165"/>
      <c r="J564" s="120"/>
      <c r="O564" s="120"/>
      <c r="P564" s="120"/>
    </row>
    <row r="565">
      <c r="C565" s="165"/>
      <c r="J565" s="120"/>
      <c r="O565" s="120"/>
      <c r="P565" s="120"/>
    </row>
    <row r="566">
      <c r="C566" s="165"/>
      <c r="J566" s="120"/>
      <c r="O566" s="120"/>
      <c r="P566" s="120"/>
    </row>
    <row r="567">
      <c r="C567" s="165"/>
      <c r="J567" s="120"/>
      <c r="O567" s="120"/>
      <c r="P567" s="120"/>
    </row>
    <row r="568">
      <c r="C568" s="165"/>
      <c r="J568" s="120"/>
      <c r="O568" s="120"/>
      <c r="P568" s="120"/>
    </row>
    <row r="569">
      <c r="C569" s="165"/>
      <c r="J569" s="120"/>
      <c r="O569" s="120"/>
      <c r="P569" s="120"/>
    </row>
    <row r="570">
      <c r="C570" s="165"/>
      <c r="J570" s="120"/>
      <c r="O570" s="120"/>
      <c r="P570" s="120"/>
    </row>
    <row r="571">
      <c r="C571" s="165"/>
      <c r="J571" s="120"/>
      <c r="O571" s="120"/>
      <c r="P571" s="120"/>
    </row>
    <row r="572">
      <c r="C572" s="165"/>
      <c r="J572" s="120"/>
      <c r="O572" s="120"/>
      <c r="P572" s="120"/>
    </row>
    <row r="573">
      <c r="C573" s="165"/>
      <c r="J573" s="120"/>
      <c r="O573" s="120"/>
      <c r="P573" s="120"/>
    </row>
    <row r="574">
      <c r="C574" s="165"/>
      <c r="J574" s="120"/>
      <c r="O574" s="120"/>
      <c r="P574" s="120"/>
    </row>
    <row r="575">
      <c r="C575" s="165"/>
      <c r="J575" s="120"/>
      <c r="O575" s="120"/>
      <c r="P575" s="120"/>
    </row>
    <row r="576">
      <c r="C576" s="165"/>
      <c r="J576" s="120"/>
      <c r="O576" s="120"/>
      <c r="P576" s="120"/>
    </row>
    <row r="577">
      <c r="C577" s="165"/>
      <c r="J577" s="120"/>
      <c r="O577" s="120"/>
      <c r="P577" s="120"/>
    </row>
    <row r="578">
      <c r="C578" s="165"/>
      <c r="J578" s="120"/>
      <c r="O578" s="120"/>
      <c r="P578" s="120"/>
    </row>
    <row r="579">
      <c r="C579" s="165"/>
      <c r="J579" s="120"/>
      <c r="O579" s="120"/>
      <c r="P579" s="120"/>
    </row>
    <row r="580">
      <c r="C580" s="165"/>
      <c r="J580" s="120"/>
      <c r="O580" s="120"/>
      <c r="P580" s="120"/>
    </row>
    <row r="581">
      <c r="C581" s="165"/>
      <c r="J581" s="120"/>
      <c r="O581" s="120"/>
      <c r="P581" s="120"/>
    </row>
    <row r="582">
      <c r="C582" s="165"/>
      <c r="J582" s="120"/>
      <c r="O582" s="120"/>
      <c r="P582" s="120"/>
    </row>
    <row r="583">
      <c r="C583" s="165"/>
      <c r="J583" s="120"/>
      <c r="O583" s="120"/>
      <c r="P583" s="120"/>
    </row>
    <row r="584">
      <c r="C584" s="165"/>
      <c r="J584" s="120"/>
      <c r="O584" s="120"/>
      <c r="P584" s="120"/>
    </row>
    <row r="585">
      <c r="C585" s="165"/>
      <c r="J585" s="120"/>
      <c r="O585" s="120"/>
      <c r="P585" s="120"/>
    </row>
    <row r="586">
      <c r="C586" s="165"/>
      <c r="J586" s="120"/>
      <c r="O586" s="120"/>
      <c r="P586" s="120"/>
    </row>
    <row r="587">
      <c r="C587" s="165"/>
      <c r="J587" s="120"/>
      <c r="O587" s="120"/>
      <c r="P587" s="120"/>
    </row>
    <row r="588">
      <c r="C588" s="165"/>
      <c r="J588" s="120"/>
      <c r="O588" s="120"/>
      <c r="P588" s="120"/>
    </row>
    <row r="589">
      <c r="C589" s="165"/>
      <c r="J589" s="120"/>
      <c r="O589" s="120"/>
      <c r="P589" s="120"/>
    </row>
    <row r="590">
      <c r="C590" s="165"/>
      <c r="J590" s="120"/>
      <c r="O590" s="120"/>
      <c r="P590" s="120"/>
    </row>
    <row r="591">
      <c r="C591" s="165"/>
      <c r="J591" s="120"/>
      <c r="O591" s="120"/>
      <c r="P591" s="120"/>
    </row>
    <row r="592">
      <c r="C592" s="165"/>
      <c r="J592" s="120"/>
      <c r="O592" s="120"/>
      <c r="P592" s="120"/>
    </row>
    <row r="593">
      <c r="C593" s="165"/>
      <c r="J593" s="120"/>
      <c r="O593" s="120"/>
      <c r="P593" s="120"/>
    </row>
    <row r="594">
      <c r="C594" s="165"/>
      <c r="J594" s="120"/>
      <c r="O594" s="120"/>
      <c r="P594" s="120"/>
    </row>
    <row r="595">
      <c r="C595" s="165"/>
      <c r="J595" s="120"/>
      <c r="O595" s="120"/>
      <c r="P595" s="120"/>
    </row>
    <row r="596">
      <c r="C596" s="165"/>
      <c r="J596" s="120"/>
      <c r="O596" s="120"/>
      <c r="P596" s="120"/>
    </row>
    <row r="597">
      <c r="C597" s="165"/>
      <c r="J597" s="120"/>
      <c r="O597" s="120"/>
      <c r="P597" s="120"/>
    </row>
    <row r="598">
      <c r="C598" s="165"/>
      <c r="J598" s="120"/>
      <c r="O598" s="120"/>
      <c r="P598" s="120"/>
    </row>
    <row r="599">
      <c r="C599" s="165"/>
      <c r="J599" s="120"/>
      <c r="O599" s="120"/>
      <c r="P599" s="120"/>
    </row>
    <row r="600">
      <c r="C600" s="165"/>
      <c r="J600" s="120"/>
      <c r="O600" s="120"/>
      <c r="P600" s="120"/>
    </row>
    <row r="601">
      <c r="C601" s="165"/>
      <c r="J601" s="120"/>
      <c r="O601" s="120"/>
      <c r="P601" s="120"/>
    </row>
    <row r="602">
      <c r="C602" s="165"/>
      <c r="J602" s="120"/>
      <c r="O602" s="120"/>
      <c r="P602" s="120"/>
    </row>
    <row r="603">
      <c r="C603" s="165"/>
      <c r="J603" s="120"/>
      <c r="O603" s="120"/>
      <c r="P603" s="120"/>
    </row>
    <row r="604">
      <c r="C604" s="165"/>
      <c r="J604" s="120"/>
      <c r="O604" s="120"/>
      <c r="P604" s="120"/>
    </row>
    <row r="605">
      <c r="C605" s="165"/>
      <c r="J605" s="120"/>
      <c r="O605" s="120"/>
      <c r="P605" s="120"/>
    </row>
    <row r="606">
      <c r="C606" s="165"/>
      <c r="J606" s="120"/>
      <c r="O606" s="120"/>
      <c r="P606" s="120"/>
    </row>
    <row r="607">
      <c r="C607" s="165"/>
      <c r="J607" s="120"/>
      <c r="O607" s="120"/>
      <c r="P607" s="120"/>
    </row>
    <row r="608">
      <c r="C608" s="165"/>
      <c r="J608" s="120"/>
      <c r="O608" s="120"/>
      <c r="P608" s="120"/>
    </row>
    <row r="609">
      <c r="C609" s="165"/>
      <c r="J609" s="120"/>
      <c r="O609" s="120"/>
      <c r="P609" s="120"/>
    </row>
    <row r="610">
      <c r="C610" s="165"/>
      <c r="J610" s="120"/>
      <c r="O610" s="120"/>
      <c r="P610" s="120"/>
    </row>
    <row r="611">
      <c r="C611" s="165"/>
      <c r="J611" s="120"/>
      <c r="O611" s="120"/>
      <c r="P611" s="120"/>
    </row>
    <row r="612">
      <c r="C612" s="165"/>
      <c r="J612" s="120"/>
      <c r="O612" s="120"/>
      <c r="P612" s="120"/>
    </row>
    <row r="613">
      <c r="C613" s="165"/>
      <c r="J613" s="120"/>
      <c r="O613" s="120"/>
      <c r="P613" s="120"/>
    </row>
    <row r="614">
      <c r="C614" s="165"/>
      <c r="J614" s="120"/>
      <c r="O614" s="120"/>
      <c r="P614" s="120"/>
    </row>
    <row r="615">
      <c r="C615" s="165"/>
      <c r="J615" s="120"/>
      <c r="O615" s="120"/>
      <c r="P615" s="120"/>
    </row>
    <row r="616">
      <c r="C616" s="165"/>
      <c r="J616" s="120"/>
      <c r="O616" s="120"/>
      <c r="P616" s="120"/>
    </row>
    <row r="617">
      <c r="C617" s="165"/>
      <c r="J617" s="120"/>
      <c r="O617" s="120"/>
      <c r="P617" s="120"/>
    </row>
    <row r="618">
      <c r="C618" s="165"/>
      <c r="J618" s="120"/>
      <c r="O618" s="120"/>
      <c r="P618" s="120"/>
    </row>
    <row r="619">
      <c r="C619" s="165"/>
      <c r="J619" s="120"/>
      <c r="O619" s="120"/>
      <c r="P619" s="120"/>
    </row>
    <row r="620">
      <c r="C620" s="165"/>
      <c r="J620" s="120"/>
      <c r="O620" s="120"/>
      <c r="P620" s="120"/>
    </row>
    <row r="621">
      <c r="C621" s="165"/>
      <c r="J621" s="120"/>
      <c r="O621" s="120"/>
      <c r="P621" s="120"/>
    </row>
    <row r="622">
      <c r="C622" s="165"/>
      <c r="J622" s="120"/>
      <c r="O622" s="120"/>
      <c r="P622" s="120"/>
    </row>
    <row r="623">
      <c r="C623" s="165"/>
      <c r="J623" s="120"/>
      <c r="O623" s="120"/>
      <c r="P623" s="120"/>
    </row>
    <row r="624">
      <c r="C624" s="165"/>
      <c r="J624" s="120"/>
      <c r="O624" s="120"/>
      <c r="P624" s="120"/>
    </row>
    <row r="625">
      <c r="C625" s="165"/>
      <c r="J625" s="120"/>
      <c r="O625" s="120"/>
      <c r="P625" s="120"/>
    </row>
    <row r="626">
      <c r="C626" s="165"/>
      <c r="J626" s="120"/>
      <c r="O626" s="120"/>
      <c r="P626" s="120"/>
    </row>
    <row r="627">
      <c r="C627" s="165"/>
      <c r="J627" s="120"/>
      <c r="O627" s="120"/>
      <c r="P627" s="120"/>
    </row>
    <row r="628">
      <c r="C628" s="165"/>
      <c r="J628" s="120"/>
      <c r="O628" s="120"/>
      <c r="P628" s="120"/>
    </row>
    <row r="629">
      <c r="C629" s="165"/>
      <c r="J629" s="120"/>
      <c r="O629" s="120"/>
      <c r="P629" s="120"/>
    </row>
    <row r="630">
      <c r="C630" s="165"/>
      <c r="J630" s="120"/>
      <c r="O630" s="120"/>
      <c r="P630" s="120"/>
    </row>
    <row r="631">
      <c r="C631" s="165"/>
      <c r="J631" s="120"/>
      <c r="O631" s="120"/>
      <c r="P631" s="120"/>
    </row>
    <row r="632">
      <c r="C632" s="165"/>
      <c r="J632" s="120"/>
      <c r="O632" s="120"/>
      <c r="P632" s="120"/>
    </row>
    <row r="633">
      <c r="C633" s="165"/>
      <c r="J633" s="120"/>
      <c r="O633" s="120"/>
      <c r="P633" s="120"/>
    </row>
    <row r="634">
      <c r="C634" s="165"/>
      <c r="J634" s="120"/>
      <c r="O634" s="120"/>
      <c r="P634" s="120"/>
    </row>
    <row r="635">
      <c r="C635" s="165"/>
      <c r="J635" s="120"/>
      <c r="O635" s="120"/>
      <c r="P635" s="120"/>
    </row>
    <row r="636">
      <c r="C636" s="165"/>
      <c r="J636" s="120"/>
      <c r="O636" s="120"/>
      <c r="P636" s="120"/>
    </row>
    <row r="637">
      <c r="C637" s="165"/>
      <c r="J637" s="120"/>
      <c r="O637" s="120"/>
      <c r="P637" s="120"/>
    </row>
    <row r="638">
      <c r="C638" s="165"/>
      <c r="J638" s="120"/>
      <c r="O638" s="120"/>
      <c r="P638" s="120"/>
    </row>
    <row r="639">
      <c r="C639" s="165"/>
      <c r="J639" s="120"/>
      <c r="O639" s="120"/>
      <c r="P639" s="120"/>
    </row>
    <row r="640">
      <c r="C640" s="165"/>
      <c r="J640" s="120"/>
      <c r="O640" s="120"/>
      <c r="P640" s="120"/>
    </row>
    <row r="641">
      <c r="C641" s="165"/>
      <c r="J641" s="120"/>
      <c r="O641" s="120"/>
      <c r="P641" s="120"/>
    </row>
    <row r="642">
      <c r="C642" s="165"/>
      <c r="J642" s="120"/>
      <c r="O642" s="120"/>
      <c r="P642" s="120"/>
    </row>
    <row r="643">
      <c r="C643" s="165"/>
      <c r="J643" s="120"/>
      <c r="O643" s="120"/>
      <c r="P643" s="120"/>
    </row>
    <row r="644">
      <c r="C644" s="165"/>
      <c r="J644" s="120"/>
      <c r="O644" s="120"/>
      <c r="P644" s="120"/>
    </row>
    <row r="645">
      <c r="C645" s="165"/>
      <c r="J645" s="120"/>
      <c r="O645" s="120"/>
      <c r="P645" s="120"/>
    </row>
    <row r="646">
      <c r="C646" s="165"/>
      <c r="J646" s="120"/>
      <c r="O646" s="120"/>
      <c r="P646" s="120"/>
    </row>
    <row r="647">
      <c r="C647" s="165"/>
      <c r="J647" s="120"/>
      <c r="O647" s="120"/>
      <c r="P647" s="120"/>
    </row>
    <row r="648">
      <c r="C648" s="165"/>
      <c r="J648" s="120"/>
      <c r="O648" s="120"/>
      <c r="P648" s="120"/>
    </row>
    <row r="649">
      <c r="C649" s="165"/>
      <c r="J649" s="120"/>
      <c r="O649" s="120"/>
      <c r="P649" s="120"/>
    </row>
    <row r="650">
      <c r="C650" s="165"/>
      <c r="J650" s="120"/>
      <c r="O650" s="120"/>
      <c r="P650" s="120"/>
    </row>
    <row r="651">
      <c r="C651" s="165"/>
      <c r="J651" s="120"/>
      <c r="O651" s="120"/>
      <c r="P651" s="120"/>
    </row>
    <row r="652">
      <c r="C652" s="165"/>
      <c r="J652" s="120"/>
      <c r="O652" s="120"/>
      <c r="P652" s="120"/>
    </row>
    <row r="653">
      <c r="C653" s="165"/>
      <c r="J653" s="120"/>
      <c r="O653" s="120"/>
      <c r="P653" s="120"/>
    </row>
    <row r="654">
      <c r="C654" s="165"/>
      <c r="J654" s="120"/>
      <c r="O654" s="120"/>
      <c r="P654" s="120"/>
    </row>
    <row r="655">
      <c r="C655" s="165"/>
      <c r="J655" s="120"/>
      <c r="O655" s="120"/>
      <c r="P655" s="120"/>
    </row>
    <row r="656">
      <c r="C656" s="165"/>
      <c r="J656" s="120"/>
      <c r="O656" s="120"/>
      <c r="P656" s="120"/>
    </row>
    <row r="657">
      <c r="C657" s="165"/>
      <c r="J657" s="120"/>
      <c r="O657" s="120"/>
      <c r="P657" s="120"/>
    </row>
    <row r="658">
      <c r="C658" s="165"/>
      <c r="J658" s="120"/>
      <c r="O658" s="120"/>
      <c r="P658" s="120"/>
    </row>
    <row r="659">
      <c r="C659" s="165"/>
      <c r="J659" s="120"/>
      <c r="O659" s="120"/>
      <c r="P659" s="120"/>
    </row>
    <row r="660">
      <c r="C660" s="165"/>
      <c r="J660" s="120"/>
      <c r="O660" s="120"/>
      <c r="P660" s="120"/>
    </row>
    <row r="661">
      <c r="C661" s="165"/>
      <c r="J661" s="120"/>
      <c r="O661" s="120"/>
      <c r="P661" s="120"/>
    </row>
    <row r="662">
      <c r="C662" s="165"/>
      <c r="J662" s="120"/>
      <c r="O662" s="120"/>
      <c r="P662" s="120"/>
    </row>
    <row r="663">
      <c r="C663" s="165"/>
      <c r="J663" s="120"/>
      <c r="O663" s="120"/>
      <c r="P663" s="120"/>
    </row>
    <row r="664">
      <c r="C664" s="165"/>
      <c r="J664" s="120"/>
      <c r="O664" s="120"/>
      <c r="P664" s="120"/>
    </row>
    <row r="665">
      <c r="C665" s="165"/>
      <c r="J665" s="120"/>
      <c r="O665" s="120"/>
      <c r="P665" s="120"/>
    </row>
    <row r="666">
      <c r="C666" s="165"/>
      <c r="J666" s="120"/>
      <c r="O666" s="120"/>
      <c r="P666" s="120"/>
    </row>
    <row r="667">
      <c r="C667" s="165"/>
      <c r="J667" s="120"/>
      <c r="O667" s="120"/>
      <c r="P667" s="120"/>
    </row>
    <row r="668">
      <c r="C668" s="165"/>
      <c r="J668" s="120"/>
      <c r="O668" s="120"/>
      <c r="P668" s="120"/>
    </row>
    <row r="669">
      <c r="C669" s="165"/>
      <c r="J669" s="120"/>
      <c r="O669" s="120"/>
      <c r="P669" s="120"/>
    </row>
    <row r="670">
      <c r="C670" s="165"/>
      <c r="J670" s="120"/>
      <c r="O670" s="120"/>
      <c r="P670" s="120"/>
    </row>
    <row r="671">
      <c r="C671" s="165"/>
      <c r="J671" s="120"/>
      <c r="O671" s="120"/>
      <c r="P671" s="120"/>
    </row>
    <row r="672">
      <c r="C672" s="165"/>
      <c r="J672" s="120"/>
      <c r="O672" s="120"/>
      <c r="P672" s="120"/>
    </row>
    <row r="673">
      <c r="C673" s="165"/>
      <c r="J673" s="120"/>
      <c r="O673" s="120"/>
      <c r="P673" s="120"/>
    </row>
    <row r="674">
      <c r="C674" s="165"/>
      <c r="J674" s="120"/>
      <c r="O674" s="120"/>
      <c r="P674" s="120"/>
    </row>
    <row r="675">
      <c r="C675" s="165"/>
      <c r="J675" s="120"/>
      <c r="O675" s="120"/>
      <c r="P675" s="120"/>
    </row>
    <row r="676">
      <c r="C676" s="165"/>
      <c r="J676" s="120"/>
      <c r="O676" s="120"/>
      <c r="P676" s="120"/>
    </row>
    <row r="677">
      <c r="C677" s="165"/>
      <c r="J677" s="120"/>
      <c r="O677" s="120"/>
      <c r="P677" s="120"/>
    </row>
    <row r="678">
      <c r="C678" s="165"/>
      <c r="J678" s="120"/>
      <c r="O678" s="120"/>
      <c r="P678" s="120"/>
    </row>
    <row r="679">
      <c r="C679" s="165"/>
      <c r="J679" s="120"/>
      <c r="O679" s="120"/>
      <c r="P679" s="120"/>
    </row>
    <row r="680">
      <c r="C680" s="165"/>
      <c r="J680" s="120"/>
      <c r="O680" s="120"/>
      <c r="P680" s="120"/>
    </row>
    <row r="681">
      <c r="C681" s="165"/>
      <c r="J681" s="120"/>
      <c r="O681" s="120"/>
      <c r="P681" s="120"/>
    </row>
    <row r="682">
      <c r="C682" s="165"/>
      <c r="J682" s="120"/>
      <c r="O682" s="120"/>
      <c r="P682" s="120"/>
    </row>
    <row r="683">
      <c r="C683" s="165"/>
      <c r="J683" s="120"/>
      <c r="O683" s="120"/>
      <c r="P683" s="120"/>
    </row>
    <row r="684">
      <c r="C684" s="165"/>
      <c r="J684" s="120"/>
      <c r="O684" s="120"/>
      <c r="P684" s="120"/>
    </row>
    <row r="685">
      <c r="C685" s="165"/>
      <c r="J685" s="120"/>
      <c r="O685" s="120"/>
      <c r="P685" s="120"/>
    </row>
    <row r="686">
      <c r="C686" s="165"/>
      <c r="J686" s="120"/>
      <c r="O686" s="120"/>
      <c r="P686" s="120"/>
    </row>
    <row r="687">
      <c r="C687" s="165"/>
      <c r="J687" s="120"/>
      <c r="O687" s="120"/>
      <c r="P687" s="120"/>
    </row>
    <row r="688">
      <c r="C688" s="165"/>
      <c r="J688" s="120"/>
      <c r="O688" s="120"/>
      <c r="P688" s="120"/>
    </row>
    <row r="689">
      <c r="C689" s="165"/>
      <c r="J689" s="120"/>
      <c r="O689" s="120"/>
      <c r="P689" s="120"/>
    </row>
    <row r="690">
      <c r="C690" s="165"/>
      <c r="J690" s="120"/>
      <c r="O690" s="120"/>
      <c r="P690" s="120"/>
    </row>
    <row r="691">
      <c r="C691" s="165"/>
      <c r="J691" s="120"/>
      <c r="O691" s="120"/>
      <c r="P691" s="120"/>
    </row>
    <row r="692">
      <c r="C692" s="165"/>
      <c r="J692" s="120"/>
      <c r="O692" s="120"/>
      <c r="P692" s="120"/>
    </row>
    <row r="693">
      <c r="C693" s="165"/>
      <c r="J693" s="120"/>
      <c r="O693" s="120"/>
      <c r="P693" s="120"/>
    </row>
    <row r="694">
      <c r="C694" s="165"/>
      <c r="J694" s="120"/>
      <c r="O694" s="120"/>
      <c r="P694" s="120"/>
    </row>
    <row r="695">
      <c r="C695" s="165"/>
      <c r="J695" s="120"/>
      <c r="O695" s="120"/>
      <c r="P695" s="120"/>
    </row>
    <row r="696">
      <c r="C696" s="165"/>
      <c r="J696" s="120"/>
      <c r="O696" s="120"/>
      <c r="P696" s="120"/>
    </row>
    <row r="697">
      <c r="C697" s="165"/>
      <c r="J697" s="120"/>
      <c r="O697" s="120"/>
      <c r="P697" s="120"/>
    </row>
    <row r="698">
      <c r="C698" s="165"/>
      <c r="J698" s="120"/>
      <c r="O698" s="120"/>
      <c r="P698" s="120"/>
    </row>
    <row r="699">
      <c r="C699" s="165"/>
      <c r="J699" s="120"/>
      <c r="O699" s="120"/>
      <c r="P699" s="120"/>
    </row>
    <row r="700">
      <c r="C700" s="165"/>
      <c r="J700" s="120"/>
      <c r="O700" s="120"/>
      <c r="P700" s="120"/>
    </row>
    <row r="701">
      <c r="C701" s="165"/>
      <c r="J701" s="120"/>
      <c r="O701" s="120"/>
      <c r="P701" s="120"/>
    </row>
    <row r="702">
      <c r="C702" s="165"/>
      <c r="J702" s="120"/>
      <c r="O702" s="120"/>
      <c r="P702" s="120"/>
    </row>
    <row r="703">
      <c r="C703" s="165"/>
      <c r="J703" s="120"/>
      <c r="O703" s="120"/>
      <c r="P703" s="120"/>
    </row>
    <row r="704">
      <c r="C704" s="165"/>
      <c r="J704" s="120"/>
      <c r="O704" s="120"/>
      <c r="P704" s="120"/>
    </row>
    <row r="705">
      <c r="C705" s="165"/>
      <c r="J705" s="120"/>
      <c r="O705" s="120"/>
      <c r="P705" s="120"/>
    </row>
    <row r="706">
      <c r="C706" s="165"/>
      <c r="J706" s="120"/>
      <c r="O706" s="120"/>
      <c r="P706" s="120"/>
    </row>
    <row r="707">
      <c r="C707" s="165"/>
      <c r="J707" s="120"/>
      <c r="O707" s="120"/>
      <c r="P707" s="120"/>
    </row>
    <row r="708">
      <c r="C708" s="165"/>
      <c r="J708" s="120"/>
      <c r="O708" s="120"/>
      <c r="P708" s="120"/>
    </row>
    <row r="709">
      <c r="C709" s="165"/>
      <c r="J709" s="120"/>
      <c r="O709" s="120"/>
      <c r="P709" s="120"/>
    </row>
    <row r="710">
      <c r="C710" s="165"/>
      <c r="J710" s="120"/>
      <c r="O710" s="120"/>
      <c r="P710" s="120"/>
    </row>
    <row r="711">
      <c r="C711" s="165"/>
      <c r="J711" s="120"/>
      <c r="O711" s="120"/>
      <c r="P711" s="120"/>
    </row>
    <row r="712">
      <c r="C712" s="165"/>
      <c r="J712" s="120"/>
      <c r="O712" s="120"/>
      <c r="P712" s="120"/>
    </row>
    <row r="713">
      <c r="C713" s="165"/>
      <c r="J713" s="120"/>
      <c r="O713" s="120"/>
      <c r="P713" s="120"/>
    </row>
    <row r="714">
      <c r="C714" s="165"/>
      <c r="J714" s="120"/>
      <c r="O714" s="120"/>
      <c r="P714" s="120"/>
    </row>
    <row r="715">
      <c r="C715" s="165"/>
      <c r="J715" s="120"/>
      <c r="O715" s="120"/>
      <c r="P715" s="120"/>
    </row>
    <row r="716">
      <c r="C716" s="165"/>
      <c r="J716" s="120"/>
      <c r="O716" s="120"/>
      <c r="P716" s="120"/>
    </row>
    <row r="717">
      <c r="C717" s="165"/>
      <c r="J717" s="120"/>
      <c r="O717" s="120"/>
      <c r="P717" s="120"/>
    </row>
    <row r="718">
      <c r="C718" s="165"/>
      <c r="J718" s="120"/>
      <c r="O718" s="120"/>
      <c r="P718" s="120"/>
    </row>
    <row r="719">
      <c r="C719" s="165"/>
      <c r="J719" s="120"/>
      <c r="O719" s="120"/>
      <c r="P719" s="120"/>
    </row>
    <row r="720">
      <c r="C720" s="165"/>
      <c r="J720" s="120"/>
      <c r="O720" s="120"/>
      <c r="P720" s="120"/>
    </row>
    <row r="721">
      <c r="C721" s="165"/>
      <c r="J721" s="120"/>
      <c r="O721" s="120"/>
      <c r="P721" s="120"/>
    </row>
    <row r="722">
      <c r="C722" s="165"/>
      <c r="J722" s="120"/>
      <c r="O722" s="120"/>
      <c r="P722" s="120"/>
    </row>
    <row r="723">
      <c r="C723" s="165"/>
      <c r="J723" s="120"/>
      <c r="O723" s="120"/>
      <c r="P723" s="120"/>
    </row>
    <row r="724">
      <c r="C724" s="165"/>
      <c r="J724" s="120"/>
      <c r="O724" s="120"/>
      <c r="P724" s="120"/>
    </row>
    <row r="725">
      <c r="C725" s="165"/>
      <c r="J725" s="120"/>
      <c r="O725" s="120"/>
      <c r="P725" s="120"/>
    </row>
    <row r="726">
      <c r="C726" s="165"/>
      <c r="J726" s="120"/>
      <c r="O726" s="120"/>
      <c r="P726" s="120"/>
    </row>
    <row r="727">
      <c r="C727" s="165"/>
      <c r="J727" s="120"/>
      <c r="O727" s="120"/>
      <c r="P727" s="120"/>
    </row>
    <row r="728">
      <c r="C728" s="165"/>
      <c r="J728" s="120"/>
      <c r="O728" s="120"/>
      <c r="P728" s="120"/>
    </row>
    <row r="729">
      <c r="C729" s="165"/>
      <c r="J729" s="120"/>
      <c r="O729" s="120"/>
      <c r="P729" s="120"/>
    </row>
    <row r="730">
      <c r="C730" s="165"/>
      <c r="J730" s="120"/>
      <c r="O730" s="120"/>
      <c r="P730" s="120"/>
    </row>
    <row r="731">
      <c r="C731" s="165"/>
      <c r="J731" s="120"/>
      <c r="O731" s="120"/>
      <c r="P731" s="120"/>
    </row>
    <row r="732">
      <c r="C732" s="165"/>
      <c r="J732" s="120"/>
      <c r="O732" s="120"/>
      <c r="P732" s="120"/>
    </row>
    <row r="733">
      <c r="C733" s="165"/>
      <c r="J733" s="120"/>
      <c r="O733" s="120"/>
      <c r="P733" s="120"/>
    </row>
    <row r="734">
      <c r="C734" s="165"/>
      <c r="J734" s="120"/>
      <c r="O734" s="120"/>
      <c r="P734" s="120"/>
    </row>
    <row r="735">
      <c r="C735" s="165"/>
      <c r="J735" s="120"/>
      <c r="O735" s="120"/>
      <c r="P735" s="120"/>
    </row>
    <row r="736">
      <c r="C736" s="165"/>
      <c r="J736" s="120"/>
      <c r="O736" s="120"/>
      <c r="P736" s="120"/>
    </row>
    <row r="737">
      <c r="C737" s="165"/>
      <c r="J737" s="120"/>
      <c r="O737" s="120"/>
      <c r="P737" s="120"/>
    </row>
    <row r="738">
      <c r="C738" s="165"/>
      <c r="J738" s="120"/>
      <c r="O738" s="120"/>
      <c r="P738" s="120"/>
    </row>
    <row r="739">
      <c r="C739" s="165"/>
      <c r="J739" s="120"/>
      <c r="O739" s="120"/>
      <c r="P739" s="120"/>
    </row>
    <row r="740">
      <c r="C740" s="165"/>
      <c r="J740" s="120"/>
      <c r="O740" s="120"/>
      <c r="P740" s="120"/>
    </row>
    <row r="741">
      <c r="C741" s="165"/>
      <c r="J741" s="120"/>
      <c r="O741" s="120"/>
      <c r="P741" s="120"/>
    </row>
    <row r="742">
      <c r="C742" s="165"/>
      <c r="J742" s="120"/>
      <c r="O742" s="120"/>
      <c r="P742" s="120"/>
    </row>
    <row r="743">
      <c r="C743" s="165"/>
      <c r="J743" s="120"/>
      <c r="O743" s="120"/>
      <c r="P743" s="120"/>
    </row>
    <row r="744">
      <c r="C744" s="165"/>
      <c r="J744" s="120"/>
      <c r="O744" s="120"/>
      <c r="P744" s="120"/>
    </row>
    <row r="745">
      <c r="C745" s="165"/>
      <c r="J745" s="120"/>
      <c r="O745" s="120"/>
      <c r="P745" s="120"/>
    </row>
    <row r="746">
      <c r="C746" s="165"/>
      <c r="J746" s="120"/>
      <c r="O746" s="120"/>
      <c r="P746" s="120"/>
    </row>
    <row r="747">
      <c r="C747" s="165"/>
      <c r="J747" s="120"/>
      <c r="O747" s="120"/>
      <c r="P747" s="120"/>
    </row>
    <row r="748">
      <c r="C748" s="165"/>
      <c r="J748" s="120"/>
      <c r="O748" s="120"/>
      <c r="P748" s="120"/>
    </row>
    <row r="749">
      <c r="C749" s="165"/>
      <c r="J749" s="120"/>
      <c r="O749" s="120"/>
      <c r="P749" s="120"/>
    </row>
    <row r="750">
      <c r="C750" s="165"/>
      <c r="J750" s="120"/>
      <c r="O750" s="120"/>
      <c r="P750" s="120"/>
    </row>
    <row r="751">
      <c r="C751" s="165"/>
      <c r="J751" s="120"/>
      <c r="O751" s="120"/>
      <c r="P751" s="120"/>
    </row>
    <row r="752">
      <c r="C752" s="165"/>
      <c r="J752" s="120"/>
      <c r="O752" s="120"/>
      <c r="P752" s="120"/>
    </row>
    <row r="753">
      <c r="C753" s="165"/>
      <c r="J753" s="120"/>
      <c r="O753" s="120"/>
      <c r="P753" s="120"/>
    </row>
    <row r="754">
      <c r="C754" s="165"/>
      <c r="J754" s="120"/>
      <c r="O754" s="120"/>
      <c r="P754" s="120"/>
    </row>
    <row r="755">
      <c r="C755" s="165"/>
      <c r="J755" s="120"/>
      <c r="O755" s="120"/>
      <c r="P755" s="120"/>
    </row>
    <row r="756">
      <c r="C756" s="165"/>
      <c r="J756" s="120"/>
      <c r="O756" s="120"/>
      <c r="P756" s="120"/>
    </row>
    <row r="757">
      <c r="C757" s="165"/>
      <c r="J757" s="120"/>
      <c r="O757" s="120"/>
      <c r="P757" s="120"/>
    </row>
    <row r="758">
      <c r="C758" s="165"/>
      <c r="J758" s="120"/>
      <c r="O758" s="120"/>
      <c r="P758" s="120"/>
    </row>
    <row r="759">
      <c r="C759" s="165"/>
      <c r="J759" s="120"/>
      <c r="O759" s="120"/>
      <c r="P759" s="120"/>
    </row>
    <row r="760">
      <c r="C760" s="165"/>
      <c r="J760" s="120"/>
      <c r="O760" s="120"/>
      <c r="P760" s="120"/>
    </row>
    <row r="761">
      <c r="C761" s="165"/>
      <c r="J761" s="120"/>
      <c r="O761" s="120"/>
      <c r="P761" s="120"/>
    </row>
    <row r="762">
      <c r="C762" s="165"/>
      <c r="J762" s="120"/>
      <c r="O762" s="120"/>
      <c r="P762" s="120"/>
    </row>
    <row r="763">
      <c r="C763" s="165"/>
      <c r="J763" s="120"/>
      <c r="O763" s="120"/>
      <c r="P763" s="120"/>
    </row>
    <row r="764">
      <c r="C764" s="165"/>
      <c r="J764" s="120"/>
      <c r="O764" s="120"/>
      <c r="P764" s="120"/>
    </row>
    <row r="765">
      <c r="C765" s="165"/>
      <c r="J765" s="120"/>
      <c r="O765" s="120"/>
      <c r="P765" s="120"/>
    </row>
    <row r="766">
      <c r="C766" s="165"/>
      <c r="J766" s="120"/>
      <c r="O766" s="120"/>
      <c r="P766" s="120"/>
    </row>
    <row r="767">
      <c r="C767" s="165"/>
      <c r="J767" s="120"/>
      <c r="O767" s="120"/>
      <c r="P767" s="120"/>
    </row>
    <row r="768">
      <c r="C768" s="165"/>
      <c r="J768" s="120"/>
      <c r="O768" s="120"/>
      <c r="P768" s="120"/>
    </row>
    <row r="769">
      <c r="C769" s="165"/>
      <c r="J769" s="120"/>
      <c r="O769" s="120"/>
      <c r="P769" s="120"/>
    </row>
    <row r="770">
      <c r="C770" s="165"/>
      <c r="J770" s="120"/>
      <c r="O770" s="120"/>
      <c r="P770" s="120"/>
    </row>
    <row r="771">
      <c r="C771" s="165"/>
      <c r="J771" s="120"/>
      <c r="O771" s="120"/>
      <c r="P771" s="120"/>
    </row>
    <row r="772">
      <c r="C772" s="165"/>
      <c r="J772" s="120"/>
      <c r="O772" s="120"/>
      <c r="P772" s="120"/>
    </row>
    <row r="773">
      <c r="C773" s="165"/>
      <c r="J773" s="120"/>
      <c r="O773" s="120"/>
      <c r="P773" s="120"/>
    </row>
    <row r="774">
      <c r="C774" s="165"/>
      <c r="J774" s="120"/>
      <c r="O774" s="120"/>
      <c r="P774" s="120"/>
    </row>
    <row r="775">
      <c r="C775" s="165"/>
      <c r="J775" s="120"/>
      <c r="O775" s="120"/>
      <c r="P775" s="120"/>
    </row>
    <row r="776">
      <c r="C776" s="165"/>
      <c r="J776" s="120"/>
      <c r="O776" s="120"/>
      <c r="P776" s="120"/>
    </row>
    <row r="777">
      <c r="C777" s="165"/>
      <c r="J777" s="120"/>
      <c r="O777" s="120"/>
      <c r="P777" s="120"/>
    </row>
    <row r="778">
      <c r="C778" s="165"/>
      <c r="J778" s="120"/>
      <c r="O778" s="120"/>
      <c r="P778" s="120"/>
    </row>
    <row r="779">
      <c r="C779" s="165"/>
      <c r="J779" s="120"/>
      <c r="O779" s="120"/>
      <c r="P779" s="120"/>
    </row>
    <row r="780">
      <c r="C780" s="165"/>
      <c r="J780" s="120"/>
      <c r="O780" s="120"/>
      <c r="P780" s="120"/>
    </row>
    <row r="781">
      <c r="C781" s="165"/>
      <c r="J781" s="120"/>
      <c r="O781" s="120"/>
      <c r="P781" s="120"/>
    </row>
    <row r="782">
      <c r="C782" s="165"/>
      <c r="J782" s="120"/>
      <c r="O782" s="120"/>
      <c r="P782" s="120"/>
    </row>
    <row r="783">
      <c r="C783" s="165"/>
      <c r="J783" s="120"/>
      <c r="O783" s="120"/>
      <c r="P783" s="120"/>
    </row>
    <row r="784">
      <c r="C784" s="165"/>
      <c r="J784" s="120"/>
      <c r="O784" s="120"/>
      <c r="P784" s="120"/>
    </row>
    <row r="785">
      <c r="C785" s="165"/>
      <c r="J785" s="120"/>
      <c r="O785" s="120"/>
      <c r="P785" s="120"/>
    </row>
    <row r="786">
      <c r="C786" s="165"/>
      <c r="J786" s="120"/>
      <c r="O786" s="120"/>
      <c r="P786" s="120"/>
    </row>
    <row r="787">
      <c r="C787" s="165"/>
      <c r="J787" s="120"/>
      <c r="O787" s="120"/>
      <c r="P787" s="120"/>
    </row>
    <row r="788">
      <c r="C788" s="165"/>
      <c r="J788" s="120"/>
      <c r="O788" s="120"/>
      <c r="P788" s="120"/>
    </row>
    <row r="789">
      <c r="C789" s="165"/>
      <c r="J789" s="120"/>
      <c r="O789" s="120"/>
      <c r="P789" s="120"/>
    </row>
    <row r="790">
      <c r="C790" s="165"/>
      <c r="J790" s="120"/>
      <c r="O790" s="120"/>
      <c r="P790" s="120"/>
    </row>
    <row r="791">
      <c r="C791" s="165"/>
      <c r="J791" s="120"/>
      <c r="O791" s="120"/>
      <c r="P791" s="120"/>
    </row>
    <row r="792">
      <c r="C792" s="165"/>
      <c r="J792" s="120"/>
      <c r="O792" s="120"/>
      <c r="P792" s="120"/>
    </row>
    <row r="793">
      <c r="C793" s="165"/>
      <c r="J793" s="120"/>
      <c r="O793" s="120"/>
      <c r="P793" s="120"/>
    </row>
    <row r="794">
      <c r="C794" s="165"/>
      <c r="J794" s="120"/>
      <c r="O794" s="120"/>
      <c r="P794" s="120"/>
    </row>
    <row r="795">
      <c r="C795" s="165"/>
      <c r="J795" s="120"/>
      <c r="O795" s="120"/>
      <c r="P795" s="120"/>
    </row>
    <row r="796">
      <c r="C796" s="165"/>
      <c r="J796" s="120"/>
      <c r="O796" s="120"/>
      <c r="P796" s="120"/>
    </row>
    <row r="797">
      <c r="C797" s="165"/>
      <c r="J797" s="120"/>
      <c r="O797" s="120"/>
      <c r="P797" s="120"/>
    </row>
    <row r="798">
      <c r="C798" s="165"/>
      <c r="J798" s="120"/>
      <c r="O798" s="120"/>
      <c r="P798" s="120"/>
    </row>
    <row r="799">
      <c r="C799" s="165"/>
      <c r="J799" s="120"/>
      <c r="O799" s="120"/>
      <c r="P799" s="120"/>
    </row>
    <row r="800">
      <c r="C800" s="165"/>
      <c r="J800" s="120"/>
      <c r="O800" s="120"/>
      <c r="P800" s="120"/>
    </row>
    <row r="801">
      <c r="C801" s="165"/>
      <c r="J801" s="120"/>
      <c r="O801" s="120"/>
      <c r="P801" s="120"/>
    </row>
    <row r="802">
      <c r="C802" s="165"/>
      <c r="J802" s="120"/>
      <c r="O802" s="120"/>
      <c r="P802" s="120"/>
    </row>
    <row r="803">
      <c r="C803" s="165"/>
      <c r="J803" s="120"/>
      <c r="O803" s="120"/>
      <c r="P803" s="120"/>
    </row>
    <row r="804">
      <c r="C804" s="165"/>
      <c r="J804" s="120"/>
      <c r="O804" s="120"/>
      <c r="P804" s="120"/>
    </row>
    <row r="805">
      <c r="C805" s="165"/>
      <c r="J805" s="120"/>
      <c r="O805" s="120"/>
      <c r="P805" s="120"/>
    </row>
    <row r="806">
      <c r="C806" s="165"/>
      <c r="J806" s="120"/>
      <c r="O806" s="120"/>
      <c r="P806" s="120"/>
    </row>
    <row r="807">
      <c r="C807" s="165"/>
      <c r="J807" s="120"/>
      <c r="O807" s="120"/>
      <c r="P807" s="120"/>
    </row>
    <row r="808">
      <c r="C808" s="165"/>
      <c r="J808" s="120"/>
      <c r="O808" s="120"/>
      <c r="P808" s="120"/>
    </row>
    <row r="809">
      <c r="C809" s="165"/>
      <c r="J809" s="120"/>
      <c r="O809" s="120"/>
      <c r="P809" s="120"/>
    </row>
    <row r="810">
      <c r="C810" s="165"/>
      <c r="J810" s="120"/>
      <c r="O810" s="120"/>
      <c r="P810" s="120"/>
    </row>
    <row r="811">
      <c r="C811" s="165"/>
      <c r="J811" s="120"/>
      <c r="O811" s="120"/>
      <c r="P811" s="120"/>
    </row>
    <row r="812">
      <c r="C812" s="165"/>
      <c r="J812" s="120"/>
      <c r="O812" s="120"/>
      <c r="P812" s="120"/>
    </row>
    <row r="813">
      <c r="C813" s="165"/>
      <c r="J813" s="120"/>
      <c r="O813" s="120"/>
      <c r="P813" s="120"/>
    </row>
    <row r="814">
      <c r="C814" s="165"/>
      <c r="J814" s="120"/>
      <c r="O814" s="120"/>
      <c r="P814" s="120"/>
    </row>
    <row r="815">
      <c r="C815" s="165"/>
      <c r="J815" s="120"/>
      <c r="O815" s="120"/>
      <c r="P815" s="120"/>
    </row>
    <row r="816">
      <c r="C816" s="165"/>
      <c r="J816" s="120"/>
      <c r="O816" s="120"/>
      <c r="P816" s="120"/>
    </row>
    <row r="817">
      <c r="C817" s="165"/>
      <c r="J817" s="120"/>
      <c r="O817" s="120"/>
      <c r="P817" s="120"/>
    </row>
    <row r="818">
      <c r="C818" s="165"/>
      <c r="J818" s="120"/>
      <c r="O818" s="120"/>
      <c r="P818" s="120"/>
    </row>
    <row r="819">
      <c r="C819" s="165"/>
      <c r="J819" s="120"/>
      <c r="O819" s="120"/>
      <c r="P819" s="120"/>
    </row>
    <row r="820">
      <c r="C820" s="165"/>
      <c r="J820" s="120"/>
      <c r="O820" s="120"/>
      <c r="P820" s="120"/>
    </row>
    <row r="821">
      <c r="C821" s="165"/>
      <c r="J821" s="120"/>
      <c r="O821" s="120"/>
      <c r="P821" s="120"/>
    </row>
    <row r="822">
      <c r="C822" s="165"/>
      <c r="J822" s="120"/>
      <c r="O822" s="120"/>
      <c r="P822" s="120"/>
    </row>
    <row r="823">
      <c r="C823" s="165"/>
      <c r="J823" s="120"/>
      <c r="O823" s="120"/>
      <c r="P823" s="120"/>
    </row>
    <row r="824">
      <c r="C824" s="165"/>
      <c r="J824" s="120"/>
      <c r="O824" s="120"/>
      <c r="P824" s="120"/>
    </row>
    <row r="825">
      <c r="C825" s="165"/>
      <c r="J825" s="120"/>
      <c r="O825" s="120"/>
      <c r="P825" s="120"/>
    </row>
    <row r="826">
      <c r="C826" s="165"/>
      <c r="J826" s="120"/>
      <c r="O826" s="120"/>
      <c r="P826" s="120"/>
    </row>
    <row r="827">
      <c r="C827" s="165"/>
      <c r="J827" s="120"/>
      <c r="O827" s="120"/>
      <c r="P827" s="120"/>
    </row>
    <row r="828">
      <c r="C828" s="165"/>
      <c r="J828" s="120"/>
      <c r="O828" s="120"/>
      <c r="P828" s="120"/>
    </row>
    <row r="829">
      <c r="C829" s="165"/>
      <c r="J829" s="120"/>
      <c r="O829" s="120"/>
      <c r="P829" s="120"/>
    </row>
    <row r="830">
      <c r="C830" s="165"/>
      <c r="J830" s="120"/>
      <c r="O830" s="120"/>
      <c r="P830" s="120"/>
    </row>
    <row r="831">
      <c r="C831" s="165"/>
      <c r="J831" s="120"/>
      <c r="O831" s="120"/>
      <c r="P831" s="120"/>
    </row>
    <row r="832">
      <c r="C832" s="165"/>
      <c r="J832" s="120"/>
      <c r="O832" s="120"/>
      <c r="P832" s="120"/>
    </row>
    <row r="833">
      <c r="C833" s="165"/>
      <c r="J833" s="120"/>
      <c r="O833" s="120"/>
      <c r="P833" s="120"/>
    </row>
    <row r="834">
      <c r="C834" s="165"/>
      <c r="J834" s="120"/>
      <c r="O834" s="120"/>
      <c r="P834" s="120"/>
    </row>
    <row r="835">
      <c r="C835" s="165"/>
      <c r="J835" s="120"/>
      <c r="O835" s="120"/>
      <c r="P835" s="120"/>
    </row>
    <row r="836">
      <c r="C836" s="165"/>
      <c r="J836" s="120"/>
      <c r="O836" s="120"/>
      <c r="P836" s="120"/>
    </row>
    <row r="837">
      <c r="C837" s="165"/>
      <c r="J837" s="120"/>
      <c r="O837" s="120"/>
      <c r="P837" s="120"/>
    </row>
    <row r="838">
      <c r="C838" s="165"/>
      <c r="J838" s="120"/>
      <c r="O838" s="120"/>
      <c r="P838" s="120"/>
    </row>
    <row r="839">
      <c r="C839" s="165"/>
      <c r="J839" s="120"/>
      <c r="O839" s="120"/>
      <c r="P839" s="120"/>
    </row>
    <row r="840">
      <c r="C840" s="165"/>
      <c r="J840" s="120"/>
      <c r="O840" s="120"/>
      <c r="P840" s="120"/>
    </row>
    <row r="841">
      <c r="C841" s="165"/>
      <c r="J841" s="120"/>
      <c r="O841" s="120"/>
      <c r="P841" s="120"/>
    </row>
    <row r="842">
      <c r="C842" s="165"/>
      <c r="J842" s="120"/>
      <c r="O842" s="120"/>
      <c r="P842" s="120"/>
    </row>
    <row r="843">
      <c r="C843" s="165"/>
      <c r="J843" s="120"/>
      <c r="O843" s="120"/>
      <c r="P843" s="120"/>
    </row>
    <row r="844">
      <c r="C844" s="165"/>
      <c r="J844" s="120"/>
      <c r="O844" s="120"/>
      <c r="P844" s="120"/>
    </row>
    <row r="845">
      <c r="C845" s="165"/>
      <c r="J845" s="120"/>
      <c r="O845" s="120"/>
      <c r="P845" s="120"/>
    </row>
    <row r="846">
      <c r="C846" s="165"/>
      <c r="J846" s="120"/>
      <c r="O846" s="120"/>
      <c r="P846" s="120"/>
    </row>
    <row r="847">
      <c r="C847" s="165"/>
      <c r="J847" s="120"/>
      <c r="O847" s="120"/>
      <c r="P847" s="120"/>
    </row>
    <row r="848">
      <c r="C848" s="165"/>
      <c r="J848" s="120"/>
      <c r="O848" s="120"/>
      <c r="P848" s="120"/>
    </row>
    <row r="849">
      <c r="C849" s="165"/>
      <c r="J849" s="120"/>
      <c r="O849" s="120"/>
      <c r="P849" s="120"/>
    </row>
    <row r="850">
      <c r="C850" s="165"/>
      <c r="J850" s="120"/>
      <c r="O850" s="120"/>
      <c r="P850" s="120"/>
    </row>
    <row r="851">
      <c r="C851" s="165"/>
      <c r="J851" s="120"/>
      <c r="O851" s="120"/>
      <c r="P851" s="120"/>
    </row>
    <row r="852">
      <c r="C852" s="165"/>
      <c r="J852" s="120"/>
      <c r="O852" s="120"/>
      <c r="P852" s="120"/>
    </row>
    <row r="853">
      <c r="C853" s="165"/>
      <c r="J853" s="120"/>
      <c r="O853" s="120"/>
      <c r="P853" s="120"/>
    </row>
    <row r="854">
      <c r="C854" s="165"/>
      <c r="J854" s="120"/>
      <c r="O854" s="120"/>
      <c r="P854" s="120"/>
    </row>
    <row r="855">
      <c r="C855" s="165"/>
      <c r="J855" s="120"/>
      <c r="O855" s="120"/>
      <c r="P855" s="120"/>
    </row>
    <row r="856">
      <c r="C856" s="165"/>
      <c r="J856" s="120"/>
      <c r="O856" s="120"/>
      <c r="P856" s="120"/>
    </row>
    <row r="857">
      <c r="C857" s="165"/>
      <c r="J857" s="120"/>
      <c r="O857" s="120"/>
      <c r="P857" s="120"/>
    </row>
    <row r="858">
      <c r="C858" s="165"/>
      <c r="J858" s="120"/>
      <c r="O858" s="120"/>
      <c r="P858" s="120"/>
    </row>
    <row r="859">
      <c r="C859" s="165"/>
      <c r="J859" s="120"/>
      <c r="O859" s="120"/>
      <c r="P859" s="120"/>
    </row>
    <row r="860">
      <c r="C860" s="165"/>
      <c r="J860" s="120"/>
      <c r="O860" s="120"/>
      <c r="P860" s="120"/>
    </row>
    <row r="861">
      <c r="C861" s="165"/>
      <c r="J861" s="120"/>
      <c r="O861" s="120"/>
      <c r="P861" s="120"/>
    </row>
    <row r="862">
      <c r="C862" s="165"/>
      <c r="J862" s="120"/>
      <c r="O862" s="120"/>
      <c r="P862" s="120"/>
    </row>
    <row r="863">
      <c r="C863" s="165"/>
      <c r="J863" s="120"/>
      <c r="O863" s="120"/>
      <c r="P863" s="120"/>
    </row>
    <row r="864">
      <c r="C864" s="165"/>
      <c r="J864" s="120"/>
      <c r="O864" s="120"/>
      <c r="P864" s="120"/>
    </row>
    <row r="865">
      <c r="C865" s="165"/>
      <c r="J865" s="120"/>
      <c r="O865" s="120"/>
      <c r="P865" s="120"/>
    </row>
    <row r="866">
      <c r="C866" s="165"/>
      <c r="J866" s="120"/>
      <c r="O866" s="120"/>
      <c r="P866" s="120"/>
    </row>
    <row r="867">
      <c r="C867" s="165"/>
      <c r="J867" s="120"/>
      <c r="O867" s="120"/>
      <c r="P867" s="120"/>
    </row>
    <row r="868">
      <c r="C868" s="165"/>
      <c r="J868" s="120"/>
      <c r="O868" s="120"/>
      <c r="P868" s="120"/>
    </row>
    <row r="869">
      <c r="C869" s="165"/>
      <c r="J869" s="120"/>
      <c r="O869" s="120"/>
      <c r="P869" s="120"/>
    </row>
    <row r="870">
      <c r="C870" s="165"/>
      <c r="J870" s="120"/>
      <c r="O870" s="120"/>
      <c r="P870" s="120"/>
    </row>
    <row r="871">
      <c r="C871" s="165"/>
      <c r="J871" s="120"/>
      <c r="O871" s="120"/>
      <c r="P871" s="120"/>
    </row>
    <row r="872">
      <c r="C872" s="165"/>
      <c r="J872" s="120"/>
      <c r="O872" s="120"/>
      <c r="P872" s="120"/>
    </row>
    <row r="873">
      <c r="C873" s="165"/>
      <c r="J873" s="120"/>
      <c r="O873" s="120"/>
      <c r="P873" s="120"/>
    </row>
    <row r="874">
      <c r="C874" s="165"/>
      <c r="J874" s="120"/>
      <c r="O874" s="120"/>
      <c r="P874" s="120"/>
    </row>
    <row r="875">
      <c r="C875" s="165"/>
      <c r="J875" s="120"/>
      <c r="O875" s="120"/>
      <c r="P875" s="120"/>
    </row>
    <row r="876">
      <c r="C876" s="165"/>
      <c r="J876" s="120"/>
      <c r="O876" s="120"/>
      <c r="P876" s="120"/>
    </row>
    <row r="877">
      <c r="C877" s="165"/>
      <c r="J877" s="120"/>
      <c r="O877" s="120"/>
      <c r="P877" s="120"/>
    </row>
    <row r="878">
      <c r="C878" s="165"/>
      <c r="J878" s="120"/>
      <c r="O878" s="120"/>
      <c r="P878" s="120"/>
    </row>
    <row r="879">
      <c r="C879" s="165"/>
      <c r="J879" s="120"/>
      <c r="O879" s="120"/>
      <c r="P879" s="120"/>
    </row>
    <row r="880">
      <c r="C880" s="165"/>
      <c r="J880" s="120"/>
      <c r="O880" s="120"/>
      <c r="P880" s="120"/>
    </row>
    <row r="881">
      <c r="C881" s="165"/>
      <c r="J881" s="120"/>
      <c r="O881" s="120"/>
      <c r="P881" s="120"/>
    </row>
    <row r="882">
      <c r="C882" s="165"/>
      <c r="J882" s="120"/>
      <c r="O882" s="120"/>
      <c r="P882" s="120"/>
    </row>
    <row r="883">
      <c r="C883" s="165"/>
      <c r="J883" s="120"/>
      <c r="O883" s="120"/>
      <c r="P883" s="120"/>
    </row>
    <row r="884">
      <c r="C884" s="165"/>
      <c r="J884" s="120"/>
      <c r="O884" s="120"/>
      <c r="P884" s="120"/>
    </row>
    <row r="885">
      <c r="C885" s="165"/>
      <c r="J885" s="120"/>
      <c r="O885" s="120"/>
      <c r="P885" s="120"/>
    </row>
    <row r="886">
      <c r="C886" s="165"/>
      <c r="J886" s="120"/>
      <c r="O886" s="120"/>
      <c r="P886" s="120"/>
    </row>
    <row r="887">
      <c r="C887" s="165"/>
      <c r="J887" s="120"/>
      <c r="O887" s="120"/>
      <c r="P887" s="120"/>
    </row>
    <row r="888">
      <c r="C888" s="165"/>
      <c r="J888" s="120"/>
      <c r="O888" s="120"/>
      <c r="P888" s="120"/>
    </row>
    <row r="889">
      <c r="C889" s="165"/>
      <c r="J889" s="120"/>
      <c r="O889" s="120"/>
      <c r="P889" s="120"/>
    </row>
    <row r="890">
      <c r="C890" s="165"/>
      <c r="J890" s="120"/>
      <c r="O890" s="120"/>
      <c r="P890" s="120"/>
    </row>
    <row r="891">
      <c r="C891" s="165"/>
      <c r="J891" s="120"/>
      <c r="O891" s="120"/>
      <c r="P891" s="120"/>
    </row>
    <row r="892">
      <c r="C892" s="165"/>
      <c r="J892" s="120"/>
      <c r="O892" s="120"/>
      <c r="P892" s="120"/>
    </row>
    <row r="893">
      <c r="C893" s="165"/>
      <c r="J893" s="120"/>
      <c r="O893" s="120"/>
      <c r="P893" s="120"/>
    </row>
    <row r="894">
      <c r="C894" s="165"/>
      <c r="J894" s="120"/>
      <c r="O894" s="120"/>
      <c r="P894" s="120"/>
    </row>
    <row r="895">
      <c r="C895" s="165"/>
      <c r="J895" s="120"/>
      <c r="O895" s="120"/>
      <c r="P895" s="120"/>
    </row>
    <row r="896">
      <c r="C896" s="165"/>
      <c r="J896" s="120"/>
      <c r="O896" s="120"/>
      <c r="P896" s="120"/>
    </row>
    <row r="897">
      <c r="C897" s="165"/>
      <c r="J897" s="120"/>
      <c r="O897" s="120"/>
      <c r="P897" s="120"/>
    </row>
    <row r="898">
      <c r="C898" s="165"/>
      <c r="J898" s="120"/>
      <c r="O898" s="120"/>
      <c r="P898" s="120"/>
    </row>
    <row r="899">
      <c r="C899" s="165"/>
      <c r="J899" s="120"/>
      <c r="O899" s="120"/>
      <c r="P899" s="120"/>
    </row>
    <row r="900">
      <c r="C900" s="165"/>
      <c r="J900" s="120"/>
      <c r="O900" s="120"/>
      <c r="P900" s="120"/>
    </row>
    <row r="901">
      <c r="C901" s="165"/>
      <c r="J901" s="120"/>
      <c r="O901" s="120"/>
      <c r="P901" s="120"/>
    </row>
    <row r="902">
      <c r="C902" s="165"/>
      <c r="J902" s="120"/>
      <c r="O902" s="120"/>
      <c r="P902" s="120"/>
    </row>
    <row r="903">
      <c r="C903" s="165"/>
      <c r="J903" s="120"/>
      <c r="O903" s="120"/>
      <c r="P903" s="120"/>
    </row>
    <row r="904">
      <c r="C904" s="165"/>
      <c r="J904" s="120"/>
      <c r="O904" s="120"/>
      <c r="P904" s="120"/>
    </row>
    <row r="905">
      <c r="C905" s="165"/>
      <c r="J905" s="120"/>
      <c r="O905" s="120"/>
      <c r="P905" s="120"/>
    </row>
    <row r="906">
      <c r="C906" s="165"/>
      <c r="J906" s="120"/>
      <c r="O906" s="120"/>
      <c r="P906" s="120"/>
    </row>
    <row r="907">
      <c r="C907" s="165"/>
      <c r="J907" s="120"/>
      <c r="O907" s="120"/>
      <c r="P907" s="120"/>
    </row>
    <row r="908">
      <c r="C908" s="165"/>
      <c r="J908" s="120"/>
      <c r="O908" s="120"/>
      <c r="P908" s="120"/>
    </row>
    <row r="909">
      <c r="C909" s="165"/>
      <c r="J909" s="120"/>
      <c r="O909" s="120"/>
      <c r="P909" s="120"/>
    </row>
    <row r="910">
      <c r="C910" s="165"/>
      <c r="J910" s="120"/>
      <c r="O910" s="120"/>
      <c r="P910" s="120"/>
    </row>
    <row r="911">
      <c r="C911" s="165"/>
      <c r="J911" s="120"/>
      <c r="O911" s="120"/>
      <c r="P911" s="120"/>
    </row>
    <row r="912">
      <c r="C912" s="165"/>
      <c r="J912" s="120"/>
      <c r="O912" s="120"/>
      <c r="P912" s="120"/>
    </row>
    <row r="913">
      <c r="C913" s="165"/>
      <c r="J913" s="120"/>
      <c r="O913" s="120"/>
      <c r="P913" s="120"/>
    </row>
    <row r="914">
      <c r="C914" s="165"/>
      <c r="J914" s="120"/>
      <c r="O914" s="120"/>
      <c r="P914" s="120"/>
    </row>
    <row r="915">
      <c r="C915" s="165"/>
      <c r="J915" s="120"/>
      <c r="O915" s="120"/>
      <c r="P915" s="120"/>
    </row>
    <row r="916">
      <c r="C916" s="165"/>
      <c r="J916" s="120"/>
      <c r="O916" s="120"/>
      <c r="P916" s="120"/>
    </row>
    <row r="917">
      <c r="C917" s="165"/>
      <c r="J917" s="120"/>
      <c r="O917" s="120"/>
      <c r="P917" s="120"/>
    </row>
    <row r="918">
      <c r="C918" s="165"/>
      <c r="J918" s="120"/>
      <c r="O918" s="120"/>
      <c r="P918" s="120"/>
    </row>
    <row r="919">
      <c r="C919" s="165"/>
      <c r="J919" s="120"/>
      <c r="O919" s="120"/>
      <c r="P919" s="120"/>
    </row>
    <row r="920">
      <c r="C920" s="165"/>
      <c r="J920" s="120"/>
      <c r="O920" s="120"/>
      <c r="P920" s="120"/>
    </row>
    <row r="921">
      <c r="C921" s="165"/>
      <c r="J921" s="120"/>
      <c r="O921" s="120"/>
      <c r="P921" s="120"/>
    </row>
    <row r="922">
      <c r="C922" s="165"/>
      <c r="J922" s="120"/>
      <c r="O922" s="120"/>
      <c r="P922" s="120"/>
    </row>
    <row r="923">
      <c r="C923" s="165"/>
      <c r="J923" s="120"/>
      <c r="O923" s="120"/>
      <c r="P923" s="120"/>
    </row>
    <row r="924">
      <c r="C924" s="165"/>
      <c r="J924" s="120"/>
      <c r="O924" s="120"/>
      <c r="P924" s="120"/>
    </row>
    <row r="925">
      <c r="C925" s="165"/>
      <c r="J925" s="120"/>
      <c r="O925" s="120"/>
      <c r="P925" s="120"/>
    </row>
    <row r="926">
      <c r="C926" s="165"/>
      <c r="J926" s="120"/>
      <c r="O926" s="120"/>
      <c r="P926" s="120"/>
    </row>
    <row r="927">
      <c r="C927" s="165"/>
      <c r="J927" s="120"/>
      <c r="O927" s="120"/>
      <c r="P927" s="120"/>
    </row>
    <row r="928">
      <c r="C928" s="165"/>
      <c r="J928" s="120"/>
      <c r="O928" s="120"/>
      <c r="P928" s="120"/>
    </row>
    <row r="929">
      <c r="C929" s="165"/>
      <c r="J929" s="120"/>
      <c r="O929" s="120"/>
      <c r="P929" s="120"/>
    </row>
    <row r="930">
      <c r="C930" s="165"/>
      <c r="J930" s="120"/>
      <c r="O930" s="120"/>
      <c r="P930" s="120"/>
    </row>
    <row r="931">
      <c r="C931" s="165"/>
      <c r="J931" s="120"/>
      <c r="O931" s="120"/>
      <c r="P931" s="120"/>
    </row>
    <row r="932">
      <c r="C932" s="165"/>
      <c r="J932" s="120"/>
      <c r="O932" s="120"/>
      <c r="P932" s="120"/>
    </row>
    <row r="933">
      <c r="C933" s="165"/>
      <c r="J933" s="120"/>
      <c r="O933" s="120"/>
      <c r="P933" s="120"/>
    </row>
    <row r="934">
      <c r="C934" s="165"/>
      <c r="J934" s="120"/>
      <c r="O934" s="120"/>
      <c r="P934" s="120"/>
    </row>
    <row r="935">
      <c r="C935" s="165"/>
      <c r="J935" s="120"/>
      <c r="O935" s="120"/>
      <c r="P935" s="120"/>
    </row>
    <row r="936">
      <c r="C936" s="165"/>
      <c r="J936" s="120"/>
      <c r="O936" s="120"/>
      <c r="P936" s="120"/>
    </row>
    <row r="937">
      <c r="C937" s="165"/>
      <c r="J937" s="120"/>
      <c r="O937" s="120"/>
      <c r="P937" s="120"/>
    </row>
    <row r="938">
      <c r="C938" s="165"/>
      <c r="J938" s="120"/>
      <c r="O938" s="120"/>
      <c r="P938" s="120"/>
    </row>
    <row r="939">
      <c r="C939" s="165"/>
      <c r="J939" s="120"/>
      <c r="O939" s="120"/>
      <c r="P939" s="120"/>
    </row>
    <row r="940">
      <c r="C940" s="165"/>
      <c r="J940" s="120"/>
      <c r="O940" s="120"/>
      <c r="P940" s="120"/>
    </row>
    <row r="941">
      <c r="C941" s="165"/>
      <c r="J941" s="120"/>
      <c r="O941" s="120"/>
      <c r="P941" s="120"/>
    </row>
    <row r="942">
      <c r="C942" s="165"/>
      <c r="J942" s="120"/>
      <c r="O942" s="120"/>
      <c r="P942" s="120"/>
    </row>
    <row r="943">
      <c r="C943" s="165"/>
      <c r="J943" s="120"/>
      <c r="O943" s="120"/>
      <c r="P943" s="120"/>
    </row>
    <row r="944">
      <c r="C944" s="165"/>
      <c r="J944" s="120"/>
      <c r="O944" s="120"/>
      <c r="P944" s="120"/>
    </row>
    <row r="945">
      <c r="C945" s="165"/>
      <c r="J945" s="120"/>
      <c r="O945" s="120"/>
      <c r="P945" s="120"/>
    </row>
    <row r="946">
      <c r="C946" s="165"/>
      <c r="J946" s="120"/>
      <c r="O946" s="120"/>
      <c r="P946" s="120"/>
    </row>
    <row r="947">
      <c r="C947" s="165"/>
      <c r="J947" s="120"/>
      <c r="O947" s="120"/>
      <c r="P947" s="120"/>
    </row>
    <row r="948">
      <c r="C948" s="165"/>
      <c r="J948" s="120"/>
      <c r="O948" s="120"/>
      <c r="P948" s="120"/>
    </row>
    <row r="949">
      <c r="C949" s="165"/>
      <c r="J949" s="120"/>
      <c r="O949" s="120"/>
      <c r="P949" s="120"/>
    </row>
    <row r="950">
      <c r="C950" s="165"/>
      <c r="J950" s="120"/>
      <c r="O950" s="120"/>
      <c r="P950" s="120"/>
    </row>
    <row r="951">
      <c r="C951" s="165"/>
      <c r="J951" s="120"/>
      <c r="O951" s="120"/>
      <c r="P951" s="120"/>
    </row>
    <row r="952">
      <c r="C952" s="165"/>
      <c r="J952" s="120"/>
      <c r="O952" s="120"/>
      <c r="P952" s="120"/>
    </row>
    <row r="953">
      <c r="C953" s="165"/>
      <c r="J953" s="120"/>
      <c r="O953" s="120"/>
      <c r="P953" s="120"/>
    </row>
    <row r="954">
      <c r="C954" s="165"/>
      <c r="J954" s="120"/>
      <c r="O954" s="120"/>
      <c r="P954" s="120"/>
    </row>
    <row r="955">
      <c r="C955" s="165"/>
      <c r="J955" s="120"/>
      <c r="O955" s="120"/>
      <c r="P955" s="120"/>
    </row>
    <row r="956">
      <c r="C956" s="165"/>
      <c r="J956" s="120"/>
      <c r="O956" s="120"/>
      <c r="P956" s="120"/>
    </row>
    <row r="957">
      <c r="C957" s="165"/>
      <c r="J957" s="120"/>
      <c r="O957" s="120"/>
      <c r="P957" s="120"/>
    </row>
    <row r="958">
      <c r="C958" s="165"/>
      <c r="J958" s="120"/>
      <c r="O958" s="120"/>
      <c r="P958" s="120"/>
    </row>
    <row r="959">
      <c r="C959" s="165"/>
      <c r="J959" s="120"/>
      <c r="O959" s="120"/>
      <c r="P959" s="120"/>
    </row>
    <row r="960">
      <c r="C960" s="165"/>
      <c r="J960" s="120"/>
      <c r="O960" s="120"/>
      <c r="P960" s="120"/>
    </row>
    <row r="961">
      <c r="C961" s="165"/>
      <c r="J961" s="120"/>
      <c r="O961" s="120"/>
      <c r="P961" s="120"/>
    </row>
    <row r="962">
      <c r="C962" s="165"/>
      <c r="J962" s="120"/>
      <c r="O962" s="120"/>
      <c r="P962" s="120"/>
    </row>
    <row r="963">
      <c r="C963" s="165"/>
      <c r="J963" s="120"/>
      <c r="O963" s="120"/>
      <c r="P963" s="120"/>
    </row>
    <row r="964">
      <c r="C964" s="165"/>
      <c r="J964" s="120"/>
      <c r="O964" s="120"/>
      <c r="P964" s="120"/>
    </row>
    <row r="965">
      <c r="C965" s="165"/>
      <c r="J965" s="120"/>
      <c r="O965" s="120"/>
      <c r="P965" s="120"/>
    </row>
    <row r="966">
      <c r="C966" s="165"/>
      <c r="J966" s="120"/>
      <c r="O966" s="120"/>
      <c r="P966" s="120"/>
    </row>
    <row r="967">
      <c r="C967" s="165"/>
      <c r="J967" s="120"/>
      <c r="O967" s="120"/>
      <c r="P967" s="120"/>
    </row>
    <row r="968">
      <c r="C968" s="165"/>
      <c r="J968" s="120"/>
      <c r="O968" s="120"/>
      <c r="P968" s="120"/>
    </row>
    <row r="969">
      <c r="C969" s="165"/>
      <c r="J969" s="120"/>
      <c r="O969" s="120"/>
      <c r="P969" s="120"/>
    </row>
    <row r="970">
      <c r="C970" s="165"/>
      <c r="J970" s="120"/>
      <c r="O970" s="120"/>
      <c r="P970" s="120"/>
    </row>
    <row r="971">
      <c r="C971" s="165"/>
      <c r="J971" s="120"/>
      <c r="O971" s="120"/>
      <c r="P971" s="120"/>
    </row>
    <row r="972">
      <c r="C972" s="165"/>
      <c r="J972" s="120"/>
      <c r="O972" s="120"/>
      <c r="P972" s="120"/>
    </row>
    <row r="973">
      <c r="C973" s="165"/>
      <c r="J973" s="120"/>
      <c r="O973" s="120"/>
      <c r="P973" s="120"/>
    </row>
    <row r="974">
      <c r="C974" s="165"/>
      <c r="J974" s="120"/>
      <c r="O974" s="120"/>
      <c r="P974" s="120"/>
    </row>
    <row r="975">
      <c r="C975" s="165"/>
      <c r="J975" s="120"/>
      <c r="O975" s="120"/>
      <c r="P975" s="120"/>
    </row>
    <row r="976">
      <c r="C976" s="165"/>
      <c r="J976" s="120"/>
      <c r="O976" s="120"/>
      <c r="P976" s="120"/>
    </row>
    <row r="977">
      <c r="C977" s="165"/>
      <c r="J977" s="120"/>
      <c r="O977" s="120"/>
      <c r="P977" s="120"/>
    </row>
    <row r="978">
      <c r="C978" s="165"/>
      <c r="J978" s="120"/>
      <c r="O978" s="120"/>
      <c r="P978" s="120"/>
    </row>
    <row r="979">
      <c r="C979" s="165"/>
      <c r="J979" s="120"/>
      <c r="O979" s="120"/>
      <c r="P979" s="120"/>
    </row>
    <row r="980">
      <c r="C980" s="165"/>
      <c r="J980" s="120"/>
      <c r="O980" s="120"/>
      <c r="P980" s="120"/>
    </row>
    <row r="981">
      <c r="C981" s="165"/>
      <c r="J981" s="120"/>
      <c r="O981" s="120"/>
      <c r="P981" s="120"/>
    </row>
    <row r="982">
      <c r="C982" s="165"/>
      <c r="J982" s="120"/>
      <c r="O982" s="120"/>
      <c r="P982" s="120"/>
    </row>
    <row r="983">
      <c r="C983" s="165"/>
      <c r="J983" s="120"/>
      <c r="O983" s="120"/>
      <c r="P983" s="120"/>
    </row>
    <row r="984">
      <c r="C984" s="165"/>
      <c r="J984" s="120"/>
      <c r="O984" s="120"/>
      <c r="P984" s="120"/>
    </row>
    <row r="985">
      <c r="C985" s="165"/>
      <c r="J985" s="120"/>
      <c r="O985" s="120"/>
      <c r="P985" s="120"/>
    </row>
    <row r="986">
      <c r="C986" s="165"/>
      <c r="J986" s="120"/>
      <c r="O986" s="120"/>
      <c r="P986" s="120"/>
    </row>
    <row r="987">
      <c r="C987" s="165"/>
      <c r="J987" s="120"/>
      <c r="O987" s="120"/>
      <c r="P987" s="120"/>
    </row>
    <row r="988">
      <c r="C988" s="165"/>
      <c r="J988" s="120"/>
      <c r="O988" s="120"/>
      <c r="P988" s="120"/>
    </row>
    <row r="989">
      <c r="C989" s="165"/>
      <c r="J989" s="120"/>
      <c r="O989" s="120"/>
      <c r="P989" s="120"/>
    </row>
    <row r="990">
      <c r="C990" s="165"/>
      <c r="J990" s="120"/>
      <c r="O990" s="120"/>
      <c r="P990" s="120"/>
    </row>
    <row r="991">
      <c r="C991" s="165"/>
      <c r="J991" s="120"/>
      <c r="O991" s="120"/>
      <c r="P991" s="120"/>
    </row>
    <row r="992">
      <c r="C992" s="165"/>
      <c r="J992" s="120"/>
      <c r="O992" s="120"/>
      <c r="P992" s="120"/>
    </row>
    <row r="993">
      <c r="C993" s="165"/>
      <c r="J993" s="120"/>
      <c r="O993" s="120"/>
      <c r="P993" s="120"/>
    </row>
    <row r="994">
      <c r="C994" s="165"/>
      <c r="J994" s="120"/>
      <c r="O994" s="120"/>
      <c r="P994" s="120"/>
    </row>
    <row r="995">
      <c r="C995" s="165"/>
      <c r="J995" s="120"/>
      <c r="O995" s="120"/>
      <c r="P995" s="120"/>
    </row>
    <row r="996">
      <c r="C996" s="165"/>
      <c r="J996" s="120"/>
      <c r="O996" s="120"/>
      <c r="P996" s="120"/>
    </row>
    <row r="997">
      <c r="C997" s="165"/>
      <c r="J997" s="120"/>
      <c r="O997" s="120"/>
      <c r="P997" s="120"/>
    </row>
    <row r="998">
      <c r="C998" s="165"/>
      <c r="J998" s="120"/>
      <c r="O998" s="120"/>
      <c r="P998" s="120"/>
    </row>
    <row r="999">
      <c r="C999" s="165"/>
      <c r="J999" s="120"/>
      <c r="O999" s="120"/>
      <c r="P999" s="120"/>
    </row>
    <row r="1000">
      <c r="C1000" s="165"/>
      <c r="J1000" s="120"/>
      <c r="O1000" s="120"/>
      <c r="P1000" s="120"/>
    </row>
    <row r="1001">
      <c r="C1001" s="165"/>
      <c r="J1001" s="120"/>
      <c r="O1001" s="120"/>
      <c r="P1001" s="120"/>
    </row>
    <row r="1002">
      <c r="C1002" s="165"/>
      <c r="J1002" s="120"/>
      <c r="O1002" s="120"/>
      <c r="P1002" s="120"/>
    </row>
  </sheetData>
  <dataValidations>
    <dataValidation type="list" allowBlank="1" showErrorMessage="1" sqref="E3:E104">
      <formula1>"クライアント,代理店,クライアント/代理店,紹介者,クライアント/紹介者"</formula1>
    </dataValidation>
    <dataValidation type="list" allowBlank="1" showErrorMessage="1" sqref="N3:N103 Z3:Z103">
      <formula1>"初回商談フェーズ,書類取得フェーズ,概算提案フェーズ,申請フェーズ,充当通知待ちフェーズ,完了,失注,代理店"</formula1>
    </dataValidation>
    <dataValidation type="list" allowBlank="1" showErrorMessage="1" sqref="D3:D104">
      <formula1>"齋藤,尾崎,鈴木,堂坂,飯塚,宮原,内藤,手塚,堀口,長谷川,JALA,b株式会社,不明,大村,ようてん,岩崎,塩澤,森光,すう"</formula1>
    </dataValidation>
    <dataValidation type="custom" allowBlank="1" showDropDown="1" sqref="B3:B103 AA3:AH103 AJ3:AJ103 AL3:AL103 AN3:AN103 AP3:AP103">
      <formula1>OR(NOT(ISERROR(DATEVALUE(B3))), AND(ISNUMBER(B3), LEFT(CELL("format", B3))="D"))</formula1>
    </dataValidation>
  </dataValidations>
  <hyperlinks>
    <hyperlink r:id="rId1" ref="J4"/>
    <hyperlink r:id="rId2" ref="J5"/>
    <hyperlink r:id="rId3" ref="J6"/>
    <hyperlink r:id="rId4" ref="O6"/>
    <hyperlink r:id="rId5" ref="J7"/>
    <hyperlink r:id="rId6" ref="O7"/>
    <hyperlink r:id="rId7" ref="J8"/>
    <hyperlink r:id="rId8" ref="O8"/>
    <hyperlink r:id="rId9" ref="J9"/>
    <hyperlink r:id="rId10" ref="J10"/>
    <hyperlink r:id="rId11" ref="J11"/>
    <hyperlink r:id="rId12" ref="O11"/>
    <hyperlink r:id="rId13" ref="J12"/>
    <hyperlink r:id="rId14" ref="O12"/>
    <hyperlink r:id="rId15" ref="J13"/>
    <hyperlink r:id="rId16" ref="O13"/>
    <hyperlink r:id="rId17" ref="J14"/>
    <hyperlink r:id="rId18" ref="O14"/>
    <hyperlink r:id="rId19" location="gid=649822253" ref="P14"/>
    <hyperlink r:id="rId20" ref="J15"/>
    <hyperlink r:id="rId21" ref="O15"/>
    <hyperlink r:id="rId22" ref="J16"/>
    <hyperlink r:id="rId23" ref="J17"/>
    <hyperlink r:id="rId24" ref="O17"/>
    <hyperlink r:id="rId25" ref="J18"/>
    <hyperlink r:id="rId26" ref="O18"/>
    <hyperlink r:id="rId27" ref="J19"/>
    <hyperlink r:id="rId28" ref="O19"/>
    <hyperlink r:id="rId29" ref="J20"/>
    <hyperlink r:id="rId30" ref="O20"/>
    <hyperlink r:id="rId31" ref="J21"/>
    <hyperlink r:id="rId32" ref="O21"/>
    <hyperlink r:id="rId33" ref="J22"/>
    <hyperlink r:id="rId34" ref="O22"/>
    <hyperlink r:id="rId35" ref="J23"/>
    <hyperlink r:id="rId36" ref="O23"/>
    <hyperlink r:id="rId37" ref="J24"/>
    <hyperlink r:id="rId38" ref="J25"/>
    <hyperlink r:id="rId39" ref="J26"/>
    <hyperlink r:id="rId40" ref="J27"/>
    <hyperlink r:id="rId41" ref="J28"/>
    <hyperlink r:id="rId42" ref="J29"/>
    <hyperlink r:id="rId43" ref="J30"/>
    <hyperlink r:id="rId44" ref="J31"/>
    <hyperlink r:id="rId45" ref="J32"/>
    <hyperlink r:id="rId46" ref="J33"/>
  </hyperlinks>
  <drawing r:id="rId4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4.43" defaultRowHeight="15.0"/>
  <cols>
    <col customWidth="1" min="1" max="1" width="8.71"/>
    <col customWidth="1" min="5" max="5" width="24.43"/>
    <col customWidth="1" min="6" max="6" width="32.0"/>
    <col customWidth="1" min="9" max="11" width="22.0"/>
    <col customWidth="1" min="14" max="17" width="22.14"/>
    <col customWidth="1" min="18" max="18" width="22.0"/>
    <col customWidth="1" min="27" max="30" width="18.29"/>
  </cols>
  <sheetData>
    <row r="1">
      <c r="A1" s="166" t="s">
        <v>1854</v>
      </c>
      <c r="B1" s="166" t="s">
        <v>1855</v>
      </c>
      <c r="C1" s="166" t="s">
        <v>2047</v>
      </c>
      <c r="D1" s="166" t="s">
        <v>1857</v>
      </c>
      <c r="E1" s="166" t="s">
        <v>1858</v>
      </c>
      <c r="F1" s="166" t="s">
        <v>1785</v>
      </c>
      <c r="G1" s="166" t="s">
        <v>12</v>
      </c>
      <c r="H1" s="166" t="s">
        <v>1864</v>
      </c>
      <c r="I1" s="166" t="s">
        <v>3</v>
      </c>
      <c r="J1" s="129" t="s">
        <v>1867</v>
      </c>
      <c r="K1" s="129" t="s">
        <v>1868</v>
      </c>
      <c r="L1" s="167" t="s">
        <v>1870</v>
      </c>
      <c r="M1" s="167" t="s">
        <v>1871</v>
      </c>
      <c r="N1" s="167" t="s">
        <v>1872</v>
      </c>
      <c r="O1" s="167" t="s">
        <v>1873</v>
      </c>
      <c r="P1" s="167" t="s">
        <v>2048</v>
      </c>
      <c r="Q1" s="167" t="s">
        <v>1875</v>
      </c>
      <c r="R1" s="166" t="s">
        <v>1876</v>
      </c>
      <c r="S1" s="166" t="s">
        <v>1877</v>
      </c>
      <c r="T1" s="166" t="s">
        <v>1878</v>
      </c>
      <c r="U1" s="166" t="s">
        <v>1879</v>
      </c>
      <c r="V1" s="166" t="s">
        <v>1880</v>
      </c>
      <c r="W1" s="166" t="s">
        <v>1881</v>
      </c>
      <c r="X1" s="166" t="s">
        <v>1882</v>
      </c>
      <c r="Y1" s="166" t="s">
        <v>1883</v>
      </c>
      <c r="Z1" s="166" t="s">
        <v>1884</v>
      </c>
      <c r="AA1" s="166" t="s">
        <v>1885</v>
      </c>
      <c r="AB1" s="166" t="s">
        <v>1886</v>
      </c>
      <c r="AC1" s="166" t="s">
        <v>1887</v>
      </c>
      <c r="AD1" s="166" t="s">
        <v>1888</v>
      </c>
      <c r="AE1" s="166" t="s">
        <v>1889</v>
      </c>
      <c r="AF1" s="166" t="s">
        <v>1890</v>
      </c>
      <c r="AG1" s="166" t="s">
        <v>1891</v>
      </c>
      <c r="AH1" s="166" t="s">
        <v>1892</v>
      </c>
    </row>
    <row r="2">
      <c r="A2" s="168">
        <v>1.0</v>
      </c>
      <c r="B2" s="169">
        <v>46064.0</v>
      </c>
      <c r="C2" s="168" t="s">
        <v>2049</v>
      </c>
      <c r="D2" s="136" t="s">
        <v>2050</v>
      </c>
      <c r="E2" s="136" t="s">
        <v>1897</v>
      </c>
      <c r="F2" s="168" t="s">
        <v>2051</v>
      </c>
      <c r="G2" s="168"/>
      <c r="H2" s="168" t="s">
        <v>1913</v>
      </c>
      <c r="I2" s="136" t="s">
        <v>1968</v>
      </c>
      <c r="J2" s="138" t="s">
        <v>2052</v>
      </c>
      <c r="K2" s="138"/>
      <c r="L2" s="170"/>
      <c r="M2" s="170"/>
      <c r="N2" s="170"/>
      <c r="O2" s="170"/>
      <c r="P2" s="170"/>
      <c r="Q2" s="170"/>
      <c r="R2" s="136" t="s">
        <v>1929</v>
      </c>
      <c r="S2" s="169">
        <v>46064.0</v>
      </c>
      <c r="T2" s="169">
        <v>46064.0</v>
      </c>
      <c r="U2" s="169">
        <f t="shared" ref="U2:U101" si="1">T2+30</f>
        <v>46094</v>
      </c>
      <c r="V2" s="171"/>
      <c r="W2" s="172">
        <f t="shared" ref="W2:W101" si="2">U2+60</f>
        <v>46154</v>
      </c>
      <c r="X2" s="171"/>
      <c r="Y2" s="172">
        <f t="shared" ref="Y2:Y101" si="3">W2+60</f>
        <v>46214</v>
      </c>
      <c r="Z2" s="171"/>
      <c r="AA2" s="173">
        <f t="shared" ref="AA2:AA101" si="4">L2*10%</f>
        <v>0</v>
      </c>
      <c r="AB2" s="172">
        <f t="shared" ref="AB2:AB101" si="5">Y2+45</f>
        <v>46259</v>
      </c>
      <c r="AC2" s="171"/>
      <c r="AD2" s="171"/>
      <c r="AE2" s="173">
        <f t="shared" ref="AE2:AE101" si="6">L2*10%</f>
        <v>0</v>
      </c>
      <c r="AF2" s="172">
        <f t="shared" ref="AF2:AF101" si="7">Y2+30</f>
        <v>46244</v>
      </c>
      <c r="AG2" s="171"/>
      <c r="AH2" s="171"/>
    </row>
    <row r="3">
      <c r="A3" s="168">
        <v>2.0</v>
      </c>
      <c r="B3" s="169">
        <v>46069.0</v>
      </c>
      <c r="C3" s="171"/>
      <c r="D3" s="136" t="s">
        <v>1896</v>
      </c>
      <c r="E3" s="136" t="s">
        <v>1897</v>
      </c>
      <c r="F3" s="168" t="s">
        <v>1900</v>
      </c>
      <c r="G3" s="171"/>
      <c r="H3" s="168" t="s">
        <v>1902</v>
      </c>
      <c r="I3" s="136" t="s">
        <v>1903</v>
      </c>
      <c r="J3" s="136">
        <v>107.0</v>
      </c>
      <c r="K3" s="136">
        <f>J3*50%</f>
        <v>53.5</v>
      </c>
      <c r="L3" s="170">
        <v>1.10541008E8</v>
      </c>
      <c r="M3" s="173"/>
      <c r="N3" s="173">
        <f t="shared" ref="N3:N8" si="8">L3*0.2*0.8</f>
        <v>17686561.28</v>
      </c>
      <c r="O3" s="173"/>
      <c r="P3" s="173">
        <f t="shared" ref="P3:P8" si="9">L3*0.1</f>
        <v>11054100.8</v>
      </c>
      <c r="Q3" s="173"/>
      <c r="R3" s="136"/>
      <c r="S3" s="171"/>
      <c r="T3" s="171"/>
      <c r="U3" s="169">
        <f t="shared" si="1"/>
        <v>30</v>
      </c>
      <c r="V3" s="171"/>
      <c r="W3" s="172">
        <f t="shared" si="2"/>
        <v>90</v>
      </c>
      <c r="X3" s="171"/>
      <c r="Y3" s="172">
        <f t="shared" si="3"/>
        <v>150</v>
      </c>
      <c r="Z3" s="171"/>
      <c r="AA3" s="173">
        <f t="shared" si="4"/>
        <v>11054100.8</v>
      </c>
      <c r="AB3" s="172">
        <f t="shared" si="5"/>
        <v>195</v>
      </c>
      <c r="AC3" s="171"/>
      <c r="AD3" s="171"/>
      <c r="AE3" s="173">
        <f t="shared" si="6"/>
        <v>11054100.8</v>
      </c>
      <c r="AF3" s="172">
        <f t="shared" si="7"/>
        <v>180</v>
      </c>
      <c r="AG3" s="171"/>
      <c r="AH3" s="171"/>
    </row>
    <row r="4">
      <c r="A4" s="168">
        <v>3.0</v>
      </c>
      <c r="B4" s="169">
        <v>46069.0</v>
      </c>
      <c r="C4" s="171"/>
      <c r="D4" s="136" t="s">
        <v>1896</v>
      </c>
      <c r="E4" s="136" t="s">
        <v>1897</v>
      </c>
      <c r="F4" s="168" t="s">
        <v>1905</v>
      </c>
      <c r="G4" s="171"/>
      <c r="H4" s="168" t="s">
        <v>1906</v>
      </c>
      <c r="I4" s="136" t="s">
        <v>1903</v>
      </c>
      <c r="J4" s="136">
        <v>354.0</v>
      </c>
      <c r="K4" s="136">
        <f t="shared" ref="K4:K8" si="10">J4*80%</f>
        <v>283.2</v>
      </c>
      <c r="L4" s="170">
        <v>3.53957644E8</v>
      </c>
      <c r="M4" s="173"/>
      <c r="N4" s="173">
        <f t="shared" si="8"/>
        <v>56633223.04</v>
      </c>
      <c r="O4" s="173"/>
      <c r="P4" s="173">
        <f t="shared" si="9"/>
        <v>35395764.4</v>
      </c>
      <c r="Q4" s="173"/>
      <c r="R4" s="136"/>
      <c r="S4" s="171"/>
      <c r="T4" s="171"/>
      <c r="U4" s="169">
        <f t="shared" si="1"/>
        <v>30</v>
      </c>
      <c r="V4" s="171"/>
      <c r="W4" s="172">
        <f t="shared" si="2"/>
        <v>90</v>
      </c>
      <c r="X4" s="171"/>
      <c r="Y4" s="172">
        <f t="shared" si="3"/>
        <v>150</v>
      </c>
      <c r="Z4" s="171"/>
      <c r="AA4" s="173">
        <f t="shared" si="4"/>
        <v>35395764.4</v>
      </c>
      <c r="AB4" s="172">
        <f t="shared" si="5"/>
        <v>195</v>
      </c>
      <c r="AC4" s="171"/>
      <c r="AD4" s="171"/>
      <c r="AE4" s="173">
        <f t="shared" si="6"/>
        <v>35395764.4</v>
      </c>
      <c r="AF4" s="172">
        <f t="shared" si="7"/>
        <v>180</v>
      </c>
      <c r="AG4" s="171"/>
      <c r="AH4" s="171"/>
    </row>
    <row r="5">
      <c r="A5" s="168">
        <v>4.0</v>
      </c>
      <c r="B5" s="169">
        <v>46069.0</v>
      </c>
      <c r="C5" s="171"/>
      <c r="D5" s="136" t="s">
        <v>1789</v>
      </c>
      <c r="E5" s="136" t="s">
        <v>1897</v>
      </c>
      <c r="F5" s="168" t="s">
        <v>1910</v>
      </c>
      <c r="G5" s="171"/>
      <c r="H5" s="168" t="s">
        <v>1913</v>
      </c>
      <c r="I5" s="136" t="s">
        <v>1903</v>
      </c>
      <c r="J5" s="136">
        <v>17.0</v>
      </c>
      <c r="K5" s="136">
        <f t="shared" si="10"/>
        <v>13.6</v>
      </c>
      <c r="L5" s="170">
        <v>6655839.0</v>
      </c>
      <c r="M5" s="173"/>
      <c r="N5" s="173">
        <f t="shared" si="8"/>
        <v>1064934.24</v>
      </c>
      <c r="O5" s="173"/>
      <c r="P5" s="173">
        <f t="shared" si="9"/>
        <v>665583.9</v>
      </c>
      <c r="Q5" s="173"/>
      <c r="R5" s="136"/>
      <c r="S5" s="171"/>
      <c r="T5" s="171"/>
      <c r="U5" s="169">
        <f t="shared" si="1"/>
        <v>30</v>
      </c>
      <c r="V5" s="171"/>
      <c r="W5" s="172">
        <f t="shared" si="2"/>
        <v>90</v>
      </c>
      <c r="X5" s="171"/>
      <c r="Y5" s="172">
        <f t="shared" si="3"/>
        <v>150</v>
      </c>
      <c r="Z5" s="171"/>
      <c r="AA5" s="173">
        <f t="shared" si="4"/>
        <v>665583.9</v>
      </c>
      <c r="AB5" s="172">
        <f t="shared" si="5"/>
        <v>195</v>
      </c>
      <c r="AC5" s="171"/>
      <c r="AD5" s="171"/>
      <c r="AE5" s="173">
        <f t="shared" si="6"/>
        <v>665583.9</v>
      </c>
      <c r="AF5" s="172">
        <f t="shared" si="7"/>
        <v>180</v>
      </c>
      <c r="AG5" s="171"/>
      <c r="AH5" s="171"/>
    </row>
    <row r="6">
      <c r="A6" s="168">
        <v>5.0</v>
      </c>
      <c r="B6" s="169">
        <v>46069.0</v>
      </c>
      <c r="C6" s="171"/>
      <c r="D6" s="136" t="s">
        <v>1337</v>
      </c>
      <c r="E6" s="136" t="s">
        <v>1897</v>
      </c>
      <c r="F6" s="168" t="s">
        <v>1916</v>
      </c>
      <c r="G6" s="171"/>
      <c r="H6" s="168" t="s">
        <v>1902</v>
      </c>
      <c r="I6" s="136" t="s">
        <v>1929</v>
      </c>
      <c r="J6" s="136">
        <v>23.0</v>
      </c>
      <c r="K6" s="136">
        <f t="shared" si="10"/>
        <v>18.4</v>
      </c>
      <c r="L6" s="170">
        <v>3.0251059E7</v>
      </c>
      <c r="M6" s="173"/>
      <c r="N6" s="173">
        <f t="shared" si="8"/>
        <v>4840169.44</v>
      </c>
      <c r="O6" s="173"/>
      <c r="P6" s="173">
        <f t="shared" si="9"/>
        <v>3025105.9</v>
      </c>
      <c r="Q6" s="173"/>
      <c r="R6" s="136"/>
      <c r="S6" s="171"/>
      <c r="T6" s="171"/>
      <c r="U6" s="169">
        <f t="shared" si="1"/>
        <v>30</v>
      </c>
      <c r="V6" s="171"/>
      <c r="W6" s="172">
        <f t="shared" si="2"/>
        <v>90</v>
      </c>
      <c r="X6" s="171"/>
      <c r="Y6" s="172">
        <f t="shared" si="3"/>
        <v>150</v>
      </c>
      <c r="Z6" s="171"/>
      <c r="AA6" s="173">
        <f t="shared" si="4"/>
        <v>3025105.9</v>
      </c>
      <c r="AB6" s="172">
        <f t="shared" si="5"/>
        <v>195</v>
      </c>
      <c r="AC6" s="171"/>
      <c r="AD6" s="171"/>
      <c r="AE6" s="173">
        <f t="shared" si="6"/>
        <v>3025105.9</v>
      </c>
      <c r="AF6" s="172">
        <f t="shared" si="7"/>
        <v>180</v>
      </c>
      <c r="AG6" s="171"/>
      <c r="AH6" s="171"/>
    </row>
    <row r="7">
      <c r="A7" s="168">
        <v>6.0</v>
      </c>
      <c r="B7" s="169">
        <v>46069.0</v>
      </c>
      <c r="C7" s="171"/>
      <c r="D7" s="136" t="s">
        <v>1896</v>
      </c>
      <c r="E7" s="136" t="s">
        <v>1897</v>
      </c>
      <c r="F7" s="168" t="s">
        <v>1922</v>
      </c>
      <c r="G7" s="171"/>
      <c r="H7" s="168" t="s">
        <v>1924</v>
      </c>
      <c r="I7" s="136" t="s">
        <v>1903</v>
      </c>
      <c r="J7" s="136">
        <v>15.0</v>
      </c>
      <c r="K7" s="136">
        <f t="shared" si="10"/>
        <v>12</v>
      </c>
      <c r="L7" s="170">
        <v>1.0826393E7</v>
      </c>
      <c r="M7" s="173"/>
      <c r="N7" s="173">
        <f t="shared" si="8"/>
        <v>1732222.88</v>
      </c>
      <c r="O7" s="173"/>
      <c r="P7" s="173">
        <f t="shared" si="9"/>
        <v>1082639.3</v>
      </c>
      <c r="Q7" s="173"/>
      <c r="R7" s="136"/>
      <c r="S7" s="171"/>
      <c r="T7" s="171"/>
      <c r="U7" s="169">
        <f t="shared" si="1"/>
        <v>30</v>
      </c>
      <c r="V7" s="171"/>
      <c r="W7" s="172">
        <f t="shared" si="2"/>
        <v>90</v>
      </c>
      <c r="X7" s="171"/>
      <c r="Y7" s="172">
        <f t="shared" si="3"/>
        <v>150</v>
      </c>
      <c r="Z7" s="171"/>
      <c r="AA7" s="173">
        <f t="shared" si="4"/>
        <v>1082639.3</v>
      </c>
      <c r="AB7" s="172">
        <f t="shared" si="5"/>
        <v>195</v>
      </c>
      <c r="AC7" s="171"/>
      <c r="AD7" s="171"/>
      <c r="AE7" s="173">
        <f t="shared" si="6"/>
        <v>1082639.3</v>
      </c>
      <c r="AF7" s="172">
        <f t="shared" si="7"/>
        <v>180</v>
      </c>
      <c r="AG7" s="171"/>
      <c r="AH7" s="171"/>
    </row>
    <row r="8">
      <c r="A8" s="168">
        <v>7.0</v>
      </c>
      <c r="B8" s="169">
        <v>46069.0</v>
      </c>
      <c r="C8" s="171"/>
      <c r="D8" s="136" t="s">
        <v>1789</v>
      </c>
      <c r="E8" s="136" t="s">
        <v>1897</v>
      </c>
      <c r="F8" s="168" t="s">
        <v>1927</v>
      </c>
      <c r="G8" s="171"/>
      <c r="H8" s="168" t="s">
        <v>41</v>
      </c>
      <c r="I8" s="136" t="s">
        <v>1929</v>
      </c>
      <c r="J8" s="136">
        <v>52.0</v>
      </c>
      <c r="K8" s="136">
        <f t="shared" si="10"/>
        <v>41.6</v>
      </c>
      <c r="L8" s="170">
        <v>3.5304064E7</v>
      </c>
      <c r="M8" s="173"/>
      <c r="N8" s="173">
        <f t="shared" si="8"/>
        <v>5648650.24</v>
      </c>
      <c r="O8" s="173"/>
      <c r="P8" s="173">
        <f t="shared" si="9"/>
        <v>3530406.4</v>
      </c>
      <c r="Q8" s="173"/>
      <c r="R8" s="136"/>
      <c r="S8" s="171"/>
      <c r="T8" s="171"/>
      <c r="U8" s="169">
        <f t="shared" si="1"/>
        <v>30</v>
      </c>
      <c r="V8" s="171"/>
      <c r="W8" s="172">
        <f t="shared" si="2"/>
        <v>90</v>
      </c>
      <c r="X8" s="171"/>
      <c r="Y8" s="172">
        <f t="shared" si="3"/>
        <v>150</v>
      </c>
      <c r="Z8" s="171"/>
      <c r="AA8" s="173">
        <f t="shared" si="4"/>
        <v>3530406.4</v>
      </c>
      <c r="AB8" s="172">
        <f t="shared" si="5"/>
        <v>195</v>
      </c>
      <c r="AC8" s="171"/>
      <c r="AD8" s="171"/>
      <c r="AE8" s="173">
        <f t="shared" si="6"/>
        <v>3530406.4</v>
      </c>
      <c r="AF8" s="172">
        <f t="shared" si="7"/>
        <v>180</v>
      </c>
      <c r="AG8" s="171"/>
      <c r="AH8" s="171"/>
    </row>
    <row r="9">
      <c r="A9" s="168">
        <v>8.0</v>
      </c>
      <c r="B9" s="169">
        <v>46069.0</v>
      </c>
      <c r="C9" s="171"/>
      <c r="D9" s="136" t="s">
        <v>1789</v>
      </c>
      <c r="E9" s="136" t="s">
        <v>1897</v>
      </c>
      <c r="F9" s="168" t="s">
        <v>298</v>
      </c>
      <c r="G9" s="171"/>
      <c r="H9" s="168" t="s">
        <v>1934</v>
      </c>
      <c r="I9" s="136" t="s">
        <v>1929</v>
      </c>
      <c r="J9" s="136">
        <v>1945.0</v>
      </c>
      <c r="K9" s="136">
        <f>J9*20%</f>
        <v>389</v>
      </c>
      <c r="L9" s="170"/>
      <c r="M9" s="173"/>
      <c r="N9" s="173"/>
      <c r="O9" s="173"/>
      <c r="P9" s="173"/>
      <c r="Q9" s="173"/>
      <c r="R9" s="136"/>
      <c r="S9" s="171"/>
      <c r="T9" s="171"/>
      <c r="U9" s="169">
        <f t="shared" si="1"/>
        <v>30</v>
      </c>
      <c r="V9" s="171"/>
      <c r="W9" s="172">
        <f t="shared" si="2"/>
        <v>90</v>
      </c>
      <c r="X9" s="171"/>
      <c r="Y9" s="172">
        <f t="shared" si="3"/>
        <v>150</v>
      </c>
      <c r="Z9" s="171"/>
      <c r="AA9" s="173">
        <f t="shared" si="4"/>
        <v>0</v>
      </c>
      <c r="AB9" s="172">
        <f t="shared" si="5"/>
        <v>195</v>
      </c>
      <c r="AC9" s="171"/>
      <c r="AD9" s="171"/>
      <c r="AE9" s="173">
        <f t="shared" si="6"/>
        <v>0</v>
      </c>
      <c r="AF9" s="172">
        <f t="shared" si="7"/>
        <v>180</v>
      </c>
      <c r="AG9" s="171"/>
      <c r="AH9" s="171"/>
    </row>
    <row r="10">
      <c r="A10" s="168">
        <v>9.0</v>
      </c>
      <c r="B10" s="174">
        <v>46080.0</v>
      </c>
      <c r="C10" s="171"/>
      <c r="D10" s="136" t="s">
        <v>1789</v>
      </c>
      <c r="E10" s="136" t="s">
        <v>1897</v>
      </c>
      <c r="F10" s="168" t="s">
        <v>2053</v>
      </c>
      <c r="G10" s="168" t="s">
        <v>2054</v>
      </c>
      <c r="H10" s="168" t="s">
        <v>2055</v>
      </c>
      <c r="I10" s="136" t="s">
        <v>1968</v>
      </c>
      <c r="J10" s="136"/>
      <c r="K10" s="136">
        <f t="shared" ref="K10:K101" si="11">J10*80%</f>
        <v>0</v>
      </c>
      <c r="L10" s="170"/>
      <c r="M10" s="173"/>
      <c r="N10" s="173"/>
      <c r="O10" s="173"/>
      <c r="P10" s="173"/>
      <c r="Q10" s="173"/>
      <c r="R10" s="136"/>
      <c r="S10" s="171"/>
      <c r="T10" s="171"/>
      <c r="U10" s="169">
        <f t="shared" si="1"/>
        <v>30</v>
      </c>
      <c r="V10" s="171"/>
      <c r="W10" s="172">
        <f t="shared" si="2"/>
        <v>90</v>
      </c>
      <c r="X10" s="171"/>
      <c r="Y10" s="172">
        <f t="shared" si="3"/>
        <v>150</v>
      </c>
      <c r="Z10" s="171"/>
      <c r="AA10" s="173">
        <f t="shared" si="4"/>
        <v>0</v>
      </c>
      <c r="AB10" s="172">
        <f t="shared" si="5"/>
        <v>195</v>
      </c>
      <c r="AC10" s="171"/>
      <c r="AD10" s="171"/>
      <c r="AE10" s="173">
        <f t="shared" si="6"/>
        <v>0</v>
      </c>
      <c r="AF10" s="172">
        <f t="shared" si="7"/>
        <v>180</v>
      </c>
      <c r="AG10" s="171"/>
      <c r="AH10" s="171"/>
    </row>
    <row r="11">
      <c r="A11" s="168">
        <v>10.0</v>
      </c>
      <c r="B11" s="174">
        <v>46078.0</v>
      </c>
      <c r="C11" s="171"/>
      <c r="D11" s="136" t="s">
        <v>1789</v>
      </c>
      <c r="E11" s="136" t="s">
        <v>1897</v>
      </c>
      <c r="F11" s="168" t="s">
        <v>2056</v>
      </c>
      <c r="G11" s="171"/>
      <c r="H11" s="168" t="s">
        <v>1934</v>
      </c>
      <c r="I11" s="136" t="s">
        <v>1968</v>
      </c>
      <c r="J11" s="136"/>
      <c r="K11" s="136">
        <f t="shared" si="11"/>
        <v>0</v>
      </c>
      <c r="L11" s="170"/>
      <c r="M11" s="173"/>
      <c r="N11" s="173"/>
      <c r="O11" s="173"/>
      <c r="P11" s="173"/>
      <c r="Q11" s="173"/>
      <c r="R11" s="136"/>
      <c r="S11" s="171"/>
      <c r="T11" s="171"/>
      <c r="U11" s="169">
        <f t="shared" si="1"/>
        <v>30</v>
      </c>
      <c r="V11" s="171"/>
      <c r="W11" s="172">
        <f t="shared" si="2"/>
        <v>90</v>
      </c>
      <c r="X11" s="171"/>
      <c r="Y11" s="172">
        <f t="shared" si="3"/>
        <v>150</v>
      </c>
      <c r="Z11" s="171"/>
      <c r="AA11" s="173">
        <f t="shared" si="4"/>
        <v>0</v>
      </c>
      <c r="AB11" s="172">
        <f t="shared" si="5"/>
        <v>195</v>
      </c>
      <c r="AC11" s="171"/>
      <c r="AD11" s="171"/>
      <c r="AE11" s="173">
        <f t="shared" si="6"/>
        <v>0</v>
      </c>
      <c r="AF11" s="172">
        <f t="shared" si="7"/>
        <v>180</v>
      </c>
      <c r="AG11" s="171"/>
      <c r="AH11" s="171"/>
    </row>
    <row r="12">
      <c r="A12" s="168">
        <v>11.0</v>
      </c>
      <c r="B12" s="174">
        <v>46070.0</v>
      </c>
      <c r="C12" s="171"/>
      <c r="D12" s="136" t="s">
        <v>1789</v>
      </c>
      <c r="E12" s="136" t="s">
        <v>1897</v>
      </c>
      <c r="F12" s="168" t="s">
        <v>2057</v>
      </c>
      <c r="G12" s="168" t="s">
        <v>2058</v>
      </c>
      <c r="H12" s="168" t="s">
        <v>1902</v>
      </c>
      <c r="I12" s="136" t="s">
        <v>1903</v>
      </c>
      <c r="J12" s="136"/>
      <c r="K12" s="136">
        <f t="shared" si="11"/>
        <v>0</v>
      </c>
      <c r="L12" s="170"/>
      <c r="M12" s="173"/>
      <c r="N12" s="173"/>
      <c r="O12" s="173"/>
      <c r="P12" s="173"/>
      <c r="Q12" s="173"/>
      <c r="R12" s="136"/>
      <c r="S12" s="171"/>
      <c r="T12" s="171"/>
      <c r="U12" s="169">
        <f t="shared" si="1"/>
        <v>30</v>
      </c>
      <c r="V12" s="171"/>
      <c r="W12" s="172">
        <f t="shared" si="2"/>
        <v>90</v>
      </c>
      <c r="X12" s="171"/>
      <c r="Y12" s="172">
        <f t="shared" si="3"/>
        <v>150</v>
      </c>
      <c r="Z12" s="171"/>
      <c r="AA12" s="173">
        <f t="shared" si="4"/>
        <v>0</v>
      </c>
      <c r="AB12" s="172">
        <f t="shared" si="5"/>
        <v>195</v>
      </c>
      <c r="AC12" s="171"/>
      <c r="AD12" s="171"/>
      <c r="AE12" s="173">
        <f t="shared" si="6"/>
        <v>0</v>
      </c>
      <c r="AF12" s="172">
        <f t="shared" si="7"/>
        <v>180</v>
      </c>
      <c r="AG12" s="171"/>
      <c r="AH12" s="171"/>
    </row>
    <row r="13">
      <c r="A13" s="168">
        <v>12.0</v>
      </c>
      <c r="B13" s="174">
        <v>46079.0</v>
      </c>
      <c r="C13" s="171"/>
      <c r="D13" s="136" t="s">
        <v>1789</v>
      </c>
      <c r="E13" s="136" t="s">
        <v>1897</v>
      </c>
      <c r="F13" s="168" t="s">
        <v>124</v>
      </c>
      <c r="G13" s="168" t="s">
        <v>29</v>
      </c>
      <c r="H13" s="171"/>
      <c r="I13" s="136" t="s">
        <v>1968</v>
      </c>
      <c r="J13" s="136"/>
      <c r="K13" s="136">
        <f t="shared" si="11"/>
        <v>0</v>
      </c>
      <c r="L13" s="170"/>
      <c r="M13" s="173"/>
      <c r="N13" s="173"/>
      <c r="O13" s="173"/>
      <c r="P13" s="173"/>
      <c r="Q13" s="173"/>
      <c r="R13" s="136"/>
      <c r="S13" s="171"/>
      <c r="T13" s="171"/>
      <c r="U13" s="169">
        <f t="shared" si="1"/>
        <v>30</v>
      </c>
      <c r="V13" s="171"/>
      <c r="W13" s="172">
        <f t="shared" si="2"/>
        <v>90</v>
      </c>
      <c r="X13" s="171"/>
      <c r="Y13" s="172">
        <f t="shared" si="3"/>
        <v>150</v>
      </c>
      <c r="Z13" s="171"/>
      <c r="AA13" s="173">
        <f t="shared" si="4"/>
        <v>0</v>
      </c>
      <c r="AB13" s="172">
        <f t="shared" si="5"/>
        <v>195</v>
      </c>
      <c r="AC13" s="171"/>
      <c r="AD13" s="171"/>
      <c r="AE13" s="173">
        <f t="shared" si="6"/>
        <v>0</v>
      </c>
      <c r="AF13" s="172">
        <f t="shared" si="7"/>
        <v>180</v>
      </c>
      <c r="AG13" s="171"/>
      <c r="AH13" s="171"/>
    </row>
    <row r="14">
      <c r="A14" s="168">
        <v>13.0</v>
      </c>
      <c r="B14" s="171"/>
      <c r="C14" s="171"/>
      <c r="D14" s="171"/>
      <c r="E14" s="171"/>
      <c r="F14" s="171"/>
      <c r="G14" s="171"/>
      <c r="H14" s="171"/>
      <c r="I14" s="136"/>
      <c r="J14" s="136"/>
      <c r="K14" s="136">
        <f t="shared" si="11"/>
        <v>0</v>
      </c>
      <c r="L14" s="170"/>
      <c r="M14" s="173"/>
      <c r="N14" s="173"/>
      <c r="O14" s="173"/>
      <c r="P14" s="173"/>
      <c r="Q14" s="173"/>
      <c r="R14" s="136"/>
      <c r="S14" s="171"/>
      <c r="T14" s="171"/>
      <c r="U14" s="169">
        <f t="shared" si="1"/>
        <v>30</v>
      </c>
      <c r="V14" s="171"/>
      <c r="W14" s="172">
        <f t="shared" si="2"/>
        <v>90</v>
      </c>
      <c r="X14" s="171"/>
      <c r="Y14" s="172">
        <f t="shared" si="3"/>
        <v>150</v>
      </c>
      <c r="Z14" s="171"/>
      <c r="AA14" s="173">
        <f t="shared" si="4"/>
        <v>0</v>
      </c>
      <c r="AB14" s="172">
        <f t="shared" si="5"/>
        <v>195</v>
      </c>
      <c r="AC14" s="171"/>
      <c r="AD14" s="171"/>
      <c r="AE14" s="173">
        <f t="shared" si="6"/>
        <v>0</v>
      </c>
      <c r="AF14" s="172">
        <f t="shared" si="7"/>
        <v>180</v>
      </c>
      <c r="AG14" s="171"/>
      <c r="AH14" s="171"/>
    </row>
    <row r="15">
      <c r="A15" s="168">
        <v>14.0</v>
      </c>
      <c r="B15" s="171"/>
      <c r="C15" s="168"/>
      <c r="D15" s="171"/>
      <c r="E15" s="171"/>
      <c r="F15" s="171"/>
      <c r="G15" s="171"/>
      <c r="H15" s="171"/>
      <c r="I15" s="136"/>
      <c r="J15" s="136"/>
      <c r="K15" s="136">
        <f t="shared" si="11"/>
        <v>0</v>
      </c>
      <c r="L15" s="170"/>
      <c r="M15" s="173"/>
      <c r="N15" s="173"/>
      <c r="O15" s="173"/>
      <c r="P15" s="173"/>
      <c r="Q15" s="173"/>
      <c r="R15" s="136"/>
      <c r="S15" s="171"/>
      <c r="T15" s="171"/>
      <c r="U15" s="169">
        <f t="shared" si="1"/>
        <v>30</v>
      </c>
      <c r="V15" s="171"/>
      <c r="W15" s="172">
        <f t="shared" si="2"/>
        <v>90</v>
      </c>
      <c r="X15" s="171"/>
      <c r="Y15" s="172">
        <f t="shared" si="3"/>
        <v>150</v>
      </c>
      <c r="Z15" s="171"/>
      <c r="AA15" s="173">
        <f t="shared" si="4"/>
        <v>0</v>
      </c>
      <c r="AB15" s="172">
        <f t="shared" si="5"/>
        <v>195</v>
      </c>
      <c r="AC15" s="171"/>
      <c r="AD15" s="171"/>
      <c r="AE15" s="173">
        <f t="shared" si="6"/>
        <v>0</v>
      </c>
      <c r="AF15" s="172">
        <f t="shared" si="7"/>
        <v>180</v>
      </c>
      <c r="AG15" s="171"/>
      <c r="AH15" s="171"/>
    </row>
    <row r="16">
      <c r="A16" s="168">
        <v>15.0</v>
      </c>
      <c r="B16" s="171"/>
      <c r="C16" s="171"/>
      <c r="D16" s="171"/>
      <c r="E16" s="171"/>
      <c r="F16" s="171"/>
      <c r="G16" s="171"/>
      <c r="H16" s="171"/>
      <c r="I16" s="136"/>
      <c r="J16" s="136"/>
      <c r="K16" s="136">
        <f t="shared" si="11"/>
        <v>0</v>
      </c>
      <c r="L16" s="170"/>
      <c r="M16" s="173"/>
      <c r="N16" s="173"/>
      <c r="O16" s="173"/>
      <c r="P16" s="173"/>
      <c r="Q16" s="173"/>
      <c r="R16" s="136"/>
      <c r="S16" s="171"/>
      <c r="T16" s="171"/>
      <c r="U16" s="169">
        <f t="shared" si="1"/>
        <v>30</v>
      </c>
      <c r="V16" s="171"/>
      <c r="W16" s="172">
        <f t="shared" si="2"/>
        <v>90</v>
      </c>
      <c r="X16" s="171"/>
      <c r="Y16" s="172">
        <f t="shared" si="3"/>
        <v>150</v>
      </c>
      <c r="Z16" s="171"/>
      <c r="AA16" s="173">
        <f t="shared" si="4"/>
        <v>0</v>
      </c>
      <c r="AB16" s="172">
        <f t="shared" si="5"/>
        <v>195</v>
      </c>
      <c r="AC16" s="171"/>
      <c r="AD16" s="171"/>
      <c r="AE16" s="173">
        <f t="shared" si="6"/>
        <v>0</v>
      </c>
      <c r="AF16" s="172">
        <f t="shared" si="7"/>
        <v>180</v>
      </c>
      <c r="AG16" s="171"/>
      <c r="AH16" s="171"/>
    </row>
    <row r="17">
      <c r="A17" s="168">
        <v>16.0</v>
      </c>
      <c r="B17" s="171"/>
      <c r="C17" s="171"/>
      <c r="D17" s="171"/>
      <c r="E17" s="171"/>
      <c r="F17" s="171"/>
      <c r="G17" s="171"/>
      <c r="H17" s="171"/>
      <c r="I17" s="136"/>
      <c r="J17" s="136"/>
      <c r="K17" s="136">
        <f t="shared" si="11"/>
        <v>0</v>
      </c>
      <c r="L17" s="170"/>
      <c r="M17" s="173"/>
      <c r="N17" s="173"/>
      <c r="O17" s="173"/>
      <c r="P17" s="173"/>
      <c r="Q17" s="173"/>
      <c r="R17" s="136"/>
      <c r="S17" s="171"/>
      <c r="T17" s="171"/>
      <c r="U17" s="169">
        <f t="shared" si="1"/>
        <v>30</v>
      </c>
      <c r="V17" s="171"/>
      <c r="W17" s="172">
        <f t="shared" si="2"/>
        <v>90</v>
      </c>
      <c r="X17" s="171"/>
      <c r="Y17" s="172">
        <f t="shared" si="3"/>
        <v>150</v>
      </c>
      <c r="Z17" s="171"/>
      <c r="AA17" s="173">
        <f t="shared" si="4"/>
        <v>0</v>
      </c>
      <c r="AB17" s="172">
        <f t="shared" si="5"/>
        <v>195</v>
      </c>
      <c r="AC17" s="171"/>
      <c r="AD17" s="171"/>
      <c r="AE17" s="173">
        <f t="shared" si="6"/>
        <v>0</v>
      </c>
      <c r="AF17" s="172">
        <f t="shared" si="7"/>
        <v>180</v>
      </c>
      <c r="AG17" s="171"/>
      <c r="AH17" s="171"/>
    </row>
    <row r="18">
      <c r="A18" s="168">
        <v>17.0</v>
      </c>
      <c r="B18" s="171"/>
      <c r="C18" s="171"/>
      <c r="D18" s="171"/>
      <c r="E18" s="171"/>
      <c r="F18" s="171"/>
      <c r="G18" s="171"/>
      <c r="H18" s="171"/>
      <c r="I18" s="136"/>
      <c r="J18" s="136"/>
      <c r="K18" s="136">
        <f t="shared" si="11"/>
        <v>0</v>
      </c>
      <c r="L18" s="170"/>
      <c r="M18" s="173"/>
      <c r="N18" s="173"/>
      <c r="O18" s="173"/>
      <c r="P18" s="173"/>
      <c r="Q18" s="173"/>
      <c r="R18" s="136"/>
      <c r="S18" s="171"/>
      <c r="T18" s="171"/>
      <c r="U18" s="169">
        <f t="shared" si="1"/>
        <v>30</v>
      </c>
      <c r="V18" s="171"/>
      <c r="W18" s="172">
        <f t="shared" si="2"/>
        <v>90</v>
      </c>
      <c r="X18" s="171"/>
      <c r="Y18" s="172">
        <f t="shared" si="3"/>
        <v>150</v>
      </c>
      <c r="Z18" s="171"/>
      <c r="AA18" s="173">
        <f t="shared" si="4"/>
        <v>0</v>
      </c>
      <c r="AB18" s="172">
        <f t="shared" si="5"/>
        <v>195</v>
      </c>
      <c r="AC18" s="171"/>
      <c r="AD18" s="171"/>
      <c r="AE18" s="173">
        <f t="shared" si="6"/>
        <v>0</v>
      </c>
      <c r="AF18" s="172">
        <f t="shared" si="7"/>
        <v>180</v>
      </c>
      <c r="AG18" s="171"/>
      <c r="AH18" s="171"/>
    </row>
    <row r="19">
      <c r="A19" s="168">
        <v>18.0</v>
      </c>
      <c r="B19" s="171"/>
      <c r="C19" s="171"/>
      <c r="D19" s="171"/>
      <c r="E19" s="171"/>
      <c r="F19" s="171"/>
      <c r="G19" s="171"/>
      <c r="H19" s="171"/>
      <c r="I19" s="136"/>
      <c r="J19" s="136"/>
      <c r="K19" s="136">
        <f t="shared" si="11"/>
        <v>0</v>
      </c>
      <c r="L19" s="170"/>
      <c r="M19" s="173"/>
      <c r="N19" s="173"/>
      <c r="O19" s="173"/>
      <c r="P19" s="173"/>
      <c r="Q19" s="173"/>
      <c r="R19" s="136"/>
      <c r="S19" s="171"/>
      <c r="T19" s="171"/>
      <c r="U19" s="169">
        <f t="shared" si="1"/>
        <v>30</v>
      </c>
      <c r="V19" s="171"/>
      <c r="W19" s="172">
        <f t="shared" si="2"/>
        <v>90</v>
      </c>
      <c r="X19" s="171"/>
      <c r="Y19" s="172">
        <f t="shared" si="3"/>
        <v>150</v>
      </c>
      <c r="Z19" s="171"/>
      <c r="AA19" s="173">
        <f t="shared" si="4"/>
        <v>0</v>
      </c>
      <c r="AB19" s="172">
        <f t="shared" si="5"/>
        <v>195</v>
      </c>
      <c r="AC19" s="171"/>
      <c r="AD19" s="171"/>
      <c r="AE19" s="173">
        <f t="shared" si="6"/>
        <v>0</v>
      </c>
      <c r="AF19" s="172">
        <f t="shared" si="7"/>
        <v>180</v>
      </c>
      <c r="AG19" s="171"/>
      <c r="AH19" s="171"/>
    </row>
    <row r="20">
      <c r="A20" s="168">
        <v>19.0</v>
      </c>
      <c r="B20" s="171"/>
      <c r="C20" s="171"/>
      <c r="D20" s="171"/>
      <c r="E20" s="171"/>
      <c r="F20" s="171"/>
      <c r="G20" s="171"/>
      <c r="H20" s="171"/>
      <c r="I20" s="136"/>
      <c r="J20" s="136"/>
      <c r="K20" s="136">
        <f t="shared" si="11"/>
        <v>0</v>
      </c>
      <c r="L20" s="170"/>
      <c r="M20" s="173"/>
      <c r="N20" s="173"/>
      <c r="O20" s="173"/>
      <c r="P20" s="173"/>
      <c r="Q20" s="173"/>
      <c r="R20" s="136"/>
      <c r="S20" s="171"/>
      <c r="T20" s="171"/>
      <c r="U20" s="169">
        <f t="shared" si="1"/>
        <v>30</v>
      </c>
      <c r="V20" s="171"/>
      <c r="W20" s="172">
        <f t="shared" si="2"/>
        <v>90</v>
      </c>
      <c r="X20" s="171"/>
      <c r="Y20" s="172">
        <f t="shared" si="3"/>
        <v>150</v>
      </c>
      <c r="Z20" s="171"/>
      <c r="AA20" s="173">
        <f t="shared" si="4"/>
        <v>0</v>
      </c>
      <c r="AB20" s="172">
        <f t="shared" si="5"/>
        <v>195</v>
      </c>
      <c r="AC20" s="171"/>
      <c r="AD20" s="171"/>
      <c r="AE20" s="173">
        <f t="shared" si="6"/>
        <v>0</v>
      </c>
      <c r="AF20" s="172">
        <f t="shared" si="7"/>
        <v>180</v>
      </c>
      <c r="AG20" s="171"/>
      <c r="AH20" s="171"/>
    </row>
    <row r="21">
      <c r="A21" s="168">
        <v>20.0</v>
      </c>
      <c r="B21" s="171"/>
      <c r="C21" s="171"/>
      <c r="D21" s="171"/>
      <c r="E21" s="171"/>
      <c r="F21" s="171"/>
      <c r="G21" s="171"/>
      <c r="H21" s="171"/>
      <c r="I21" s="136"/>
      <c r="J21" s="136"/>
      <c r="K21" s="136">
        <f t="shared" si="11"/>
        <v>0</v>
      </c>
      <c r="L21" s="170"/>
      <c r="M21" s="173"/>
      <c r="N21" s="173"/>
      <c r="O21" s="173"/>
      <c r="P21" s="173"/>
      <c r="Q21" s="173"/>
      <c r="R21" s="136"/>
      <c r="S21" s="171"/>
      <c r="T21" s="171"/>
      <c r="U21" s="169">
        <f t="shared" si="1"/>
        <v>30</v>
      </c>
      <c r="V21" s="171"/>
      <c r="W21" s="172">
        <f t="shared" si="2"/>
        <v>90</v>
      </c>
      <c r="X21" s="171"/>
      <c r="Y21" s="172">
        <f t="shared" si="3"/>
        <v>150</v>
      </c>
      <c r="Z21" s="171"/>
      <c r="AA21" s="173">
        <f t="shared" si="4"/>
        <v>0</v>
      </c>
      <c r="AB21" s="172">
        <f t="shared" si="5"/>
        <v>195</v>
      </c>
      <c r="AC21" s="171"/>
      <c r="AD21" s="171"/>
      <c r="AE21" s="173">
        <f t="shared" si="6"/>
        <v>0</v>
      </c>
      <c r="AF21" s="172">
        <f t="shared" si="7"/>
        <v>180</v>
      </c>
      <c r="AG21" s="171"/>
      <c r="AH21" s="171"/>
    </row>
    <row r="22">
      <c r="A22" s="168">
        <v>21.0</v>
      </c>
      <c r="B22" s="171"/>
      <c r="C22" s="171"/>
      <c r="D22" s="171"/>
      <c r="E22" s="171"/>
      <c r="F22" s="171"/>
      <c r="G22" s="171"/>
      <c r="H22" s="171"/>
      <c r="I22" s="136"/>
      <c r="J22" s="136"/>
      <c r="K22" s="136">
        <f t="shared" si="11"/>
        <v>0</v>
      </c>
      <c r="L22" s="170"/>
      <c r="M22" s="173"/>
      <c r="N22" s="173"/>
      <c r="O22" s="173"/>
      <c r="P22" s="173"/>
      <c r="Q22" s="173"/>
      <c r="R22" s="136"/>
      <c r="S22" s="171"/>
      <c r="T22" s="171"/>
      <c r="U22" s="169">
        <f t="shared" si="1"/>
        <v>30</v>
      </c>
      <c r="V22" s="171"/>
      <c r="W22" s="172">
        <f t="shared" si="2"/>
        <v>90</v>
      </c>
      <c r="X22" s="171"/>
      <c r="Y22" s="172">
        <f t="shared" si="3"/>
        <v>150</v>
      </c>
      <c r="Z22" s="171"/>
      <c r="AA22" s="173">
        <f t="shared" si="4"/>
        <v>0</v>
      </c>
      <c r="AB22" s="172">
        <f t="shared" si="5"/>
        <v>195</v>
      </c>
      <c r="AC22" s="171"/>
      <c r="AD22" s="171"/>
      <c r="AE22" s="173">
        <f t="shared" si="6"/>
        <v>0</v>
      </c>
      <c r="AF22" s="172">
        <f t="shared" si="7"/>
        <v>180</v>
      </c>
      <c r="AG22" s="171"/>
      <c r="AH22" s="171"/>
    </row>
    <row r="23">
      <c r="A23" s="168">
        <v>22.0</v>
      </c>
      <c r="B23" s="171"/>
      <c r="C23" s="171"/>
      <c r="D23" s="171"/>
      <c r="E23" s="171"/>
      <c r="F23" s="171"/>
      <c r="G23" s="171"/>
      <c r="H23" s="171"/>
      <c r="I23" s="136"/>
      <c r="J23" s="136"/>
      <c r="K23" s="136">
        <f t="shared" si="11"/>
        <v>0</v>
      </c>
      <c r="L23" s="170"/>
      <c r="M23" s="173"/>
      <c r="N23" s="173"/>
      <c r="O23" s="173"/>
      <c r="P23" s="173"/>
      <c r="Q23" s="173"/>
      <c r="R23" s="136"/>
      <c r="S23" s="171"/>
      <c r="T23" s="171"/>
      <c r="U23" s="169">
        <f t="shared" si="1"/>
        <v>30</v>
      </c>
      <c r="V23" s="171"/>
      <c r="W23" s="172">
        <f t="shared" si="2"/>
        <v>90</v>
      </c>
      <c r="X23" s="171"/>
      <c r="Y23" s="172">
        <f t="shared" si="3"/>
        <v>150</v>
      </c>
      <c r="Z23" s="171"/>
      <c r="AA23" s="173">
        <f t="shared" si="4"/>
        <v>0</v>
      </c>
      <c r="AB23" s="172">
        <f t="shared" si="5"/>
        <v>195</v>
      </c>
      <c r="AC23" s="171"/>
      <c r="AD23" s="171"/>
      <c r="AE23" s="173">
        <f t="shared" si="6"/>
        <v>0</v>
      </c>
      <c r="AF23" s="172">
        <f t="shared" si="7"/>
        <v>180</v>
      </c>
      <c r="AG23" s="171"/>
      <c r="AH23" s="171"/>
    </row>
    <row r="24">
      <c r="A24" s="168">
        <v>23.0</v>
      </c>
      <c r="B24" s="171"/>
      <c r="C24" s="171"/>
      <c r="D24" s="171"/>
      <c r="E24" s="171"/>
      <c r="F24" s="171"/>
      <c r="G24" s="171"/>
      <c r="H24" s="171"/>
      <c r="I24" s="136"/>
      <c r="J24" s="136"/>
      <c r="K24" s="136">
        <f t="shared" si="11"/>
        <v>0</v>
      </c>
      <c r="L24" s="170"/>
      <c r="M24" s="173"/>
      <c r="N24" s="173"/>
      <c r="O24" s="173"/>
      <c r="P24" s="173"/>
      <c r="Q24" s="173"/>
      <c r="R24" s="136"/>
      <c r="S24" s="171"/>
      <c r="T24" s="171"/>
      <c r="U24" s="169">
        <f t="shared" si="1"/>
        <v>30</v>
      </c>
      <c r="V24" s="171"/>
      <c r="W24" s="172">
        <f t="shared" si="2"/>
        <v>90</v>
      </c>
      <c r="X24" s="171"/>
      <c r="Y24" s="172">
        <f t="shared" si="3"/>
        <v>150</v>
      </c>
      <c r="Z24" s="171"/>
      <c r="AA24" s="173">
        <f t="shared" si="4"/>
        <v>0</v>
      </c>
      <c r="AB24" s="172">
        <f t="shared" si="5"/>
        <v>195</v>
      </c>
      <c r="AC24" s="171"/>
      <c r="AD24" s="171"/>
      <c r="AE24" s="173">
        <f t="shared" si="6"/>
        <v>0</v>
      </c>
      <c r="AF24" s="172">
        <f t="shared" si="7"/>
        <v>180</v>
      </c>
      <c r="AG24" s="171"/>
      <c r="AH24" s="171"/>
    </row>
    <row r="25">
      <c r="A25" s="168">
        <v>24.0</v>
      </c>
      <c r="B25" s="171"/>
      <c r="C25" s="171"/>
      <c r="D25" s="171"/>
      <c r="E25" s="171"/>
      <c r="F25" s="171"/>
      <c r="G25" s="171"/>
      <c r="H25" s="171"/>
      <c r="I25" s="136"/>
      <c r="J25" s="136"/>
      <c r="K25" s="136">
        <f t="shared" si="11"/>
        <v>0</v>
      </c>
      <c r="L25" s="170"/>
      <c r="M25" s="173"/>
      <c r="N25" s="173"/>
      <c r="O25" s="173"/>
      <c r="P25" s="173"/>
      <c r="Q25" s="173"/>
      <c r="R25" s="136"/>
      <c r="S25" s="171"/>
      <c r="T25" s="171"/>
      <c r="U25" s="169">
        <f t="shared" si="1"/>
        <v>30</v>
      </c>
      <c r="V25" s="171"/>
      <c r="W25" s="172">
        <f t="shared" si="2"/>
        <v>90</v>
      </c>
      <c r="X25" s="171"/>
      <c r="Y25" s="172">
        <f t="shared" si="3"/>
        <v>150</v>
      </c>
      <c r="Z25" s="171"/>
      <c r="AA25" s="173">
        <f t="shared" si="4"/>
        <v>0</v>
      </c>
      <c r="AB25" s="172">
        <f t="shared" si="5"/>
        <v>195</v>
      </c>
      <c r="AC25" s="171"/>
      <c r="AD25" s="171"/>
      <c r="AE25" s="173">
        <f t="shared" si="6"/>
        <v>0</v>
      </c>
      <c r="AF25" s="172">
        <f t="shared" si="7"/>
        <v>180</v>
      </c>
      <c r="AG25" s="171"/>
      <c r="AH25" s="171"/>
    </row>
    <row r="26">
      <c r="A26" s="168">
        <v>25.0</v>
      </c>
      <c r="B26" s="171"/>
      <c r="C26" s="171"/>
      <c r="D26" s="171"/>
      <c r="E26" s="171"/>
      <c r="F26" s="171"/>
      <c r="G26" s="171"/>
      <c r="H26" s="171"/>
      <c r="I26" s="136"/>
      <c r="J26" s="136"/>
      <c r="K26" s="136">
        <f t="shared" si="11"/>
        <v>0</v>
      </c>
      <c r="L26" s="170"/>
      <c r="M26" s="173"/>
      <c r="N26" s="173"/>
      <c r="O26" s="173"/>
      <c r="P26" s="173"/>
      <c r="Q26" s="173"/>
      <c r="R26" s="136"/>
      <c r="S26" s="171"/>
      <c r="T26" s="171"/>
      <c r="U26" s="169">
        <f t="shared" si="1"/>
        <v>30</v>
      </c>
      <c r="V26" s="171"/>
      <c r="W26" s="172">
        <f t="shared" si="2"/>
        <v>90</v>
      </c>
      <c r="X26" s="171"/>
      <c r="Y26" s="172">
        <f t="shared" si="3"/>
        <v>150</v>
      </c>
      <c r="Z26" s="171"/>
      <c r="AA26" s="173">
        <f t="shared" si="4"/>
        <v>0</v>
      </c>
      <c r="AB26" s="172">
        <f t="shared" si="5"/>
        <v>195</v>
      </c>
      <c r="AC26" s="171"/>
      <c r="AD26" s="171"/>
      <c r="AE26" s="173">
        <f t="shared" si="6"/>
        <v>0</v>
      </c>
      <c r="AF26" s="172">
        <f t="shared" si="7"/>
        <v>180</v>
      </c>
      <c r="AG26" s="171"/>
      <c r="AH26" s="171"/>
    </row>
    <row r="27">
      <c r="A27" s="168">
        <v>26.0</v>
      </c>
      <c r="B27" s="171"/>
      <c r="C27" s="171"/>
      <c r="D27" s="171"/>
      <c r="E27" s="171"/>
      <c r="F27" s="171"/>
      <c r="G27" s="171"/>
      <c r="H27" s="171"/>
      <c r="I27" s="136"/>
      <c r="J27" s="136"/>
      <c r="K27" s="136">
        <f t="shared" si="11"/>
        <v>0</v>
      </c>
      <c r="L27" s="170"/>
      <c r="M27" s="173"/>
      <c r="N27" s="173"/>
      <c r="O27" s="173"/>
      <c r="P27" s="173"/>
      <c r="Q27" s="173"/>
      <c r="R27" s="136"/>
      <c r="S27" s="171"/>
      <c r="T27" s="171"/>
      <c r="U27" s="169">
        <f t="shared" si="1"/>
        <v>30</v>
      </c>
      <c r="V27" s="171"/>
      <c r="W27" s="172">
        <f t="shared" si="2"/>
        <v>90</v>
      </c>
      <c r="X27" s="171"/>
      <c r="Y27" s="172">
        <f t="shared" si="3"/>
        <v>150</v>
      </c>
      <c r="Z27" s="171"/>
      <c r="AA27" s="173">
        <f t="shared" si="4"/>
        <v>0</v>
      </c>
      <c r="AB27" s="172">
        <f t="shared" si="5"/>
        <v>195</v>
      </c>
      <c r="AC27" s="171"/>
      <c r="AD27" s="171"/>
      <c r="AE27" s="173">
        <f t="shared" si="6"/>
        <v>0</v>
      </c>
      <c r="AF27" s="172">
        <f t="shared" si="7"/>
        <v>180</v>
      </c>
      <c r="AG27" s="171"/>
      <c r="AH27" s="171"/>
    </row>
    <row r="28">
      <c r="A28" s="168">
        <v>27.0</v>
      </c>
      <c r="B28" s="171"/>
      <c r="C28" s="171"/>
      <c r="D28" s="171"/>
      <c r="E28" s="171"/>
      <c r="F28" s="171"/>
      <c r="G28" s="171"/>
      <c r="H28" s="171"/>
      <c r="I28" s="136"/>
      <c r="J28" s="136"/>
      <c r="K28" s="136">
        <f t="shared" si="11"/>
        <v>0</v>
      </c>
      <c r="L28" s="170"/>
      <c r="M28" s="173"/>
      <c r="N28" s="173"/>
      <c r="O28" s="173"/>
      <c r="P28" s="173"/>
      <c r="Q28" s="173"/>
      <c r="R28" s="136"/>
      <c r="S28" s="171"/>
      <c r="T28" s="171"/>
      <c r="U28" s="169">
        <f t="shared" si="1"/>
        <v>30</v>
      </c>
      <c r="V28" s="171"/>
      <c r="W28" s="172">
        <f t="shared" si="2"/>
        <v>90</v>
      </c>
      <c r="X28" s="171"/>
      <c r="Y28" s="172">
        <f t="shared" si="3"/>
        <v>150</v>
      </c>
      <c r="Z28" s="171"/>
      <c r="AA28" s="173">
        <f t="shared" si="4"/>
        <v>0</v>
      </c>
      <c r="AB28" s="172">
        <f t="shared" si="5"/>
        <v>195</v>
      </c>
      <c r="AC28" s="171"/>
      <c r="AD28" s="171"/>
      <c r="AE28" s="173">
        <f t="shared" si="6"/>
        <v>0</v>
      </c>
      <c r="AF28" s="172">
        <f t="shared" si="7"/>
        <v>180</v>
      </c>
      <c r="AG28" s="171"/>
      <c r="AH28" s="171"/>
    </row>
    <row r="29">
      <c r="A29" s="168">
        <v>28.0</v>
      </c>
      <c r="B29" s="171"/>
      <c r="C29" s="171"/>
      <c r="D29" s="171"/>
      <c r="E29" s="171"/>
      <c r="F29" s="171"/>
      <c r="G29" s="171"/>
      <c r="H29" s="171"/>
      <c r="I29" s="136"/>
      <c r="J29" s="136"/>
      <c r="K29" s="136">
        <f t="shared" si="11"/>
        <v>0</v>
      </c>
      <c r="L29" s="170"/>
      <c r="M29" s="173"/>
      <c r="N29" s="173"/>
      <c r="O29" s="173"/>
      <c r="P29" s="173"/>
      <c r="Q29" s="173"/>
      <c r="R29" s="136"/>
      <c r="S29" s="171"/>
      <c r="T29" s="171"/>
      <c r="U29" s="169">
        <f t="shared" si="1"/>
        <v>30</v>
      </c>
      <c r="V29" s="171"/>
      <c r="W29" s="172">
        <f t="shared" si="2"/>
        <v>90</v>
      </c>
      <c r="X29" s="171"/>
      <c r="Y29" s="172">
        <f t="shared" si="3"/>
        <v>150</v>
      </c>
      <c r="Z29" s="171"/>
      <c r="AA29" s="173">
        <f t="shared" si="4"/>
        <v>0</v>
      </c>
      <c r="AB29" s="172">
        <f t="shared" si="5"/>
        <v>195</v>
      </c>
      <c r="AC29" s="171"/>
      <c r="AD29" s="171"/>
      <c r="AE29" s="173">
        <f t="shared" si="6"/>
        <v>0</v>
      </c>
      <c r="AF29" s="172">
        <f t="shared" si="7"/>
        <v>180</v>
      </c>
      <c r="AG29" s="171"/>
      <c r="AH29" s="171"/>
    </row>
    <row r="30">
      <c r="A30" s="168">
        <v>29.0</v>
      </c>
      <c r="B30" s="171"/>
      <c r="C30" s="171"/>
      <c r="D30" s="171"/>
      <c r="E30" s="171"/>
      <c r="F30" s="171"/>
      <c r="G30" s="171"/>
      <c r="H30" s="171"/>
      <c r="I30" s="136"/>
      <c r="J30" s="136"/>
      <c r="K30" s="136">
        <f t="shared" si="11"/>
        <v>0</v>
      </c>
      <c r="L30" s="170"/>
      <c r="M30" s="173"/>
      <c r="N30" s="173"/>
      <c r="O30" s="173"/>
      <c r="P30" s="173"/>
      <c r="Q30" s="173"/>
      <c r="R30" s="136"/>
      <c r="S30" s="171"/>
      <c r="T30" s="171"/>
      <c r="U30" s="169">
        <f t="shared" si="1"/>
        <v>30</v>
      </c>
      <c r="V30" s="171"/>
      <c r="W30" s="172">
        <f t="shared" si="2"/>
        <v>90</v>
      </c>
      <c r="X30" s="171"/>
      <c r="Y30" s="172">
        <f t="shared" si="3"/>
        <v>150</v>
      </c>
      <c r="Z30" s="171"/>
      <c r="AA30" s="173">
        <f t="shared" si="4"/>
        <v>0</v>
      </c>
      <c r="AB30" s="172">
        <f t="shared" si="5"/>
        <v>195</v>
      </c>
      <c r="AC30" s="171"/>
      <c r="AD30" s="171"/>
      <c r="AE30" s="173">
        <f t="shared" si="6"/>
        <v>0</v>
      </c>
      <c r="AF30" s="172">
        <f t="shared" si="7"/>
        <v>180</v>
      </c>
      <c r="AG30" s="171"/>
      <c r="AH30" s="171"/>
    </row>
    <row r="31">
      <c r="A31" s="168">
        <v>30.0</v>
      </c>
      <c r="B31" s="171"/>
      <c r="C31" s="171"/>
      <c r="D31" s="171"/>
      <c r="E31" s="171"/>
      <c r="F31" s="171"/>
      <c r="G31" s="171"/>
      <c r="H31" s="171"/>
      <c r="I31" s="136"/>
      <c r="J31" s="136"/>
      <c r="K31" s="136">
        <f t="shared" si="11"/>
        <v>0</v>
      </c>
      <c r="L31" s="170"/>
      <c r="M31" s="173"/>
      <c r="N31" s="173"/>
      <c r="O31" s="173"/>
      <c r="P31" s="173"/>
      <c r="Q31" s="173"/>
      <c r="R31" s="136"/>
      <c r="S31" s="171"/>
      <c r="T31" s="171"/>
      <c r="U31" s="169">
        <f t="shared" si="1"/>
        <v>30</v>
      </c>
      <c r="V31" s="171"/>
      <c r="W31" s="172">
        <f t="shared" si="2"/>
        <v>90</v>
      </c>
      <c r="X31" s="171"/>
      <c r="Y31" s="172">
        <f t="shared" si="3"/>
        <v>150</v>
      </c>
      <c r="Z31" s="171"/>
      <c r="AA31" s="173">
        <f t="shared" si="4"/>
        <v>0</v>
      </c>
      <c r="AB31" s="172">
        <f t="shared" si="5"/>
        <v>195</v>
      </c>
      <c r="AC31" s="171"/>
      <c r="AD31" s="171"/>
      <c r="AE31" s="173">
        <f t="shared" si="6"/>
        <v>0</v>
      </c>
      <c r="AF31" s="172">
        <f t="shared" si="7"/>
        <v>180</v>
      </c>
      <c r="AG31" s="171"/>
      <c r="AH31" s="171"/>
    </row>
    <row r="32">
      <c r="A32" s="168">
        <v>31.0</v>
      </c>
      <c r="B32" s="171"/>
      <c r="C32" s="171"/>
      <c r="D32" s="171"/>
      <c r="E32" s="171"/>
      <c r="F32" s="171"/>
      <c r="G32" s="171"/>
      <c r="H32" s="171"/>
      <c r="I32" s="136"/>
      <c r="J32" s="136"/>
      <c r="K32" s="136">
        <f t="shared" si="11"/>
        <v>0</v>
      </c>
      <c r="L32" s="170"/>
      <c r="M32" s="173"/>
      <c r="N32" s="173"/>
      <c r="O32" s="173"/>
      <c r="P32" s="173"/>
      <c r="Q32" s="173"/>
      <c r="R32" s="136"/>
      <c r="S32" s="171"/>
      <c r="T32" s="171"/>
      <c r="U32" s="169">
        <f t="shared" si="1"/>
        <v>30</v>
      </c>
      <c r="V32" s="171"/>
      <c r="W32" s="172">
        <f t="shared" si="2"/>
        <v>90</v>
      </c>
      <c r="X32" s="171"/>
      <c r="Y32" s="172">
        <f t="shared" si="3"/>
        <v>150</v>
      </c>
      <c r="Z32" s="171"/>
      <c r="AA32" s="173">
        <f t="shared" si="4"/>
        <v>0</v>
      </c>
      <c r="AB32" s="172">
        <f t="shared" si="5"/>
        <v>195</v>
      </c>
      <c r="AC32" s="171"/>
      <c r="AD32" s="171"/>
      <c r="AE32" s="173">
        <f t="shared" si="6"/>
        <v>0</v>
      </c>
      <c r="AF32" s="172">
        <f t="shared" si="7"/>
        <v>180</v>
      </c>
      <c r="AG32" s="171"/>
      <c r="AH32" s="171"/>
    </row>
    <row r="33">
      <c r="A33" s="168">
        <v>32.0</v>
      </c>
      <c r="B33" s="171"/>
      <c r="C33" s="171"/>
      <c r="D33" s="171"/>
      <c r="E33" s="171"/>
      <c r="F33" s="171"/>
      <c r="G33" s="171"/>
      <c r="H33" s="171"/>
      <c r="I33" s="136"/>
      <c r="J33" s="136"/>
      <c r="K33" s="136">
        <f t="shared" si="11"/>
        <v>0</v>
      </c>
      <c r="L33" s="170"/>
      <c r="M33" s="173"/>
      <c r="N33" s="173"/>
      <c r="O33" s="173"/>
      <c r="P33" s="173"/>
      <c r="Q33" s="173"/>
      <c r="R33" s="136"/>
      <c r="S33" s="171"/>
      <c r="T33" s="171"/>
      <c r="U33" s="169">
        <f t="shared" si="1"/>
        <v>30</v>
      </c>
      <c r="V33" s="171"/>
      <c r="W33" s="172">
        <f t="shared" si="2"/>
        <v>90</v>
      </c>
      <c r="X33" s="171"/>
      <c r="Y33" s="172">
        <f t="shared" si="3"/>
        <v>150</v>
      </c>
      <c r="Z33" s="171"/>
      <c r="AA33" s="173">
        <f t="shared" si="4"/>
        <v>0</v>
      </c>
      <c r="AB33" s="172">
        <f t="shared" si="5"/>
        <v>195</v>
      </c>
      <c r="AC33" s="171"/>
      <c r="AD33" s="171"/>
      <c r="AE33" s="173">
        <f t="shared" si="6"/>
        <v>0</v>
      </c>
      <c r="AF33" s="172">
        <f t="shared" si="7"/>
        <v>180</v>
      </c>
      <c r="AG33" s="171"/>
      <c r="AH33" s="171"/>
    </row>
    <row r="34">
      <c r="A34" s="168">
        <v>33.0</v>
      </c>
      <c r="B34" s="171"/>
      <c r="C34" s="171"/>
      <c r="D34" s="171"/>
      <c r="E34" s="171"/>
      <c r="F34" s="171"/>
      <c r="G34" s="171"/>
      <c r="H34" s="171"/>
      <c r="I34" s="136"/>
      <c r="J34" s="136"/>
      <c r="K34" s="136">
        <f t="shared" si="11"/>
        <v>0</v>
      </c>
      <c r="L34" s="170"/>
      <c r="M34" s="173"/>
      <c r="N34" s="173"/>
      <c r="O34" s="173"/>
      <c r="P34" s="173"/>
      <c r="Q34" s="173"/>
      <c r="R34" s="136"/>
      <c r="S34" s="171"/>
      <c r="T34" s="171"/>
      <c r="U34" s="169">
        <f t="shared" si="1"/>
        <v>30</v>
      </c>
      <c r="V34" s="171"/>
      <c r="W34" s="172">
        <f t="shared" si="2"/>
        <v>90</v>
      </c>
      <c r="X34" s="171"/>
      <c r="Y34" s="172">
        <f t="shared" si="3"/>
        <v>150</v>
      </c>
      <c r="Z34" s="171"/>
      <c r="AA34" s="173">
        <f t="shared" si="4"/>
        <v>0</v>
      </c>
      <c r="AB34" s="172">
        <f t="shared" si="5"/>
        <v>195</v>
      </c>
      <c r="AC34" s="171"/>
      <c r="AD34" s="171"/>
      <c r="AE34" s="173">
        <f t="shared" si="6"/>
        <v>0</v>
      </c>
      <c r="AF34" s="172">
        <f t="shared" si="7"/>
        <v>180</v>
      </c>
      <c r="AG34" s="171"/>
      <c r="AH34" s="171"/>
    </row>
    <row r="35">
      <c r="A35" s="168">
        <v>34.0</v>
      </c>
      <c r="B35" s="171"/>
      <c r="C35" s="171"/>
      <c r="D35" s="171"/>
      <c r="E35" s="171"/>
      <c r="F35" s="171"/>
      <c r="G35" s="171"/>
      <c r="H35" s="171"/>
      <c r="I35" s="136"/>
      <c r="J35" s="136"/>
      <c r="K35" s="136">
        <f t="shared" si="11"/>
        <v>0</v>
      </c>
      <c r="L35" s="170"/>
      <c r="M35" s="173"/>
      <c r="N35" s="173"/>
      <c r="O35" s="173"/>
      <c r="P35" s="173"/>
      <c r="Q35" s="173"/>
      <c r="R35" s="136"/>
      <c r="S35" s="171"/>
      <c r="T35" s="171"/>
      <c r="U35" s="169">
        <f t="shared" si="1"/>
        <v>30</v>
      </c>
      <c r="V35" s="171"/>
      <c r="W35" s="172">
        <f t="shared" si="2"/>
        <v>90</v>
      </c>
      <c r="X35" s="171"/>
      <c r="Y35" s="172">
        <f t="shared" si="3"/>
        <v>150</v>
      </c>
      <c r="Z35" s="171"/>
      <c r="AA35" s="173">
        <f t="shared" si="4"/>
        <v>0</v>
      </c>
      <c r="AB35" s="172">
        <f t="shared" si="5"/>
        <v>195</v>
      </c>
      <c r="AC35" s="171"/>
      <c r="AD35" s="171"/>
      <c r="AE35" s="173">
        <f t="shared" si="6"/>
        <v>0</v>
      </c>
      <c r="AF35" s="172">
        <f t="shared" si="7"/>
        <v>180</v>
      </c>
      <c r="AG35" s="171"/>
      <c r="AH35" s="171"/>
    </row>
    <row r="36">
      <c r="A36" s="168">
        <v>35.0</v>
      </c>
      <c r="B36" s="171"/>
      <c r="C36" s="171"/>
      <c r="D36" s="171"/>
      <c r="E36" s="171"/>
      <c r="F36" s="171"/>
      <c r="G36" s="171"/>
      <c r="H36" s="171"/>
      <c r="I36" s="136"/>
      <c r="J36" s="136"/>
      <c r="K36" s="136">
        <f t="shared" si="11"/>
        <v>0</v>
      </c>
      <c r="L36" s="170"/>
      <c r="M36" s="173"/>
      <c r="N36" s="173"/>
      <c r="O36" s="173"/>
      <c r="P36" s="173"/>
      <c r="Q36" s="173"/>
      <c r="R36" s="136"/>
      <c r="S36" s="171"/>
      <c r="T36" s="171"/>
      <c r="U36" s="169">
        <f t="shared" si="1"/>
        <v>30</v>
      </c>
      <c r="V36" s="171"/>
      <c r="W36" s="172">
        <f t="shared" si="2"/>
        <v>90</v>
      </c>
      <c r="X36" s="171"/>
      <c r="Y36" s="172">
        <f t="shared" si="3"/>
        <v>150</v>
      </c>
      <c r="Z36" s="171"/>
      <c r="AA36" s="173">
        <f t="shared" si="4"/>
        <v>0</v>
      </c>
      <c r="AB36" s="172">
        <f t="shared" si="5"/>
        <v>195</v>
      </c>
      <c r="AC36" s="171"/>
      <c r="AD36" s="171"/>
      <c r="AE36" s="173">
        <f t="shared" si="6"/>
        <v>0</v>
      </c>
      <c r="AF36" s="172">
        <f t="shared" si="7"/>
        <v>180</v>
      </c>
      <c r="AG36" s="171"/>
      <c r="AH36" s="171"/>
    </row>
    <row r="37">
      <c r="A37" s="168">
        <v>36.0</v>
      </c>
      <c r="B37" s="171"/>
      <c r="C37" s="171"/>
      <c r="D37" s="171"/>
      <c r="E37" s="171"/>
      <c r="F37" s="171"/>
      <c r="G37" s="171"/>
      <c r="H37" s="171"/>
      <c r="I37" s="136"/>
      <c r="J37" s="136"/>
      <c r="K37" s="136">
        <f t="shared" si="11"/>
        <v>0</v>
      </c>
      <c r="L37" s="170"/>
      <c r="M37" s="173"/>
      <c r="N37" s="173"/>
      <c r="O37" s="173"/>
      <c r="P37" s="173"/>
      <c r="Q37" s="173"/>
      <c r="R37" s="136"/>
      <c r="S37" s="171"/>
      <c r="T37" s="171"/>
      <c r="U37" s="169">
        <f t="shared" si="1"/>
        <v>30</v>
      </c>
      <c r="V37" s="171"/>
      <c r="W37" s="172">
        <f t="shared" si="2"/>
        <v>90</v>
      </c>
      <c r="X37" s="171"/>
      <c r="Y37" s="172">
        <f t="shared" si="3"/>
        <v>150</v>
      </c>
      <c r="Z37" s="171"/>
      <c r="AA37" s="173">
        <f t="shared" si="4"/>
        <v>0</v>
      </c>
      <c r="AB37" s="172">
        <f t="shared" si="5"/>
        <v>195</v>
      </c>
      <c r="AC37" s="171"/>
      <c r="AD37" s="171"/>
      <c r="AE37" s="173">
        <f t="shared" si="6"/>
        <v>0</v>
      </c>
      <c r="AF37" s="172">
        <f t="shared" si="7"/>
        <v>180</v>
      </c>
      <c r="AG37" s="171"/>
      <c r="AH37" s="171"/>
    </row>
    <row r="38">
      <c r="A38" s="168">
        <v>37.0</v>
      </c>
      <c r="B38" s="171"/>
      <c r="C38" s="171"/>
      <c r="D38" s="171"/>
      <c r="E38" s="171"/>
      <c r="F38" s="171"/>
      <c r="G38" s="171"/>
      <c r="H38" s="171"/>
      <c r="I38" s="136"/>
      <c r="J38" s="136"/>
      <c r="K38" s="136">
        <f t="shared" si="11"/>
        <v>0</v>
      </c>
      <c r="L38" s="170"/>
      <c r="M38" s="173"/>
      <c r="N38" s="173"/>
      <c r="O38" s="173"/>
      <c r="P38" s="173"/>
      <c r="Q38" s="173"/>
      <c r="R38" s="136"/>
      <c r="S38" s="171"/>
      <c r="T38" s="171"/>
      <c r="U38" s="169">
        <f t="shared" si="1"/>
        <v>30</v>
      </c>
      <c r="V38" s="171"/>
      <c r="W38" s="172">
        <f t="shared" si="2"/>
        <v>90</v>
      </c>
      <c r="X38" s="171"/>
      <c r="Y38" s="172">
        <f t="shared" si="3"/>
        <v>150</v>
      </c>
      <c r="Z38" s="171"/>
      <c r="AA38" s="173">
        <f t="shared" si="4"/>
        <v>0</v>
      </c>
      <c r="AB38" s="172">
        <f t="shared" si="5"/>
        <v>195</v>
      </c>
      <c r="AC38" s="171"/>
      <c r="AD38" s="171"/>
      <c r="AE38" s="173">
        <f t="shared" si="6"/>
        <v>0</v>
      </c>
      <c r="AF38" s="172">
        <f t="shared" si="7"/>
        <v>180</v>
      </c>
      <c r="AG38" s="171"/>
      <c r="AH38" s="171"/>
    </row>
    <row r="39">
      <c r="A39" s="168">
        <v>38.0</v>
      </c>
      <c r="B39" s="171"/>
      <c r="C39" s="171"/>
      <c r="D39" s="171"/>
      <c r="E39" s="171"/>
      <c r="F39" s="171"/>
      <c r="G39" s="171"/>
      <c r="H39" s="171"/>
      <c r="I39" s="136"/>
      <c r="J39" s="136"/>
      <c r="K39" s="136">
        <f t="shared" si="11"/>
        <v>0</v>
      </c>
      <c r="L39" s="170"/>
      <c r="M39" s="173"/>
      <c r="N39" s="173"/>
      <c r="O39" s="173"/>
      <c r="P39" s="173"/>
      <c r="Q39" s="173"/>
      <c r="R39" s="136"/>
      <c r="S39" s="171"/>
      <c r="T39" s="171"/>
      <c r="U39" s="169">
        <f t="shared" si="1"/>
        <v>30</v>
      </c>
      <c r="V39" s="171"/>
      <c r="W39" s="172">
        <f t="shared" si="2"/>
        <v>90</v>
      </c>
      <c r="X39" s="171"/>
      <c r="Y39" s="172">
        <f t="shared" si="3"/>
        <v>150</v>
      </c>
      <c r="Z39" s="171"/>
      <c r="AA39" s="173">
        <f t="shared" si="4"/>
        <v>0</v>
      </c>
      <c r="AB39" s="172">
        <f t="shared" si="5"/>
        <v>195</v>
      </c>
      <c r="AC39" s="171"/>
      <c r="AD39" s="171"/>
      <c r="AE39" s="173">
        <f t="shared" si="6"/>
        <v>0</v>
      </c>
      <c r="AF39" s="172">
        <f t="shared" si="7"/>
        <v>180</v>
      </c>
      <c r="AG39" s="171"/>
      <c r="AH39" s="171"/>
    </row>
    <row r="40">
      <c r="A40" s="168">
        <v>39.0</v>
      </c>
      <c r="B40" s="171"/>
      <c r="C40" s="171"/>
      <c r="D40" s="171"/>
      <c r="E40" s="171"/>
      <c r="F40" s="171"/>
      <c r="G40" s="171"/>
      <c r="H40" s="171"/>
      <c r="I40" s="136"/>
      <c r="J40" s="136"/>
      <c r="K40" s="136">
        <f t="shared" si="11"/>
        <v>0</v>
      </c>
      <c r="L40" s="170"/>
      <c r="M40" s="173"/>
      <c r="N40" s="173"/>
      <c r="O40" s="173"/>
      <c r="P40" s="173"/>
      <c r="Q40" s="173"/>
      <c r="R40" s="136"/>
      <c r="S40" s="171"/>
      <c r="T40" s="171"/>
      <c r="U40" s="169">
        <f t="shared" si="1"/>
        <v>30</v>
      </c>
      <c r="V40" s="171"/>
      <c r="W40" s="172">
        <f t="shared" si="2"/>
        <v>90</v>
      </c>
      <c r="X40" s="171"/>
      <c r="Y40" s="172">
        <f t="shared" si="3"/>
        <v>150</v>
      </c>
      <c r="Z40" s="171"/>
      <c r="AA40" s="173">
        <f t="shared" si="4"/>
        <v>0</v>
      </c>
      <c r="AB40" s="172">
        <f t="shared" si="5"/>
        <v>195</v>
      </c>
      <c r="AC40" s="171"/>
      <c r="AD40" s="171"/>
      <c r="AE40" s="173">
        <f t="shared" si="6"/>
        <v>0</v>
      </c>
      <c r="AF40" s="172">
        <f t="shared" si="7"/>
        <v>180</v>
      </c>
      <c r="AG40" s="171"/>
      <c r="AH40" s="171"/>
    </row>
    <row r="41">
      <c r="A41" s="168">
        <v>40.0</v>
      </c>
      <c r="B41" s="171"/>
      <c r="C41" s="171"/>
      <c r="D41" s="171"/>
      <c r="E41" s="171"/>
      <c r="F41" s="171"/>
      <c r="G41" s="171"/>
      <c r="H41" s="171"/>
      <c r="I41" s="136"/>
      <c r="J41" s="136"/>
      <c r="K41" s="136">
        <f t="shared" si="11"/>
        <v>0</v>
      </c>
      <c r="L41" s="170"/>
      <c r="M41" s="173"/>
      <c r="N41" s="173"/>
      <c r="O41" s="173"/>
      <c r="P41" s="173"/>
      <c r="Q41" s="173"/>
      <c r="R41" s="136"/>
      <c r="S41" s="171"/>
      <c r="T41" s="171"/>
      <c r="U41" s="169">
        <f t="shared" si="1"/>
        <v>30</v>
      </c>
      <c r="V41" s="171"/>
      <c r="W41" s="172">
        <f t="shared" si="2"/>
        <v>90</v>
      </c>
      <c r="X41" s="171"/>
      <c r="Y41" s="172">
        <f t="shared" si="3"/>
        <v>150</v>
      </c>
      <c r="Z41" s="171"/>
      <c r="AA41" s="173">
        <f t="shared" si="4"/>
        <v>0</v>
      </c>
      <c r="AB41" s="172">
        <f t="shared" si="5"/>
        <v>195</v>
      </c>
      <c r="AC41" s="171"/>
      <c r="AD41" s="171"/>
      <c r="AE41" s="173">
        <f t="shared" si="6"/>
        <v>0</v>
      </c>
      <c r="AF41" s="172">
        <f t="shared" si="7"/>
        <v>180</v>
      </c>
      <c r="AG41" s="171"/>
      <c r="AH41" s="171"/>
    </row>
    <row r="42">
      <c r="A42" s="168">
        <v>41.0</v>
      </c>
      <c r="B42" s="171"/>
      <c r="C42" s="171"/>
      <c r="D42" s="171"/>
      <c r="E42" s="171"/>
      <c r="F42" s="171"/>
      <c r="G42" s="171"/>
      <c r="H42" s="171"/>
      <c r="I42" s="136"/>
      <c r="J42" s="136"/>
      <c r="K42" s="136">
        <f t="shared" si="11"/>
        <v>0</v>
      </c>
      <c r="L42" s="170"/>
      <c r="M42" s="173"/>
      <c r="N42" s="173"/>
      <c r="O42" s="173"/>
      <c r="P42" s="173"/>
      <c r="Q42" s="173"/>
      <c r="R42" s="136"/>
      <c r="S42" s="171"/>
      <c r="T42" s="171"/>
      <c r="U42" s="169">
        <f t="shared" si="1"/>
        <v>30</v>
      </c>
      <c r="V42" s="171"/>
      <c r="W42" s="172">
        <f t="shared" si="2"/>
        <v>90</v>
      </c>
      <c r="X42" s="171"/>
      <c r="Y42" s="172">
        <f t="shared" si="3"/>
        <v>150</v>
      </c>
      <c r="Z42" s="171"/>
      <c r="AA42" s="173">
        <f t="shared" si="4"/>
        <v>0</v>
      </c>
      <c r="AB42" s="172">
        <f t="shared" si="5"/>
        <v>195</v>
      </c>
      <c r="AC42" s="171"/>
      <c r="AD42" s="171"/>
      <c r="AE42" s="173">
        <f t="shared" si="6"/>
        <v>0</v>
      </c>
      <c r="AF42" s="172">
        <f t="shared" si="7"/>
        <v>180</v>
      </c>
      <c r="AG42" s="171"/>
      <c r="AH42" s="171"/>
    </row>
    <row r="43">
      <c r="A43" s="168">
        <v>42.0</v>
      </c>
      <c r="B43" s="171"/>
      <c r="C43" s="171"/>
      <c r="D43" s="171"/>
      <c r="E43" s="171"/>
      <c r="F43" s="171"/>
      <c r="G43" s="171"/>
      <c r="H43" s="171"/>
      <c r="I43" s="136"/>
      <c r="J43" s="136"/>
      <c r="K43" s="136">
        <f t="shared" si="11"/>
        <v>0</v>
      </c>
      <c r="L43" s="170"/>
      <c r="M43" s="173"/>
      <c r="N43" s="173"/>
      <c r="O43" s="173"/>
      <c r="P43" s="173"/>
      <c r="Q43" s="173"/>
      <c r="R43" s="136"/>
      <c r="S43" s="171"/>
      <c r="T43" s="171"/>
      <c r="U43" s="169">
        <f t="shared" si="1"/>
        <v>30</v>
      </c>
      <c r="V43" s="171"/>
      <c r="W43" s="172">
        <f t="shared" si="2"/>
        <v>90</v>
      </c>
      <c r="X43" s="171"/>
      <c r="Y43" s="172">
        <f t="shared" si="3"/>
        <v>150</v>
      </c>
      <c r="Z43" s="171"/>
      <c r="AA43" s="173">
        <f t="shared" si="4"/>
        <v>0</v>
      </c>
      <c r="AB43" s="172">
        <f t="shared" si="5"/>
        <v>195</v>
      </c>
      <c r="AC43" s="171"/>
      <c r="AD43" s="171"/>
      <c r="AE43" s="173">
        <f t="shared" si="6"/>
        <v>0</v>
      </c>
      <c r="AF43" s="172">
        <f t="shared" si="7"/>
        <v>180</v>
      </c>
      <c r="AG43" s="171"/>
      <c r="AH43" s="171"/>
    </row>
    <row r="44">
      <c r="A44" s="168">
        <v>43.0</v>
      </c>
      <c r="B44" s="171"/>
      <c r="C44" s="171"/>
      <c r="D44" s="171"/>
      <c r="E44" s="171"/>
      <c r="F44" s="171"/>
      <c r="G44" s="171"/>
      <c r="H44" s="171"/>
      <c r="I44" s="136"/>
      <c r="J44" s="136"/>
      <c r="K44" s="136">
        <f t="shared" si="11"/>
        <v>0</v>
      </c>
      <c r="L44" s="170"/>
      <c r="M44" s="173"/>
      <c r="N44" s="173"/>
      <c r="O44" s="173"/>
      <c r="P44" s="173"/>
      <c r="Q44" s="173"/>
      <c r="R44" s="136"/>
      <c r="S44" s="171"/>
      <c r="T44" s="171"/>
      <c r="U44" s="169">
        <f t="shared" si="1"/>
        <v>30</v>
      </c>
      <c r="V44" s="171"/>
      <c r="W44" s="172">
        <f t="shared" si="2"/>
        <v>90</v>
      </c>
      <c r="X44" s="171"/>
      <c r="Y44" s="172">
        <f t="shared" si="3"/>
        <v>150</v>
      </c>
      <c r="Z44" s="171"/>
      <c r="AA44" s="173">
        <f t="shared" si="4"/>
        <v>0</v>
      </c>
      <c r="AB44" s="172">
        <f t="shared" si="5"/>
        <v>195</v>
      </c>
      <c r="AC44" s="171"/>
      <c r="AD44" s="171"/>
      <c r="AE44" s="173">
        <f t="shared" si="6"/>
        <v>0</v>
      </c>
      <c r="AF44" s="172">
        <f t="shared" si="7"/>
        <v>180</v>
      </c>
      <c r="AG44" s="171"/>
      <c r="AH44" s="171"/>
    </row>
    <row r="45">
      <c r="A45" s="168">
        <v>44.0</v>
      </c>
      <c r="B45" s="171"/>
      <c r="C45" s="171"/>
      <c r="D45" s="171"/>
      <c r="E45" s="171"/>
      <c r="F45" s="171"/>
      <c r="G45" s="171"/>
      <c r="H45" s="171"/>
      <c r="I45" s="136"/>
      <c r="J45" s="136"/>
      <c r="K45" s="136">
        <f t="shared" si="11"/>
        <v>0</v>
      </c>
      <c r="L45" s="170"/>
      <c r="M45" s="173"/>
      <c r="N45" s="173"/>
      <c r="O45" s="173"/>
      <c r="P45" s="173"/>
      <c r="Q45" s="173"/>
      <c r="R45" s="136"/>
      <c r="S45" s="171"/>
      <c r="T45" s="171"/>
      <c r="U45" s="169">
        <f t="shared" si="1"/>
        <v>30</v>
      </c>
      <c r="V45" s="171"/>
      <c r="W45" s="172">
        <f t="shared" si="2"/>
        <v>90</v>
      </c>
      <c r="X45" s="171"/>
      <c r="Y45" s="172">
        <f t="shared" si="3"/>
        <v>150</v>
      </c>
      <c r="Z45" s="171"/>
      <c r="AA45" s="173">
        <f t="shared" si="4"/>
        <v>0</v>
      </c>
      <c r="AB45" s="172">
        <f t="shared" si="5"/>
        <v>195</v>
      </c>
      <c r="AC45" s="171"/>
      <c r="AD45" s="171"/>
      <c r="AE45" s="173">
        <f t="shared" si="6"/>
        <v>0</v>
      </c>
      <c r="AF45" s="172">
        <f t="shared" si="7"/>
        <v>180</v>
      </c>
      <c r="AG45" s="171"/>
      <c r="AH45" s="171"/>
    </row>
    <row r="46">
      <c r="A46" s="168">
        <v>45.0</v>
      </c>
      <c r="B46" s="171"/>
      <c r="C46" s="171"/>
      <c r="D46" s="171"/>
      <c r="E46" s="171"/>
      <c r="F46" s="171"/>
      <c r="G46" s="171"/>
      <c r="H46" s="171"/>
      <c r="I46" s="136"/>
      <c r="J46" s="136"/>
      <c r="K46" s="136">
        <f t="shared" si="11"/>
        <v>0</v>
      </c>
      <c r="L46" s="170"/>
      <c r="M46" s="173"/>
      <c r="N46" s="173"/>
      <c r="O46" s="173"/>
      <c r="P46" s="173"/>
      <c r="Q46" s="173"/>
      <c r="R46" s="136"/>
      <c r="S46" s="171"/>
      <c r="T46" s="171"/>
      <c r="U46" s="169">
        <f t="shared" si="1"/>
        <v>30</v>
      </c>
      <c r="V46" s="171"/>
      <c r="W46" s="172">
        <f t="shared" si="2"/>
        <v>90</v>
      </c>
      <c r="X46" s="171"/>
      <c r="Y46" s="172">
        <f t="shared" si="3"/>
        <v>150</v>
      </c>
      <c r="Z46" s="171"/>
      <c r="AA46" s="173">
        <f t="shared" si="4"/>
        <v>0</v>
      </c>
      <c r="AB46" s="172">
        <f t="shared" si="5"/>
        <v>195</v>
      </c>
      <c r="AC46" s="171"/>
      <c r="AD46" s="171"/>
      <c r="AE46" s="173">
        <f t="shared" si="6"/>
        <v>0</v>
      </c>
      <c r="AF46" s="172">
        <f t="shared" si="7"/>
        <v>180</v>
      </c>
      <c r="AG46" s="171"/>
      <c r="AH46" s="171"/>
    </row>
    <row r="47">
      <c r="A47" s="168">
        <v>46.0</v>
      </c>
      <c r="B47" s="171"/>
      <c r="C47" s="171"/>
      <c r="D47" s="171"/>
      <c r="E47" s="171"/>
      <c r="F47" s="171"/>
      <c r="G47" s="171"/>
      <c r="H47" s="171"/>
      <c r="I47" s="136"/>
      <c r="J47" s="136"/>
      <c r="K47" s="136">
        <f t="shared" si="11"/>
        <v>0</v>
      </c>
      <c r="L47" s="170"/>
      <c r="M47" s="173"/>
      <c r="N47" s="173"/>
      <c r="O47" s="173"/>
      <c r="P47" s="173"/>
      <c r="Q47" s="173"/>
      <c r="R47" s="136"/>
      <c r="S47" s="171"/>
      <c r="T47" s="171"/>
      <c r="U47" s="169">
        <f t="shared" si="1"/>
        <v>30</v>
      </c>
      <c r="V47" s="171"/>
      <c r="W47" s="172">
        <f t="shared" si="2"/>
        <v>90</v>
      </c>
      <c r="X47" s="171"/>
      <c r="Y47" s="172">
        <f t="shared" si="3"/>
        <v>150</v>
      </c>
      <c r="Z47" s="171"/>
      <c r="AA47" s="173">
        <f t="shared" si="4"/>
        <v>0</v>
      </c>
      <c r="AB47" s="172">
        <f t="shared" si="5"/>
        <v>195</v>
      </c>
      <c r="AC47" s="171"/>
      <c r="AD47" s="171"/>
      <c r="AE47" s="173">
        <f t="shared" si="6"/>
        <v>0</v>
      </c>
      <c r="AF47" s="172">
        <f t="shared" si="7"/>
        <v>180</v>
      </c>
      <c r="AG47" s="171"/>
      <c r="AH47" s="171"/>
    </row>
    <row r="48">
      <c r="A48" s="168">
        <v>47.0</v>
      </c>
      <c r="B48" s="171"/>
      <c r="C48" s="171"/>
      <c r="D48" s="171"/>
      <c r="E48" s="171"/>
      <c r="F48" s="171"/>
      <c r="G48" s="171"/>
      <c r="H48" s="171"/>
      <c r="I48" s="136"/>
      <c r="J48" s="136"/>
      <c r="K48" s="136">
        <f t="shared" si="11"/>
        <v>0</v>
      </c>
      <c r="L48" s="170"/>
      <c r="M48" s="173"/>
      <c r="N48" s="173"/>
      <c r="O48" s="173"/>
      <c r="P48" s="173"/>
      <c r="Q48" s="173"/>
      <c r="R48" s="136"/>
      <c r="S48" s="171"/>
      <c r="T48" s="171"/>
      <c r="U48" s="169">
        <f t="shared" si="1"/>
        <v>30</v>
      </c>
      <c r="V48" s="171"/>
      <c r="W48" s="172">
        <f t="shared" si="2"/>
        <v>90</v>
      </c>
      <c r="X48" s="171"/>
      <c r="Y48" s="172">
        <f t="shared" si="3"/>
        <v>150</v>
      </c>
      <c r="Z48" s="171"/>
      <c r="AA48" s="173">
        <f t="shared" si="4"/>
        <v>0</v>
      </c>
      <c r="AB48" s="172">
        <f t="shared" si="5"/>
        <v>195</v>
      </c>
      <c r="AC48" s="171"/>
      <c r="AD48" s="171"/>
      <c r="AE48" s="173">
        <f t="shared" si="6"/>
        <v>0</v>
      </c>
      <c r="AF48" s="172">
        <f t="shared" si="7"/>
        <v>180</v>
      </c>
      <c r="AG48" s="171"/>
      <c r="AH48" s="171"/>
    </row>
    <row r="49">
      <c r="A49" s="168">
        <v>48.0</v>
      </c>
      <c r="B49" s="171"/>
      <c r="C49" s="171"/>
      <c r="D49" s="171"/>
      <c r="E49" s="171"/>
      <c r="F49" s="171"/>
      <c r="G49" s="171"/>
      <c r="H49" s="171"/>
      <c r="I49" s="136"/>
      <c r="J49" s="136"/>
      <c r="K49" s="136">
        <f t="shared" si="11"/>
        <v>0</v>
      </c>
      <c r="L49" s="170"/>
      <c r="M49" s="173"/>
      <c r="N49" s="173"/>
      <c r="O49" s="173"/>
      <c r="P49" s="173"/>
      <c r="Q49" s="173"/>
      <c r="R49" s="136"/>
      <c r="S49" s="171"/>
      <c r="T49" s="171"/>
      <c r="U49" s="169">
        <f t="shared" si="1"/>
        <v>30</v>
      </c>
      <c r="V49" s="171"/>
      <c r="W49" s="172">
        <f t="shared" si="2"/>
        <v>90</v>
      </c>
      <c r="X49" s="171"/>
      <c r="Y49" s="172">
        <f t="shared" si="3"/>
        <v>150</v>
      </c>
      <c r="Z49" s="171"/>
      <c r="AA49" s="173">
        <f t="shared" si="4"/>
        <v>0</v>
      </c>
      <c r="AB49" s="172">
        <f t="shared" si="5"/>
        <v>195</v>
      </c>
      <c r="AC49" s="171"/>
      <c r="AD49" s="171"/>
      <c r="AE49" s="173">
        <f t="shared" si="6"/>
        <v>0</v>
      </c>
      <c r="AF49" s="172">
        <f t="shared" si="7"/>
        <v>180</v>
      </c>
      <c r="AG49" s="171"/>
      <c r="AH49" s="171"/>
    </row>
    <row r="50">
      <c r="A50" s="168">
        <v>49.0</v>
      </c>
      <c r="B50" s="171"/>
      <c r="C50" s="171"/>
      <c r="D50" s="171"/>
      <c r="E50" s="171"/>
      <c r="F50" s="171"/>
      <c r="G50" s="171"/>
      <c r="H50" s="171"/>
      <c r="I50" s="136"/>
      <c r="J50" s="136"/>
      <c r="K50" s="136">
        <f t="shared" si="11"/>
        <v>0</v>
      </c>
      <c r="L50" s="170"/>
      <c r="M50" s="173"/>
      <c r="N50" s="173"/>
      <c r="O50" s="173"/>
      <c r="P50" s="173"/>
      <c r="Q50" s="173"/>
      <c r="R50" s="136"/>
      <c r="S50" s="171"/>
      <c r="T50" s="171"/>
      <c r="U50" s="169">
        <f t="shared" si="1"/>
        <v>30</v>
      </c>
      <c r="V50" s="171"/>
      <c r="W50" s="172">
        <f t="shared" si="2"/>
        <v>90</v>
      </c>
      <c r="X50" s="171"/>
      <c r="Y50" s="172">
        <f t="shared" si="3"/>
        <v>150</v>
      </c>
      <c r="Z50" s="171"/>
      <c r="AA50" s="173">
        <f t="shared" si="4"/>
        <v>0</v>
      </c>
      <c r="AB50" s="172">
        <f t="shared" si="5"/>
        <v>195</v>
      </c>
      <c r="AC50" s="171"/>
      <c r="AD50" s="171"/>
      <c r="AE50" s="173">
        <f t="shared" si="6"/>
        <v>0</v>
      </c>
      <c r="AF50" s="172">
        <f t="shared" si="7"/>
        <v>180</v>
      </c>
      <c r="AG50" s="171"/>
      <c r="AH50" s="171"/>
    </row>
    <row r="51">
      <c r="A51" s="168">
        <v>50.0</v>
      </c>
      <c r="B51" s="171"/>
      <c r="C51" s="171"/>
      <c r="D51" s="171"/>
      <c r="E51" s="171"/>
      <c r="F51" s="171"/>
      <c r="G51" s="171"/>
      <c r="H51" s="171"/>
      <c r="I51" s="136"/>
      <c r="J51" s="136"/>
      <c r="K51" s="136">
        <f t="shared" si="11"/>
        <v>0</v>
      </c>
      <c r="L51" s="170"/>
      <c r="M51" s="173"/>
      <c r="N51" s="173"/>
      <c r="O51" s="173"/>
      <c r="P51" s="173"/>
      <c r="Q51" s="173"/>
      <c r="R51" s="136"/>
      <c r="S51" s="171"/>
      <c r="T51" s="171"/>
      <c r="U51" s="169">
        <f t="shared" si="1"/>
        <v>30</v>
      </c>
      <c r="V51" s="171"/>
      <c r="W51" s="172">
        <f t="shared" si="2"/>
        <v>90</v>
      </c>
      <c r="X51" s="171"/>
      <c r="Y51" s="172">
        <f t="shared" si="3"/>
        <v>150</v>
      </c>
      <c r="Z51" s="171"/>
      <c r="AA51" s="173">
        <f t="shared" si="4"/>
        <v>0</v>
      </c>
      <c r="AB51" s="172">
        <f t="shared" si="5"/>
        <v>195</v>
      </c>
      <c r="AC51" s="171"/>
      <c r="AD51" s="171"/>
      <c r="AE51" s="173">
        <f t="shared" si="6"/>
        <v>0</v>
      </c>
      <c r="AF51" s="172">
        <f t="shared" si="7"/>
        <v>180</v>
      </c>
      <c r="AG51" s="171"/>
      <c r="AH51" s="171"/>
    </row>
    <row r="52">
      <c r="A52" s="168">
        <v>51.0</v>
      </c>
      <c r="B52" s="171"/>
      <c r="C52" s="171"/>
      <c r="D52" s="171"/>
      <c r="E52" s="171"/>
      <c r="F52" s="171"/>
      <c r="G52" s="171"/>
      <c r="H52" s="171"/>
      <c r="I52" s="136"/>
      <c r="J52" s="136"/>
      <c r="K52" s="136">
        <f t="shared" si="11"/>
        <v>0</v>
      </c>
      <c r="L52" s="170"/>
      <c r="M52" s="173"/>
      <c r="N52" s="173"/>
      <c r="O52" s="173"/>
      <c r="P52" s="173"/>
      <c r="Q52" s="173"/>
      <c r="R52" s="136"/>
      <c r="S52" s="171"/>
      <c r="T52" s="171"/>
      <c r="U52" s="169">
        <f t="shared" si="1"/>
        <v>30</v>
      </c>
      <c r="V52" s="171"/>
      <c r="W52" s="172">
        <f t="shared" si="2"/>
        <v>90</v>
      </c>
      <c r="X52" s="171"/>
      <c r="Y52" s="172">
        <f t="shared" si="3"/>
        <v>150</v>
      </c>
      <c r="Z52" s="171"/>
      <c r="AA52" s="173">
        <f t="shared" si="4"/>
        <v>0</v>
      </c>
      <c r="AB52" s="172">
        <f t="shared" si="5"/>
        <v>195</v>
      </c>
      <c r="AC52" s="171"/>
      <c r="AD52" s="171"/>
      <c r="AE52" s="173">
        <f t="shared" si="6"/>
        <v>0</v>
      </c>
      <c r="AF52" s="172">
        <f t="shared" si="7"/>
        <v>180</v>
      </c>
      <c r="AG52" s="171"/>
      <c r="AH52" s="171"/>
    </row>
    <row r="53">
      <c r="A53" s="168">
        <v>52.0</v>
      </c>
      <c r="B53" s="171"/>
      <c r="C53" s="171"/>
      <c r="D53" s="171"/>
      <c r="E53" s="171"/>
      <c r="F53" s="171"/>
      <c r="G53" s="171"/>
      <c r="H53" s="171"/>
      <c r="I53" s="136"/>
      <c r="J53" s="136"/>
      <c r="K53" s="136">
        <f t="shared" si="11"/>
        <v>0</v>
      </c>
      <c r="L53" s="170"/>
      <c r="M53" s="173"/>
      <c r="N53" s="173"/>
      <c r="O53" s="173"/>
      <c r="P53" s="173"/>
      <c r="Q53" s="173"/>
      <c r="R53" s="136"/>
      <c r="S53" s="171"/>
      <c r="T53" s="171"/>
      <c r="U53" s="169">
        <f t="shared" si="1"/>
        <v>30</v>
      </c>
      <c r="V53" s="171"/>
      <c r="W53" s="172">
        <f t="shared" si="2"/>
        <v>90</v>
      </c>
      <c r="X53" s="171"/>
      <c r="Y53" s="172">
        <f t="shared" si="3"/>
        <v>150</v>
      </c>
      <c r="Z53" s="171"/>
      <c r="AA53" s="173">
        <f t="shared" si="4"/>
        <v>0</v>
      </c>
      <c r="AB53" s="172">
        <f t="shared" si="5"/>
        <v>195</v>
      </c>
      <c r="AC53" s="171"/>
      <c r="AD53" s="171"/>
      <c r="AE53" s="173">
        <f t="shared" si="6"/>
        <v>0</v>
      </c>
      <c r="AF53" s="172">
        <f t="shared" si="7"/>
        <v>180</v>
      </c>
      <c r="AG53" s="171"/>
      <c r="AH53" s="171"/>
    </row>
    <row r="54">
      <c r="A54" s="168">
        <v>53.0</v>
      </c>
      <c r="B54" s="171"/>
      <c r="C54" s="171"/>
      <c r="D54" s="171"/>
      <c r="E54" s="171"/>
      <c r="F54" s="171"/>
      <c r="G54" s="171"/>
      <c r="H54" s="171"/>
      <c r="I54" s="136"/>
      <c r="J54" s="136"/>
      <c r="K54" s="136">
        <f t="shared" si="11"/>
        <v>0</v>
      </c>
      <c r="L54" s="170"/>
      <c r="M54" s="173"/>
      <c r="N54" s="173"/>
      <c r="O54" s="173"/>
      <c r="P54" s="173"/>
      <c r="Q54" s="173"/>
      <c r="R54" s="136"/>
      <c r="S54" s="171"/>
      <c r="T54" s="171"/>
      <c r="U54" s="169">
        <f t="shared" si="1"/>
        <v>30</v>
      </c>
      <c r="V54" s="171"/>
      <c r="W54" s="172">
        <f t="shared" si="2"/>
        <v>90</v>
      </c>
      <c r="X54" s="171"/>
      <c r="Y54" s="172">
        <f t="shared" si="3"/>
        <v>150</v>
      </c>
      <c r="Z54" s="171"/>
      <c r="AA54" s="173">
        <f t="shared" si="4"/>
        <v>0</v>
      </c>
      <c r="AB54" s="172">
        <f t="shared" si="5"/>
        <v>195</v>
      </c>
      <c r="AC54" s="171"/>
      <c r="AD54" s="171"/>
      <c r="AE54" s="173">
        <f t="shared" si="6"/>
        <v>0</v>
      </c>
      <c r="AF54" s="172">
        <f t="shared" si="7"/>
        <v>180</v>
      </c>
      <c r="AG54" s="171"/>
      <c r="AH54" s="171"/>
    </row>
    <row r="55">
      <c r="A55" s="168">
        <v>54.0</v>
      </c>
      <c r="B55" s="171"/>
      <c r="C55" s="171"/>
      <c r="D55" s="171"/>
      <c r="E55" s="171"/>
      <c r="F55" s="171"/>
      <c r="G55" s="171"/>
      <c r="H55" s="171"/>
      <c r="I55" s="136"/>
      <c r="J55" s="136"/>
      <c r="K55" s="136">
        <f t="shared" si="11"/>
        <v>0</v>
      </c>
      <c r="L55" s="170"/>
      <c r="M55" s="173"/>
      <c r="N55" s="173"/>
      <c r="O55" s="173"/>
      <c r="P55" s="173"/>
      <c r="Q55" s="173"/>
      <c r="R55" s="136"/>
      <c r="S55" s="171"/>
      <c r="T55" s="171"/>
      <c r="U55" s="169">
        <f t="shared" si="1"/>
        <v>30</v>
      </c>
      <c r="V55" s="171"/>
      <c r="W55" s="172">
        <f t="shared" si="2"/>
        <v>90</v>
      </c>
      <c r="X55" s="171"/>
      <c r="Y55" s="172">
        <f t="shared" si="3"/>
        <v>150</v>
      </c>
      <c r="Z55" s="171"/>
      <c r="AA55" s="173">
        <f t="shared" si="4"/>
        <v>0</v>
      </c>
      <c r="AB55" s="172">
        <f t="shared" si="5"/>
        <v>195</v>
      </c>
      <c r="AC55" s="171"/>
      <c r="AD55" s="171"/>
      <c r="AE55" s="173">
        <f t="shared" si="6"/>
        <v>0</v>
      </c>
      <c r="AF55" s="172">
        <f t="shared" si="7"/>
        <v>180</v>
      </c>
      <c r="AG55" s="171"/>
      <c r="AH55" s="171"/>
    </row>
    <row r="56">
      <c r="A56" s="168">
        <v>55.0</v>
      </c>
      <c r="B56" s="171"/>
      <c r="C56" s="171"/>
      <c r="D56" s="171"/>
      <c r="E56" s="171"/>
      <c r="F56" s="171"/>
      <c r="G56" s="171"/>
      <c r="H56" s="171"/>
      <c r="I56" s="136"/>
      <c r="J56" s="136"/>
      <c r="K56" s="136">
        <f t="shared" si="11"/>
        <v>0</v>
      </c>
      <c r="L56" s="170"/>
      <c r="M56" s="173"/>
      <c r="N56" s="173"/>
      <c r="O56" s="173"/>
      <c r="P56" s="173"/>
      <c r="Q56" s="173"/>
      <c r="R56" s="136"/>
      <c r="S56" s="171"/>
      <c r="T56" s="171"/>
      <c r="U56" s="169">
        <f t="shared" si="1"/>
        <v>30</v>
      </c>
      <c r="V56" s="171"/>
      <c r="W56" s="172">
        <f t="shared" si="2"/>
        <v>90</v>
      </c>
      <c r="X56" s="171"/>
      <c r="Y56" s="172">
        <f t="shared" si="3"/>
        <v>150</v>
      </c>
      <c r="Z56" s="171"/>
      <c r="AA56" s="173">
        <f t="shared" si="4"/>
        <v>0</v>
      </c>
      <c r="AB56" s="172">
        <f t="shared" si="5"/>
        <v>195</v>
      </c>
      <c r="AC56" s="171"/>
      <c r="AD56" s="171"/>
      <c r="AE56" s="173">
        <f t="shared" si="6"/>
        <v>0</v>
      </c>
      <c r="AF56" s="172">
        <f t="shared" si="7"/>
        <v>180</v>
      </c>
      <c r="AG56" s="171"/>
      <c r="AH56" s="171"/>
    </row>
    <row r="57">
      <c r="A57" s="168">
        <v>56.0</v>
      </c>
      <c r="B57" s="171"/>
      <c r="C57" s="171"/>
      <c r="D57" s="171"/>
      <c r="E57" s="171"/>
      <c r="F57" s="171"/>
      <c r="G57" s="171"/>
      <c r="H57" s="171"/>
      <c r="I57" s="136"/>
      <c r="J57" s="136"/>
      <c r="K57" s="136">
        <f t="shared" si="11"/>
        <v>0</v>
      </c>
      <c r="L57" s="170"/>
      <c r="M57" s="173"/>
      <c r="N57" s="173"/>
      <c r="O57" s="173"/>
      <c r="P57" s="173"/>
      <c r="Q57" s="173"/>
      <c r="R57" s="136"/>
      <c r="S57" s="171"/>
      <c r="T57" s="171"/>
      <c r="U57" s="169">
        <f t="shared" si="1"/>
        <v>30</v>
      </c>
      <c r="V57" s="171"/>
      <c r="W57" s="172">
        <f t="shared" si="2"/>
        <v>90</v>
      </c>
      <c r="X57" s="171"/>
      <c r="Y57" s="172">
        <f t="shared" si="3"/>
        <v>150</v>
      </c>
      <c r="Z57" s="171"/>
      <c r="AA57" s="173">
        <f t="shared" si="4"/>
        <v>0</v>
      </c>
      <c r="AB57" s="172">
        <f t="shared" si="5"/>
        <v>195</v>
      </c>
      <c r="AC57" s="171"/>
      <c r="AD57" s="171"/>
      <c r="AE57" s="173">
        <f t="shared" si="6"/>
        <v>0</v>
      </c>
      <c r="AF57" s="172">
        <f t="shared" si="7"/>
        <v>180</v>
      </c>
      <c r="AG57" s="171"/>
      <c r="AH57" s="171"/>
    </row>
    <row r="58">
      <c r="A58" s="168">
        <v>57.0</v>
      </c>
      <c r="B58" s="171"/>
      <c r="C58" s="171"/>
      <c r="D58" s="171"/>
      <c r="E58" s="171"/>
      <c r="F58" s="171"/>
      <c r="G58" s="171"/>
      <c r="H58" s="171"/>
      <c r="I58" s="136"/>
      <c r="J58" s="136"/>
      <c r="K58" s="136">
        <f t="shared" si="11"/>
        <v>0</v>
      </c>
      <c r="L58" s="170"/>
      <c r="M58" s="173"/>
      <c r="N58" s="173"/>
      <c r="O58" s="173"/>
      <c r="P58" s="173"/>
      <c r="Q58" s="173"/>
      <c r="R58" s="136"/>
      <c r="S58" s="171"/>
      <c r="T58" s="171"/>
      <c r="U58" s="169">
        <f t="shared" si="1"/>
        <v>30</v>
      </c>
      <c r="V58" s="171"/>
      <c r="W58" s="172">
        <f t="shared" si="2"/>
        <v>90</v>
      </c>
      <c r="X58" s="171"/>
      <c r="Y58" s="172">
        <f t="shared" si="3"/>
        <v>150</v>
      </c>
      <c r="Z58" s="171"/>
      <c r="AA58" s="173">
        <f t="shared" si="4"/>
        <v>0</v>
      </c>
      <c r="AB58" s="172">
        <f t="shared" si="5"/>
        <v>195</v>
      </c>
      <c r="AC58" s="171"/>
      <c r="AD58" s="171"/>
      <c r="AE58" s="173">
        <f t="shared" si="6"/>
        <v>0</v>
      </c>
      <c r="AF58" s="172">
        <f t="shared" si="7"/>
        <v>180</v>
      </c>
      <c r="AG58" s="171"/>
      <c r="AH58" s="171"/>
    </row>
    <row r="59">
      <c r="A59" s="168">
        <v>58.0</v>
      </c>
      <c r="B59" s="171"/>
      <c r="C59" s="171"/>
      <c r="D59" s="171"/>
      <c r="E59" s="171"/>
      <c r="F59" s="171"/>
      <c r="G59" s="171"/>
      <c r="H59" s="171"/>
      <c r="I59" s="136"/>
      <c r="J59" s="136"/>
      <c r="K59" s="136">
        <f t="shared" si="11"/>
        <v>0</v>
      </c>
      <c r="L59" s="170"/>
      <c r="M59" s="173"/>
      <c r="N59" s="173"/>
      <c r="O59" s="173"/>
      <c r="P59" s="173"/>
      <c r="Q59" s="173"/>
      <c r="R59" s="136"/>
      <c r="S59" s="171"/>
      <c r="T59" s="171"/>
      <c r="U59" s="169">
        <f t="shared" si="1"/>
        <v>30</v>
      </c>
      <c r="V59" s="171"/>
      <c r="W59" s="172">
        <f t="shared" si="2"/>
        <v>90</v>
      </c>
      <c r="X59" s="171"/>
      <c r="Y59" s="172">
        <f t="shared" si="3"/>
        <v>150</v>
      </c>
      <c r="Z59" s="171"/>
      <c r="AA59" s="173">
        <f t="shared" si="4"/>
        <v>0</v>
      </c>
      <c r="AB59" s="172">
        <f t="shared" si="5"/>
        <v>195</v>
      </c>
      <c r="AC59" s="171"/>
      <c r="AD59" s="171"/>
      <c r="AE59" s="173">
        <f t="shared" si="6"/>
        <v>0</v>
      </c>
      <c r="AF59" s="172">
        <f t="shared" si="7"/>
        <v>180</v>
      </c>
      <c r="AG59" s="171"/>
      <c r="AH59" s="171"/>
    </row>
    <row r="60">
      <c r="A60" s="168">
        <v>59.0</v>
      </c>
      <c r="B60" s="171"/>
      <c r="C60" s="171"/>
      <c r="D60" s="171"/>
      <c r="E60" s="171"/>
      <c r="F60" s="171"/>
      <c r="G60" s="171"/>
      <c r="H60" s="171"/>
      <c r="I60" s="136"/>
      <c r="J60" s="136"/>
      <c r="K60" s="136">
        <f t="shared" si="11"/>
        <v>0</v>
      </c>
      <c r="L60" s="170"/>
      <c r="M60" s="173"/>
      <c r="N60" s="173"/>
      <c r="O60" s="173"/>
      <c r="P60" s="173"/>
      <c r="Q60" s="173"/>
      <c r="R60" s="136"/>
      <c r="S60" s="171"/>
      <c r="T60" s="171"/>
      <c r="U60" s="169">
        <f t="shared" si="1"/>
        <v>30</v>
      </c>
      <c r="V60" s="171"/>
      <c r="W60" s="172">
        <f t="shared" si="2"/>
        <v>90</v>
      </c>
      <c r="X60" s="171"/>
      <c r="Y60" s="172">
        <f t="shared" si="3"/>
        <v>150</v>
      </c>
      <c r="Z60" s="171"/>
      <c r="AA60" s="173">
        <f t="shared" si="4"/>
        <v>0</v>
      </c>
      <c r="AB60" s="172">
        <f t="shared" si="5"/>
        <v>195</v>
      </c>
      <c r="AC60" s="171"/>
      <c r="AD60" s="171"/>
      <c r="AE60" s="173">
        <f t="shared" si="6"/>
        <v>0</v>
      </c>
      <c r="AF60" s="172">
        <f t="shared" si="7"/>
        <v>180</v>
      </c>
      <c r="AG60" s="171"/>
      <c r="AH60" s="171"/>
    </row>
    <row r="61">
      <c r="A61" s="168">
        <v>60.0</v>
      </c>
      <c r="B61" s="171"/>
      <c r="C61" s="171"/>
      <c r="D61" s="171"/>
      <c r="E61" s="171"/>
      <c r="F61" s="171"/>
      <c r="G61" s="171"/>
      <c r="H61" s="171"/>
      <c r="I61" s="136"/>
      <c r="J61" s="136"/>
      <c r="K61" s="136">
        <f t="shared" si="11"/>
        <v>0</v>
      </c>
      <c r="L61" s="170"/>
      <c r="M61" s="173"/>
      <c r="N61" s="173"/>
      <c r="O61" s="173"/>
      <c r="P61" s="173"/>
      <c r="Q61" s="173"/>
      <c r="R61" s="136"/>
      <c r="S61" s="171"/>
      <c r="T61" s="171"/>
      <c r="U61" s="169">
        <f t="shared" si="1"/>
        <v>30</v>
      </c>
      <c r="V61" s="171"/>
      <c r="W61" s="172">
        <f t="shared" si="2"/>
        <v>90</v>
      </c>
      <c r="X61" s="171"/>
      <c r="Y61" s="172">
        <f t="shared" si="3"/>
        <v>150</v>
      </c>
      <c r="Z61" s="171"/>
      <c r="AA61" s="173">
        <f t="shared" si="4"/>
        <v>0</v>
      </c>
      <c r="AB61" s="172">
        <f t="shared" si="5"/>
        <v>195</v>
      </c>
      <c r="AC61" s="171"/>
      <c r="AD61" s="171"/>
      <c r="AE61" s="173">
        <f t="shared" si="6"/>
        <v>0</v>
      </c>
      <c r="AF61" s="172">
        <f t="shared" si="7"/>
        <v>180</v>
      </c>
      <c r="AG61" s="171"/>
      <c r="AH61" s="171"/>
    </row>
    <row r="62">
      <c r="A62" s="168">
        <v>61.0</v>
      </c>
      <c r="B62" s="171"/>
      <c r="C62" s="171"/>
      <c r="D62" s="171"/>
      <c r="E62" s="171"/>
      <c r="F62" s="171"/>
      <c r="G62" s="171"/>
      <c r="H62" s="171"/>
      <c r="I62" s="136"/>
      <c r="J62" s="136"/>
      <c r="K62" s="136">
        <f t="shared" si="11"/>
        <v>0</v>
      </c>
      <c r="L62" s="170"/>
      <c r="M62" s="173"/>
      <c r="N62" s="173"/>
      <c r="O62" s="173"/>
      <c r="P62" s="173"/>
      <c r="Q62" s="173"/>
      <c r="R62" s="136"/>
      <c r="S62" s="171"/>
      <c r="T62" s="171"/>
      <c r="U62" s="169">
        <f t="shared" si="1"/>
        <v>30</v>
      </c>
      <c r="V62" s="171"/>
      <c r="W62" s="172">
        <f t="shared" si="2"/>
        <v>90</v>
      </c>
      <c r="X62" s="171"/>
      <c r="Y62" s="172">
        <f t="shared" si="3"/>
        <v>150</v>
      </c>
      <c r="Z62" s="171"/>
      <c r="AA62" s="173">
        <f t="shared" si="4"/>
        <v>0</v>
      </c>
      <c r="AB62" s="172">
        <f t="shared" si="5"/>
        <v>195</v>
      </c>
      <c r="AC62" s="171"/>
      <c r="AD62" s="171"/>
      <c r="AE62" s="173">
        <f t="shared" si="6"/>
        <v>0</v>
      </c>
      <c r="AF62" s="172">
        <f t="shared" si="7"/>
        <v>180</v>
      </c>
      <c r="AG62" s="171"/>
      <c r="AH62" s="171"/>
    </row>
    <row r="63">
      <c r="A63" s="168">
        <v>62.0</v>
      </c>
      <c r="B63" s="171"/>
      <c r="C63" s="171"/>
      <c r="D63" s="171"/>
      <c r="E63" s="171"/>
      <c r="F63" s="171"/>
      <c r="G63" s="171"/>
      <c r="H63" s="171"/>
      <c r="I63" s="136"/>
      <c r="J63" s="136"/>
      <c r="K63" s="136">
        <f t="shared" si="11"/>
        <v>0</v>
      </c>
      <c r="L63" s="170"/>
      <c r="M63" s="173"/>
      <c r="N63" s="173"/>
      <c r="O63" s="173"/>
      <c r="P63" s="173"/>
      <c r="Q63" s="173"/>
      <c r="R63" s="136"/>
      <c r="S63" s="171"/>
      <c r="T63" s="171"/>
      <c r="U63" s="169">
        <f t="shared" si="1"/>
        <v>30</v>
      </c>
      <c r="V63" s="171"/>
      <c r="W63" s="172">
        <f t="shared" si="2"/>
        <v>90</v>
      </c>
      <c r="X63" s="171"/>
      <c r="Y63" s="172">
        <f t="shared" si="3"/>
        <v>150</v>
      </c>
      <c r="Z63" s="171"/>
      <c r="AA63" s="173">
        <f t="shared" si="4"/>
        <v>0</v>
      </c>
      <c r="AB63" s="172">
        <f t="shared" si="5"/>
        <v>195</v>
      </c>
      <c r="AC63" s="171"/>
      <c r="AD63" s="171"/>
      <c r="AE63" s="173">
        <f t="shared" si="6"/>
        <v>0</v>
      </c>
      <c r="AF63" s="172">
        <f t="shared" si="7"/>
        <v>180</v>
      </c>
      <c r="AG63" s="171"/>
      <c r="AH63" s="171"/>
    </row>
    <row r="64">
      <c r="A64" s="168">
        <v>63.0</v>
      </c>
      <c r="B64" s="171"/>
      <c r="C64" s="171"/>
      <c r="D64" s="171"/>
      <c r="E64" s="171"/>
      <c r="F64" s="171"/>
      <c r="G64" s="171"/>
      <c r="H64" s="171"/>
      <c r="I64" s="136"/>
      <c r="J64" s="136"/>
      <c r="K64" s="136">
        <f t="shared" si="11"/>
        <v>0</v>
      </c>
      <c r="L64" s="170"/>
      <c r="M64" s="173"/>
      <c r="N64" s="173"/>
      <c r="O64" s="173"/>
      <c r="P64" s="173"/>
      <c r="Q64" s="173"/>
      <c r="R64" s="136"/>
      <c r="S64" s="171"/>
      <c r="T64" s="171"/>
      <c r="U64" s="169">
        <f t="shared" si="1"/>
        <v>30</v>
      </c>
      <c r="V64" s="171"/>
      <c r="W64" s="172">
        <f t="shared" si="2"/>
        <v>90</v>
      </c>
      <c r="X64" s="171"/>
      <c r="Y64" s="172">
        <f t="shared" si="3"/>
        <v>150</v>
      </c>
      <c r="Z64" s="171"/>
      <c r="AA64" s="173">
        <f t="shared" si="4"/>
        <v>0</v>
      </c>
      <c r="AB64" s="172">
        <f t="shared" si="5"/>
        <v>195</v>
      </c>
      <c r="AC64" s="171"/>
      <c r="AD64" s="171"/>
      <c r="AE64" s="173">
        <f t="shared" si="6"/>
        <v>0</v>
      </c>
      <c r="AF64" s="172">
        <f t="shared" si="7"/>
        <v>180</v>
      </c>
      <c r="AG64" s="171"/>
      <c r="AH64" s="171"/>
    </row>
    <row r="65">
      <c r="A65" s="168">
        <v>64.0</v>
      </c>
      <c r="B65" s="171"/>
      <c r="C65" s="171"/>
      <c r="D65" s="171"/>
      <c r="E65" s="171"/>
      <c r="F65" s="171"/>
      <c r="G65" s="171"/>
      <c r="H65" s="171"/>
      <c r="I65" s="136"/>
      <c r="J65" s="136"/>
      <c r="K65" s="136">
        <f t="shared" si="11"/>
        <v>0</v>
      </c>
      <c r="L65" s="170"/>
      <c r="M65" s="173"/>
      <c r="N65" s="173"/>
      <c r="O65" s="173"/>
      <c r="P65" s="173"/>
      <c r="Q65" s="173"/>
      <c r="R65" s="136"/>
      <c r="S65" s="171"/>
      <c r="T65" s="171"/>
      <c r="U65" s="169">
        <f t="shared" si="1"/>
        <v>30</v>
      </c>
      <c r="V65" s="171"/>
      <c r="W65" s="172">
        <f t="shared" si="2"/>
        <v>90</v>
      </c>
      <c r="X65" s="171"/>
      <c r="Y65" s="172">
        <f t="shared" si="3"/>
        <v>150</v>
      </c>
      <c r="Z65" s="171"/>
      <c r="AA65" s="173">
        <f t="shared" si="4"/>
        <v>0</v>
      </c>
      <c r="AB65" s="172">
        <f t="shared" si="5"/>
        <v>195</v>
      </c>
      <c r="AC65" s="171"/>
      <c r="AD65" s="171"/>
      <c r="AE65" s="173">
        <f t="shared" si="6"/>
        <v>0</v>
      </c>
      <c r="AF65" s="172">
        <f t="shared" si="7"/>
        <v>180</v>
      </c>
      <c r="AG65" s="171"/>
      <c r="AH65" s="171"/>
    </row>
    <row r="66">
      <c r="A66" s="168">
        <v>65.0</v>
      </c>
      <c r="B66" s="171"/>
      <c r="C66" s="171"/>
      <c r="D66" s="171"/>
      <c r="E66" s="171"/>
      <c r="F66" s="171"/>
      <c r="G66" s="171"/>
      <c r="H66" s="171"/>
      <c r="I66" s="136"/>
      <c r="J66" s="136"/>
      <c r="K66" s="136">
        <f t="shared" si="11"/>
        <v>0</v>
      </c>
      <c r="L66" s="170"/>
      <c r="M66" s="173"/>
      <c r="N66" s="173"/>
      <c r="O66" s="173"/>
      <c r="P66" s="173"/>
      <c r="Q66" s="173"/>
      <c r="R66" s="136"/>
      <c r="S66" s="171"/>
      <c r="T66" s="171"/>
      <c r="U66" s="169">
        <f t="shared" si="1"/>
        <v>30</v>
      </c>
      <c r="V66" s="171"/>
      <c r="W66" s="172">
        <f t="shared" si="2"/>
        <v>90</v>
      </c>
      <c r="X66" s="171"/>
      <c r="Y66" s="172">
        <f t="shared" si="3"/>
        <v>150</v>
      </c>
      <c r="Z66" s="171"/>
      <c r="AA66" s="173">
        <f t="shared" si="4"/>
        <v>0</v>
      </c>
      <c r="AB66" s="172">
        <f t="shared" si="5"/>
        <v>195</v>
      </c>
      <c r="AC66" s="171"/>
      <c r="AD66" s="171"/>
      <c r="AE66" s="173">
        <f t="shared" si="6"/>
        <v>0</v>
      </c>
      <c r="AF66" s="172">
        <f t="shared" si="7"/>
        <v>180</v>
      </c>
      <c r="AG66" s="171"/>
      <c r="AH66" s="171"/>
    </row>
    <row r="67">
      <c r="A67" s="168">
        <v>66.0</v>
      </c>
      <c r="B67" s="171"/>
      <c r="C67" s="171"/>
      <c r="D67" s="171"/>
      <c r="E67" s="171"/>
      <c r="F67" s="171"/>
      <c r="G67" s="171"/>
      <c r="H67" s="171"/>
      <c r="I67" s="136"/>
      <c r="J67" s="136"/>
      <c r="K67" s="136">
        <f t="shared" si="11"/>
        <v>0</v>
      </c>
      <c r="L67" s="170"/>
      <c r="M67" s="173"/>
      <c r="N67" s="173"/>
      <c r="O67" s="173"/>
      <c r="P67" s="173"/>
      <c r="Q67" s="173"/>
      <c r="R67" s="136"/>
      <c r="S67" s="171"/>
      <c r="T67" s="171"/>
      <c r="U67" s="169">
        <f t="shared" si="1"/>
        <v>30</v>
      </c>
      <c r="V67" s="171"/>
      <c r="W67" s="172">
        <f t="shared" si="2"/>
        <v>90</v>
      </c>
      <c r="X67" s="171"/>
      <c r="Y67" s="172">
        <f t="shared" si="3"/>
        <v>150</v>
      </c>
      <c r="Z67" s="171"/>
      <c r="AA67" s="173">
        <f t="shared" si="4"/>
        <v>0</v>
      </c>
      <c r="AB67" s="172">
        <f t="shared" si="5"/>
        <v>195</v>
      </c>
      <c r="AC67" s="171"/>
      <c r="AD67" s="171"/>
      <c r="AE67" s="173">
        <f t="shared" si="6"/>
        <v>0</v>
      </c>
      <c r="AF67" s="172">
        <f t="shared" si="7"/>
        <v>180</v>
      </c>
      <c r="AG67" s="171"/>
      <c r="AH67" s="171"/>
    </row>
    <row r="68">
      <c r="A68" s="168">
        <v>67.0</v>
      </c>
      <c r="B68" s="171"/>
      <c r="C68" s="171"/>
      <c r="D68" s="171"/>
      <c r="E68" s="171"/>
      <c r="F68" s="171"/>
      <c r="G68" s="171"/>
      <c r="H68" s="171"/>
      <c r="I68" s="136"/>
      <c r="J68" s="136"/>
      <c r="K68" s="136">
        <f t="shared" si="11"/>
        <v>0</v>
      </c>
      <c r="L68" s="170"/>
      <c r="M68" s="173"/>
      <c r="N68" s="173"/>
      <c r="O68" s="173"/>
      <c r="P68" s="173"/>
      <c r="Q68" s="173"/>
      <c r="R68" s="136"/>
      <c r="S68" s="171"/>
      <c r="T68" s="171"/>
      <c r="U68" s="169">
        <f t="shared" si="1"/>
        <v>30</v>
      </c>
      <c r="V68" s="171"/>
      <c r="W68" s="172">
        <f t="shared" si="2"/>
        <v>90</v>
      </c>
      <c r="X68" s="171"/>
      <c r="Y68" s="172">
        <f t="shared" si="3"/>
        <v>150</v>
      </c>
      <c r="Z68" s="171"/>
      <c r="AA68" s="173">
        <f t="shared" si="4"/>
        <v>0</v>
      </c>
      <c r="AB68" s="172">
        <f t="shared" si="5"/>
        <v>195</v>
      </c>
      <c r="AC68" s="171"/>
      <c r="AD68" s="171"/>
      <c r="AE68" s="173">
        <f t="shared" si="6"/>
        <v>0</v>
      </c>
      <c r="AF68" s="172">
        <f t="shared" si="7"/>
        <v>180</v>
      </c>
      <c r="AG68" s="171"/>
      <c r="AH68" s="171"/>
    </row>
    <row r="69">
      <c r="A69" s="168">
        <v>68.0</v>
      </c>
      <c r="B69" s="171"/>
      <c r="C69" s="171"/>
      <c r="D69" s="171"/>
      <c r="E69" s="171"/>
      <c r="F69" s="171"/>
      <c r="G69" s="171"/>
      <c r="H69" s="171"/>
      <c r="I69" s="136"/>
      <c r="J69" s="136"/>
      <c r="K69" s="136">
        <f t="shared" si="11"/>
        <v>0</v>
      </c>
      <c r="L69" s="170"/>
      <c r="M69" s="173"/>
      <c r="N69" s="173"/>
      <c r="O69" s="173"/>
      <c r="P69" s="173"/>
      <c r="Q69" s="173"/>
      <c r="R69" s="136"/>
      <c r="S69" s="171"/>
      <c r="T69" s="171"/>
      <c r="U69" s="169">
        <f t="shared" si="1"/>
        <v>30</v>
      </c>
      <c r="V69" s="171"/>
      <c r="W69" s="172">
        <f t="shared" si="2"/>
        <v>90</v>
      </c>
      <c r="X69" s="171"/>
      <c r="Y69" s="172">
        <f t="shared" si="3"/>
        <v>150</v>
      </c>
      <c r="Z69" s="171"/>
      <c r="AA69" s="173">
        <f t="shared" si="4"/>
        <v>0</v>
      </c>
      <c r="AB69" s="172">
        <f t="shared" si="5"/>
        <v>195</v>
      </c>
      <c r="AC69" s="171"/>
      <c r="AD69" s="171"/>
      <c r="AE69" s="173">
        <f t="shared" si="6"/>
        <v>0</v>
      </c>
      <c r="AF69" s="172">
        <f t="shared" si="7"/>
        <v>180</v>
      </c>
      <c r="AG69" s="171"/>
      <c r="AH69" s="171"/>
    </row>
    <row r="70">
      <c r="A70" s="168">
        <v>69.0</v>
      </c>
      <c r="B70" s="171"/>
      <c r="C70" s="171"/>
      <c r="D70" s="171"/>
      <c r="E70" s="171"/>
      <c r="F70" s="171"/>
      <c r="G70" s="171"/>
      <c r="H70" s="171"/>
      <c r="I70" s="136"/>
      <c r="J70" s="136"/>
      <c r="K70" s="136">
        <f t="shared" si="11"/>
        <v>0</v>
      </c>
      <c r="L70" s="170"/>
      <c r="M70" s="173"/>
      <c r="N70" s="173"/>
      <c r="O70" s="173"/>
      <c r="P70" s="173"/>
      <c r="Q70" s="173"/>
      <c r="R70" s="136"/>
      <c r="S70" s="171"/>
      <c r="T70" s="171"/>
      <c r="U70" s="169">
        <f t="shared" si="1"/>
        <v>30</v>
      </c>
      <c r="V70" s="171"/>
      <c r="W70" s="172">
        <f t="shared" si="2"/>
        <v>90</v>
      </c>
      <c r="X70" s="171"/>
      <c r="Y70" s="172">
        <f t="shared" si="3"/>
        <v>150</v>
      </c>
      <c r="Z70" s="171"/>
      <c r="AA70" s="173">
        <f t="shared" si="4"/>
        <v>0</v>
      </c>
      <c r="AB70" s="172">
        <f t="shared" si="5"/>
        <v>195</v>
      </c>
      <c r="AC70" s="171"/>
      <c r="AD70" s="171"/>
      <c r="AE70" s="173">
        <f t="shared" si="6"/>
        <v>0</v>
      </c>
      <c r="AF70" s="172">
        <f t="shared" si="7"/>
        <v>180</v>
      </c>
      <c r="AG70" s="171"/>
      <c r="AH70" s="171"/>
    </row>
    <row r="71">
      <c r="A71" s="168">
        <v>70.0</v>
      </c>
      <c r="B71" s="171"/>
      <c r="C71" s="171"/>
      <c r="D71" s="171"/>
      <c r="E71" s="171"/>
      <c r="F71" s="171"/>
      <c r="G71" s="171"/>
      <c r="H71" s="171"/>
      <c r="I71" s="136"/>
      <c r="J71" s="136"/>
      <c r="K71" s="136">
        <f t="shared" si="11"/>
        <v>0</v>
      </c>
      <c r="L71" s="170"/>
      <c r="M71" s="173"/>
      <c r="N71" s="173"/>
      <c r="O71" s="173"/>
      <c r="P71" s="173"/>
      <c r="Q71" s="173"/>
      <c r="R71" s="136"/>
      <c r="S71" s="171"/>
      <c r="T71" s="171"/>
      <c r="U71" s="169">
        <f t="shared" si="1"/>
        <v>30</v>
      </c>
      <c r="V71" s="171"/>
      <c r="W71" s="172">
        <f t="shared" si="2"/>
        <v>90</v>
      </c>
      <c r="X71" s="171"/>
      <c r="Y71" s="172">
        <f t="shared" si="3"/>
        <v>150</v>
      </c>
      <c r="Z71" s="171"/>
      <c r="AA71" s="173">
        <f t="shared" si="4"/>
        <v>0</v>
      </c>
      <c r="AB71" s="172">
        <f t="shared" si="5"/>
        <v>195</v>
      </c>
      <c r="AC71" s="171"/>
      <c r="AD71" s="171"/>
      <c r="AE71" s="173">
        <f t="shared" si="6"/>
        <v>0</v>
      </c>
      <c r="AF71" s="172">
        <f t="shared" si="7"/>
        <v>180</v>
      </c>
      <c r="AG71" s="171"/>
      <c r="AH71" s="171"/>
    </row>
    <row r="72">
      <c r="A72" s="168">
        <v>71.0</v>
      </c>
      <c r="B72" s="171"/>
      <c r="C72" s="171"/>
      <c r="D72" s="171"/>
      <c r="E72" s="171"/>
      <c r="F72" s="171"/>
      <c r="G72" s="171"/>
      <c r="H72" s="171"/>
      <c r="I72" s="136"/>
      <c r="J72" s="136"/>
      <c r="K72" s="136">
        <f t="shared" si="11"/>
        <v>0</v>
      </c>
      <c r="L72" s="170"/>
      <c r="M72" s="173"/>
      <c r="N72" s="173"/>
      <c r="O72" s="173"/>
      <c r="P72" s="173"/>
      <c r="Q72" s="173"/>
      <c r="R72" s="136"/>
      <c r="S72" s="171"/>
      <c r="T72" s="171"/>
      <c r="U72" s="169">
        <f t="shared" si="1"/>
        <v>30</v>
      </c>
      <c r="V72" s="171"/>
      <c r="W72" s="172">
        <f t="shared" si="2"/>
        <v>90</v>
      </c>
      <c r="X72" s="171"/>
      <c r="Y72" s="172">
        <f t="shared" si="3"/>
        <v>150</v>
      </c>
      <c r="Z72" s="171"/>
      <c r="AA72" s="173">
        <f t="shared" si="4"/>
        <v>0</v>
      </c>
      <c r="AB72" s="172">
        <f t="shared" si="5"/>
        <v>195</v>
      </c>
      <c r="AC72" s="171"/>
      <c r="AD72" s="171"/>
      <c r="AE72" s="173">
        <f t="shared" si="6"/>
        <v>0</v>
      </c>
      <c r="AF72" s="172">
        <f t="shared" si="7"/>
        <v>180</v>
      </c>
      <c r="AG72" s="171"/>
      <c r="AH72" s="171"/>
    </row>
    <row r="73">
      <c r="A73" s="168">
        <v>72.0</v>
      </c>
      <c r="B73" s="171"/>
      <c r="C73" s="171"/>
      <c r="D73" s="171"/>
      <c r="E73" s="171"/>
      <c r="F73" s="171"/>
      <c r="G73" s="171"/>
      <c r="H73" s="171"/>
      <c r="I73" s="136"/>
      <c r="J73" s="136"/>
      <c r="K73" s="136">
        <f t="shared" si="11"/>
        <v>0</v>
      </c>
      <c r="L73" s="170"/>
      <c r="M73" s="173"/>
      <c r="N73" s="173"/>
      <c r="O73" s="173"/>
      <c r="P73" s="173"/>
      <c r="Q73" s="173"/>
      <c r="R73" s="136"/>
      <c r="S73" s="171"/>
      <c r="T73" s="171"/>
      <c r="U73" s="169">
        <f t="shared" si="1"/>
        <v>30</v>
      </c>
      <c r="V73" s="171"/>
      <c r="W73" s="172">
        <f t="shared" si="2"/>
        <v>90</v>
      </c>
      <c r="X73" s="171"/>
      <c r="Y73" s="172">
        <f t="shared" si="3"/>
        <v>150</v>
      </c>
      <c r="Z73" s="171"/>
      <c r="AA73" s="173">
        <f t="shared" si="4"/>
        <v>0</v>
      </c>
      <c r="AB73" s="172">
        <f t="shared" si="5"/>
        <v>195</v>
      </c>
      <c r="AC73" s="171"/>
      <c r="AD73" s="171"/>
      <c r="AE73" s="173">
        <f t="shared" si="6"/>
        <v>0</v>
      </c>
      <c r="AF73" s="172">
        <f t="shared" si="7"/>
        <v>180</v>
      </c>
      <c r="AG73" s="171"/>
      <c r="AH73" s="171"/>
    </row>
    <row r="74">
      <c r="A74" s="168">
        <v>73.0</v>
      </c>
      <c r="B74" s="171"/>
      <c r="C74" s="171"/>
      <c r="D74" s="171"/>
      <c r="E74" s="171"/>
      <c r="F74" s="171"/>
      <c r="G74" s="171"/>
      <c r="H74" s="171"/>
      <c r="I74" s="136"/>
      <c r="J74" s="136"/>
      <c r="K74" s="136">
        <f t="shared" si="11"/>
        <v>0</v>
      </c>
      <c r="L74" s="170"/>
      <c r="M74" s="173"/>
      <c r="N74" s="173"/>
      <c r="O74" s="173"/>
      <c r="P74" s="173"/>
      <c r="Q74" s="173"/>
      <c r="R74" s="136"/>
      <c r="S74" s="171"/>
      <c r="T74" s="171"/>
      <c r="U74" s="169">
        <f t="shared" si="1"/>
        <v>30</v>
      </c>
      <c r="V74" s="171"/>
      <c r="W74" s="172">
        <f t="shared" si="2"/>
        <v>90</v>
      </c>
      <c r="X74" s="171"/>
      <c r="Y74" s="172">
        <f t="shared" si="3"/>
        <v>150</v>
      </c>
      <c r="Z74" s="171"/>
      <c r="AA74" s="173">
        <f t="shared" si="4"/>
        <v>0</v>
      </c>
      <c r="AB74" s="172">
        <f t="shared" si="5"/>
        <v>195</v>
      </c>
      <c r="AC74" s="171"/>
      <c r="AD74" s="171"/>
      <c r="AE74" s="173">
        <f t="shared" si="6"/>
        <v>0</v>
      </c>
      <c r="AF74" s="172">
        <f t="shared" si="7"/>
        <v>180</v>
      </c>
      <c r="AG74" s="171"/>
      <c r="AH74" s="171"/>
    </row>
    <row r="75">
      <c r="A75" s="168">
        <v>74.0</v>
      </c>
      <c r="B75" s="171"/>
      <c r="C75" s="171"/>
      <c r="D75" s="171"/>
      <c r="E75" s="171"/>
      <c r="F75" s="171"/>
      <c r="G75" s="171"/>
      <c r="H75" s="171"/>
      <c r="I75" s="136"/>
      <c r="J75" s="136"/>
      <c r="K75" s="136">
        <f t="shared" si="11"/>
        <v>0</v>
      </c>
      <c r="L75" s="170"/>
      <c r="M75" s="173"/>
      <c r="N75" s="173"/>
      <c r="O75" s="173"/>
      <c r="P75" s="173"/>
      <c r="Q75" s="173"/>
      <c r="R75" s="136"/>
      <c r="S75" s="171"/>
      <c r="T75" s="171"/>
      <c r="U75" s="169">
        <f t="shared" si="1"/>
        <v>30</v>
      </c>
      <c r="V75" s="171"/>
      <c r="W75" s="172">
        <f t="shared" si="2"/>
        <v>90</v>
      </c>
      <c r="X75" s="171"/>
      <c r="Y75" s="172">
        <f t="shared" si="3"/>
        <v>150</v>
      </c>
      <c r="Z75" s="171"/>
      <c r="AA75" s="173">
        <f t="shared" si="4"/>
        <v>0</v>
      </c>
      <c r="AB75" s="172">
        <f t="shared" si="5"/>
        <v>195</v>
      </c>
      <c r="AC75" s="171"/>
      <c r="AD75" s="171"/>
      <c r="AE75" s="173">
        <f t="shared" si="6"/>
        <v>0</v>
      </c>
      <c r="AF75" s="172">
        <f t="shared" si="7"/>
        <v>180</v>
      </c>
      <c r="AG75" s="171"/>
      <c r="AH75" s="171"/>
    </row>
    <row r="76">
      <c r="A76" s="168">
        <v>75.0</v>
      </c>
      <c r="B76" s="171"/>
      <c r="C76" s="171"/>
      <c r="D76" s="171"/>
      <c r="E76" s="171"/>
      <c r="F76" s="171"/>
      <c r="G76" s="171"/>
      <c r="H76" s="171"/>
      <c r="I76" s="136"/>
      <c r="J76" s="136"/>
      <c r="K76" s="136">
        <f t="shared" si="11"/>
        <v>0</v>
      </c>
      <c r="L76" s="170"/>
      <c r="M76" s="173"/>
      <c r="N76" s="173"/>
      <c r="O76" s="173"/>
      <c r="P76" s="173"/>
      <c r="Q76" s="173"/>
      <c r="R76" s="136"/>
      <c r="S76" s="171"/>
      <c r="T76" s="171"/>
      <c r="U76" s="169">
        <f t="shared" si="1"/>
        <v>30</v>
      </c>
      <c r="V76" s="171"/>
      <c r="W76" s="172">
        <f t="shared" si="2"/>
        <v>90</v>
      </c>
      <c r="X76" s="171"/>
      <c r="Y76" s="172">
        <f t="shared" si="3"/>
        <v>150</v>
      </c>
      <c r="Z76" s="171"/>
      <c r="AA76" s="173">
        <f t="shared" si="4"/>
        <v>0</v>
      </c>
      <c r="AB76" s="172">
        <f t="shared" si="5"/>
        <v>195</v>
      </c>
      <c r="AC76" s="171"/>
      <c r="AD76" s="171"/>
      <c r="AE76" s="173">
        <f t="shared" si="6"/>
        <v>0</v>
      </c>
      <c r="AF76" s="172">
        <f t="shared" si="7"/>
        <v>180</v>
      </c>
      <c r="AG76" s="171"/>
      <c r="AH76" s="171"/>
    </row>
    <row r="77">
      <c r="A77" s="168">
        <v>76.0</v>
      </c>
      <c r="B77" s="171"/>
      <c r="C77" s="171"/>
      <c r="D77" s="171"/>
      <c r="E77" s="171"/>
      <c r="F77" s="171"/>
      <c r="G77" s="171"/>
      <c r="H77" s="171"/>
      <c r="I77" s="136"/>
      <c r="J77" s="136"/>
      <c r="K77" s="136">
        <f t="shared" si="11"/>
        <v>0</v>
      </c>
      <c r="L77" s="170"/>
      <c r="M77" s="173"/>
      <c r="N77" s="173"/>
      <c r="O77" s="173"/>
      <c r="P77" s="173"/>
      <c r="Q77" s="173"/>
      <c r="R77" s="136"/>
      <c r="S77" s="171"/>
      <c r="T77" s="171"/>
      <c r="U77" s="169">
        <f t="shared" si="1"/>
        <v>30</v>
      </c>
      <c r="V77" s="171"/>
      <c r="W77" s="172">
        <f t="shared" si="2"/>
        <v>90</v>
      </c>
      <c r="X77" s="171"/>
      <c r="Y77" s="172">
        <f t="shared" si="3"/>
        <v>150</v>
      </c>
      <c r="Z77" s="171"/>
      <c r="AA77" s="173">
        <f t="shared" si="4"/>
        <v>0</v>
      </c>
      <c r="AB77" s="172">
        <f t="shared" si="5"/>
        <v>195</v>
      </c>
      <c r="AC77" s="171"/>
      <c r="AD77" s="171"/>
      <c r="AE77" s="173">
        <f t="shared" si="6"/>
        <v>0</v>
      </c>
      <c r="AF77" s="172">
        <f t="shared" si="7"/>
        <v>180</v>
      </c>
      <c r="AG77" s="171"/>
      <c r="AH77" s="171"/>
    </row>
    <row r="78">
      <c r="A78" s="168">
        <v>77.0</v>
      </c>
      <c r="B78" s="171"/>
      <c r="C78" s="171"/>
      <c r="D78" s="171"/>
      <c r="E78" s="171"/>
      <c r="F78" s="171"/>
      <c r="G78" s="171"/>
      <c r="H78" s="171"/>
      <c r="I78" s="136"/>
      <c r="J78" s="136"/>
      <c r="K78" s="136">
        <f t="shared" si="11"/>
        <v>0</v>
      </c>
      <c r="L78" s="170"/>
      <c r="M78" s="173"/>
      <c r="N78" s="173"/>
      <c r="O78" s="173"/>
      <c r="P78" s="173"/>
      <c r="Q78" s="173"/>
      <c r="R78" s="136"/>
      <c r="S78" s="171"/>
      <c r="T78" s="171"/>
      <c r="U78" s="169">
        <f t="shared" si="1"/>
        <v>30</v>
      </c>
      <c r="V78" s="171"/>
      <c r="W78" s="172">
        <f t="shared" si="2"/>
        <v>90</v>
      </c>
      <c r="X78" s="171"/>
      <c r="Y78" s="172">
        <f t="shared" si="3"/>
        <v>150</v>
      </c>
      <c r="Z78" s="171"/>
      <c r="AA78" s="173">
        <f t="shared" si="4"/>
        <v>0</v>
      </c>
      <c r="AB78" s="172">
        <f t="shared" si="5"/>
        <v>195</v>
      </c>
      <c r="AC78" s="171"/>
      <c r="AD78" s="171"/>
      <c r="AE78" s="173">
        <f t="shared" si="6"/>
        <v>0</v>
      </c>
      <c r="AF78" s="172">
        <f t="shared" si="7"/>
        <v>180</v>
      </c>
      <c r="AG78" s="171"/>
      <c r="AH78" s="171"/>
    </row>
    <row r="79">
      <c r="A79" s="168">
        <v>78.0</v>
      </c>
      <c r="B79" s="171"/>
      <c r="C79" s="171"/>
      <c r="D79" s="171"/>
      <c r="E79" s="171"/>
      <c r="F79" s="171"/>
      <c r="G79" s="171"/>
      <c r="H79" s="171"/>
      <c r="I79" s="136"/>
      <c r="J79" s="136"/>
      <c r="K79" s="136">
        <f t="shared" si="11"/>
        <v>0</v>
      </c>
      <c r="L79" s="170"/>
      <c r="M79" s="173"/>
      <c r="N79" s="173"/>
      <c r="O79" s="173"/>
      <c r="P79" s="173"/>
      <c r="Q79" s="173"/>
      <c r="R79" s="136"/>
      <c r="S79" s="171"/>
      <c r="T79" s="171"/>
      <c r="U79" s="169">
        <f t="shared" si="1"/>
        <v>30</v>
      </c>
      <c r="V79" s="171"/>
      <c r="W79" s="172">
        <f t="shared" si="2"/>
        <v>90</v>
      </c>
      <c r="X79" s="171"/>
      <c r="Y79" s="172">
        <f t="shared" si="3"/>
        <v>150</v>
      </c>
      <c r="Z79" s="171"/>
      <c r="AA79" s="173">
        <f t="shared" si="4"/>
        <v>0</v>
      </c>
      <c r="AB79" s="172">
        <f t="shared" si="5"/>
        <v>195</v>
      </c>
      <c r="AC79" s="171"/>
      <c r="AD79" s="171"/>
      <c r="AE79" s="173">
        <f t="shared" si="6"/>
        <v>0</v>
      </c>
      <c r="AF79" s="172">
        <f t="shared" si="7"/>
        <v>180</v>
      </c>
      <c r="AG79" s="171"/>
      <c r="AH79" s="171"/>
    </row>
    <row r="80">
      <c r="A80" s="168">
        <v>79.0</v>
      </c>
      <c r="B80" s="171"/>
      <c r="C80" s="171"/>
      <c r="D80" s="171"/>
      <c r="E80" s="171"/>
      <c r="F80" s="171"/>
      <c r="G80" s="171"/>
      <c r="H80" s="171"/>
      <c r="I80" s="136"/>
      <c r="J80" s="136"/>
      <c r="K80" s="136">
        <f t="shared" si="11"/>
        <v>0</v>
      </c>
      <c r="L80" s="170"/>
      <c r="M80" s="173"/>
      <c r="N80" s="173"/>
      <c r="O80" s="173"/>
      <c r="P80" s="173"/>
      <c r="Q80" s="173"/>
      <c r="R80" s="136"/>
      <c r="S80" s="171"/>
      <c r="T80" s="171"/>
      <c r="U80" s="169">
        <f t="shared" si="1"/>
        <v>30</v>
      </c>
      <c r="V80" s="171"/>
      <c r="W80" s="172">
        <f t="shared" si="2"/>
        <v>90</v>
      </c>
      <c r="X80" s="171"/>
      <c r="Y80" s="172">
        <f t="shared" si="3"/>
        <v>150</v>
      </c>
      <c r="Z80" s="171"/>
      <c r="AA80" s="173">
        <f t="shared" si="4"/>
        <v>0</v>
      </c>
      <c r="AB80" s="172">
        <f t="shared" si="5"/>
        <v>195</v>
      </c>
      <c r="AC80" s="171"/>
      <c r="AD80" s="171"/>
      <c r="AE80" s="173">
        <f t="shared" si="6"/>
        <v>0</v>
      </c>
      <c r="AF80" s="172">
        <f t="shared" si="7"/>
        <v>180</v>
      </c>
      <c r="AG80" s="171"/>
      <c r="AH80" s="171"/>
    </row>
    <row r="81">
      <c r="A81" s="168">
        <v>80.0</v>
      </c>
      <c r="B81" s="171"/>
      <c r="C81" s="171"/>
      <c r="D81" s="171"/>
      <c r="E81" s="171"/>
      <c r="F81" s="171"/>
      <c r="G81" s="171"/>
      <c r="H81" s="171"/>
      <c r="I81" s="136"/>
      <c r="J81" s="136"/>
      <c r="K81" s="136">
        <f t="shared" si="11"/>
        <v>0</v>
      </c>
      <c r="L81" s="170"/>
      <c r="M81" s="173"/>
      <c r="N81" s="173"/>
      <c r="O81" s="173"/>
      <c r="P81" s="173"/>
      <c r="Q81" s="173"/>
      <c r="R81" s="136"/>
      <c r="S81" s="171"/>
      <c r="T81" s="171"/>
      <c r="U81" s="169">
        <f t="shared" si="1"/>
        <v>30</v>
      </c>
      <c r="V81" s="171"/>
      <c r="W81" s="172">
        <f t="shared" si="2"/>
        <v>90</v>
      </c>
      <c r="X81" s="171"/>
      <c r="Y81" s="172">
        <f t="shared" si="3"/>
        <v>150</v>
      </c>
      <c r="Z81" s="171"/>
      <c r="AA81" s="173">
        <f t="shared" si="4"/>
        <v>0</v>
      </c>
      <c r="AB81" s="172">
        <f t="shared" si="5"/>
        <v>195</v>
      </c>
      <c r="AC81" s="171"/>
      <c r="AD81" s="171"/>
      <c r="AE81" s="173">
        <f t="shared" si="6"/>
        <v>0</v>
      </c>
      <c r="AF81" s="172">
        <f t="shared" si="7"/>
        <v>180</v>
      </c>
      <c r="AG81" s="171"/>
      <c r="AH81" s="171"/>
    </row>
    <row r="82">
      <c r="A82" s="168">
        <v>81.0</v>
      </c>
      <c r="B82" s="171"/>
      <c r="C82" s="171"/>
      <c r="D82" s="171"/>
      <c r="E82" s="171"/>
      <c r="F82" s="171"/>
      <c r="G82" s="171"/>
      <c r="H82" s="171"/>
      <c r="I82" s="136"/>
      <c r="J82" s="136"/>
      <c r="K82" s="136">
        <f t="shared" si="11"/>
        <v>0</v>
      </c>
      <c r="L82" s="170"/>
      <c r="M82" s="173"/>
      <c r="N82" s="173"/>
      <c r="O82" s="173"/>
      <c r="P82" s="173"/>
      <c r="Q82" s="173"/>
      <c r="R82" s="136"/>
      <c r="S82" s="171"/>
      <c r="T82" s="171"/>
      <c r="U82" s="169">
        <f t="shared" si="1"/>
        <v>30</v>
      </c>
      <c r="V82" s="171"/>
      <c r="W82" s="172">
        <f t="shared" si="2"/>
        <v>90</v>
      </c>
      <c r="X82" s="171"/>
      <c r="Y82" s="172">
        <f t="shared" si="3"/>
        <v>150</v>
      </c>
      <c r="Z82" s="171"/>
      <c r="AA82" s="173">
        <f t="shared" si="4"/>
        <v>0</v>
      </c>
      <c r="AB82" s="172">
        <f t="shared" si="5"/>
        <v>195</v>
      </c>
      <c r="AC82" s="171"/>
      <c r="AD82" s="171"/>
      <c r="AE82" s="173">
        <f t="shared" si="6"/>
        <v>0</v>
      </c>
      <c r="AF82" s="172">
        <f t="shared" si="7"/>
        <v>180</v>
      </c>
      <c r="AG82" s="171"/>
      <c r="AH82" s="171"/>
    </row>
    <row r="83">
      <c r="A83" s="168">
        <v>82.0</v>
      </c>
      <c r="B83" s="171"/>
      <c r="C83" s="171"/>
      <c r="D83" s="171"/>
      <c r="E83" s="171"/>
      <c r="F83" s="171"/>
      <c r="G83" s="171"/>
      <c r="H83" s="171"/>
      <c r="I83" s="136"/>
      <c r="J83" s="136"/>
      <c r="K83" s="136">
        <f t="shared" si="11"/>
        <v>0</v>
      </c>
      <c r="L83" s="170"/>
      <c r="M83" s="173"/>
      <c r="N83" s="173"/>
      <c r="O83" s="173"/>
      <c r="P83" s="173"/>
      <c r="Q83" s="173"/>
      <c r="R83" s="136"/>
      <c r="S83" s="171"/>
      <c r="T83" s="171"/>
      <c r="U83" s="169">
        <f t="shared" si="1"/>
        <v>30</v>
      </c>
      <c r="V83" s="171"/>
      <c r="W83" s="172">
        <f t="shared" si="2"/>
        <v>90</v>
      </c>
      <c r="X83" s="171"/>
      <c r="Y83" s="172">
        <f t="shared" si="3"/>
        <v>150</v>
      </c>
      <c r="Z83" s="171"/>
      <c r="AA83" s="173">
        <f t="shared" si="4"/>
        <v>0</v>
      </c>
      <c r="AB83" s="172">
        <f t="shared" si="5"/>
        <v>195</v>
      </c>
      <c r="AC83" s="171"/>
      <c r="AD83" s="171"/>
      <c r="AE83" s="173">
        <f t="shared" si="6"/>
        <v>0</v>
      </c>
      <c r="AF83" s="172">
        <f t="shared" si="7"/>
        <v>180</v>
      </c>
      <c r="AG83" s="171"/>
      <c r="AH83" s="171"/>
    </row>
    <row r="84">
      <c r="A84" s="168">
        <v>83.0</v>
      </c>
      <c r="B84" s="171"/>
      <c r="C84" s="171"/>
      <c r="D84" s="171"/>
      <c r="E84" s="171"/>
      <c r="F84" s="171"/>
      <c r="G84" s="171"/>
      <c r="H84" s="171"/>
      <c r="I84" s="136"/>
      <c r="J84" s="136"/>
      <c r="K84" s="136">
        <f t="shared" si="11"/>
        <v>0</v>
      </c>
      <c r="L84" s="170"/>
      <c r="M84" s="173"/>
      <c r="N84" s="173"/>
      <c r="O84" s="173"/>
      <c r="P84" s="173"/>
      <c r="Q84" s="173"/>
      <c r="R84" s="136"/>
      <c r="S84" s="171"/>
      <c r="T84" s="171"/>
      <c r="U84" s="169">
        <f t="shared" si="1"/>
        <v>30</v>
      </c>
      <c r="V84" s="171"/>
      <c r="W84" s="172">
        <f t="shared" si="2"/>
        <v>90</v>
      </c>
      <c r="X84" s="171"/>
      <c r="Y84" s="172">
        <f t="shared" si="3"/>
        <v>150</v>
      </c>
      <c r="Z84" s="171"/>
      <c r="AA84" s="173">
        <f t="shared" si="4"/>
        <v>0</v>
      </c>
      <c r="AB84" s="172">
        <f t="shared" si="5"/>
        <v>195</v>
      </c>
      <c r="AC84" s="171"/>
      <c r="AD84" s="171"/>
      <c r="AE84" s="173">
        <f t="shared" si="6"/>
        <v>0</v>
      </c>
      <c r="AF84" s="172">
        <f t="shared" si="7"/>
        <v>180</v>
      </c>
      <c r="AG84" s="171"/>
      <c r="AH84" s="171"/>
    </row>
    <row r="85">
      <c r="A85" s="168">
        <v>84.0</v>
      </c>
      <c r="B85" s="171"/>
      <c r="C85" s="171"/>
      <c r="D85" s="171"/>
      <c r="E85" s="171"/>
      <c r="F85" s="171"/>
      <c r="G85" s="171"/>
      <c r="H85" s="171"/>
      <c r="I85" s="136"/>
      <c r="J85" s="136"/>
      <c r="K85" s="136">
        <f t="shared" si="11"/>
        <v>0</v>
      </c>
      <c r="L85" s="170"/>
      <c r="M85" s="173"/>
      <c r="N85" s="173"/>
      <c r="O85" s="173"/>
      <c r="P85" s="173"/>
      <c r="Q85" s="173"/>
      <c r="R85" s="136"/>
      <c r="S85" s="171"/>
      <c r="T85" s="171"/>
      <c r="U85" s="169">
        <f t="shared" si="1"/>
        <v>30</v>
      </c>
      <c r="V85" s="171"/>
      <c r="W85" s="172">
        <f t="shared" si="2"/>
        <v>90</v>
      </c>
      <c r="X85" s="171"/>
      <c r="Y85" s="172">
        <f t="shared" si="3"/>
        <v>150</v>
      </c>
      <c r="Z85" s="171"/>
      <c r="AA85" s="173">
        <f t="shared" si="4"/>
        <v>0</v>
      </c>
      <c r="AB85" s="172">
        <f t="shared" si="5"/>
        <v>195</v>
      </c>
      <c r="AC85" s="171"/>
      <c r="AD85" s="171"/>
      <c r="AE85" s="173">
        <f t="shared" si="6"/>
        <v>0</v>
      </c>
      <c r="AF85" s="172">
        <f t="shared" si="7"/>
        <v>180</v>
      </c>
      <c r="AG85" s="171"/>
      <c r="AH85" s="171"/>
    </row>
    <row r="86">
      <c r="A86" s="168">
        <v>85.0</v>
      </c>
      <c r="B86" s="171"/>
      <c r="C86" s="171"/>
      <c r="D86" s="171"/>
      <c r="E86" s="171"/>
      <c r="F86" s="171"/>
      <c r="G86" s="171"/>
      <c r="H86" s="171"/>
      <c r="I86" s="136"/>
      <c r="J86" s="136"/>
      <c r="K86" s="136">
        <f t="shared" si="11"/>
        <v>0</v>
      </c>
      <c r="L86" s="170"/>
      <c r="M86" s="173"/>
      <c r="N86" s="173"/>
      <c r="O86" s="173"/>
      <c r="P86" s="173"/>
      <c r="Q86" s="173"/>
      <c r="R86" s="136"/>
      <c r="S86" s="171"/>
      <c r="T86" s="171"/>
      <c r="U86" s="169">
        <f t="shared" si="1"/>
        <v>30</v>
      </c>
      <c r="V86" s="171"/>
      <c r="W86" s="172">
        <f t="shared" si="2"/>
        <v>90</v>
      </c>
      <c r="X86" s="171"/>
      <c r="Y86" s="172">
        <f t="shared" si="3"/>
        <v>150</v>
      </c>
      <c r="Z86" s="171"/>
      <c r="AA86" s="173">
        <f t="shared" si="4"/>
        <v>0</v>
      </c>
      <c r="AB86" s="172">
        <f t="shared" si="5"/>
        <v>195</v>
      </c>
      <c r="AC86" s="171"/>
      <c r="AD86" s="171"/>
      <c r="AE86" s="173">
        <f t="shared" si="6"/>
        <v>0</v>
      </c>
      <c r="AF86" s="172">
        <f t="shared" si="7"/>
        <v>180</v>
      </c>
      <c r="AG86" s="171"/>
      <c r="AH86" s="171"/>
    </row>
    <row r="87">
      <c r="A87" s="168">
        <v>86.0</v>
      </c>
      <c r="B87" s="171"/>
      <c r="C87" s="171"/>
      <c r="D87" s="171"/>
      <c r="E87" s="171"/>
      <c r="F87" s="171"/>
      <c r="G87" s="171"/>
      <c r="H87" s="171"/>
      <c r="I87" s="136"/>
      <c r="J87" s="136"/>
      <c r="K87" s="136">
        <f t="shared" si="11"/>
        <v>0</v>
      </c>
      <c r="L87" s="170"/>
      <c r="M87" s="173"/>
      <c r="N87" s="173"/>
      <c r="O87" s="173"/>
      <c r="P87" s="173"/>
      <c r="Q87" s="173"/>
      <c r="R87" s="136"/>
      <c r="S87" s="171"/>
      <c r="T87" s="171"/>
      <c r="U87" s="169">
        <f t="shared" si="1"/>
        <v>30</v>
      </c>
      <c r="V87" s="171"/>
      <c r="W87" s="172">
        <f t="shared" si="2"/>
        <v>90</v>
      </c>
      <c r="X87" s="171"/>
      <c r="Y87" s="172">
        <f t="shared" si="3"/>
        <v>150</v>
      </c>
      <c r="Z87" s="171"/>
      <c r="AA87" s="173">
        <f t="shared" si="4"/>
        <v>0</v>
      </c>
      <c r="AB87" s="172">
        <f t="shared" si="5"/>
        <v>195</v>
      </c>
      <c r="AC87" s="171"/>
      <c r="AD87" s="171"/>
      <c r="AE87" s="173">
        <f t="shared" si="6"/>
        <v>0</v>
      </c>
      <c r="AF87" s="172">
        <f t="shared" si="7"/>
        <v>180</v>
      </c>
      <c r="AG87" s="171"/>
      <c r="AH87" s="171"/>
    </row>
    <row r="88">
      <c r="A88" s="168">
        <v>87.0</v>
      </c>
      <c r="B88" s="171"/>
      <c r="C88" s="171"/>
      <c r="D88" s="171"/>
      <c r="E88" s="171"/>
      <c r="F88" s="171"/>
      <c r="G88" s="171"/>
      <c r="H88" s="171"/>
      <c r="I88" s="136"/>
      <c r="J88" s="136"/>
      <c r="K88" s="136">
        <f t="shared" si="11"/>
        <v>0</v>
      </c>
      <c r="L88" s="170"/>
      <c r="M88" s="173"/>
      <c r="N88" s="173"/>
      <c r="O88" s="173"/>
      <c r="P88" s="173"/>
      <c r="Q88" s="173"/>
      <c r="R88" s="136"/>
      <c r="S88" s="171"/>
      <c r="T88" s="171"/>
      <c r="U88" s="169">
        <f t="shared" si="1"/>
        <v>30</v>
      </c>
      <c r="V88" s="171"/>
      <c r="W88" s="172">
        <f t="shared" si="2"/>
        <v>90</v>
      </c>
      <c r="X88" s="171"/>
      <c r="Y88" s="172">
        <f t="shared" si="3"/>
        <v>150</v>
      </c>
      <c r="Z88" s="171"/>
      <c r="AA88" s="173">
        <f t="shared" si="4"/>
        <v>0</v>
      </c>
      <c r="AB88" s="172">
        <f t="shared" si="5"/>
        <v>195</v>
      </c>
      <c r="AC88" s="171"/>
      <c r="AD88" s="171"/>
      <c r="AE88" s="173">
        <f t="shared" si="6"/>
        <v>0</v>
      </c>
      <c r="AF88" s="172">
        <f t="shared" si="7"/>
        <v>180</v>
      </c>
      <c r="AG88" s="171"/>
      <c r="AH88" s="171"/>
    </row>
    <row r="89">
      <c r="A89" s="168">
        <v>88.0</v>
      </c>
      <c r="B89" s="171"/>
      <c r="C89" s="171"/>
      <c r="D89" s="171"/>
      <c r="E89" s="171"/>
      <c r="F89" s="171"/>
      <c r="G89" s="171"/>
      <c r="H89" s="171"/>
      <c r="I89" s="136"/>
      <c r="J89" s="136"/>
      <c r="K89" s="136">
        <f t="shared" si="11"/>
        <v>0</v>
      </c>
      <c r="L89" s="170"/>
      <c r="M89" s="173"/>
      <c r="N89" s="173"/>
      <c r="O89" s="173"/>
      <c r="P89" s="173"/>
      <c r="Q89" s="173"/>
      <c r="R89" s="136"/>
      <c r="S89" s="171"/>
      <c r="T89" s="171"/>
      <c r="U89" s="169">
        <f t="shared" si="1"/>
        <v>30</v>
      </c>
      <c r="V89" s="171"/>
      <c r="W89" s="172">
        <f t="shared" si="2"/>
        <v>90</v>
      </c>
      <c r="X89" s="171"/>
      <c r="Y89" s="172">
        <f t="shared" si="3"/>
        <v>150</v>
      </c>
      <c r="Z89" s="171"/>
      <c r="AA89" s="173">
        <f t="shared" si="4"/>
        <v>0</v>
      </c>
      <c r="AB89" s="172">
        <f t="shared" si="5"/>
        <v>195</v>
      </c>
      <c r="AC89" s="171"/>
      <c r="AD89" s="171"/>
      <c r="AE89" s="173">
        <f t="shared" si="6"/>
        <v>0</v>
      </c>
      <c r="AF89" s="172">
        <f t="shared" si="7"/>
        <v>180</v>
      </c>
      <c r="AG89" s="171"/>
      <c r="AH89" s="171"/>
    </row>
    <row r="90">
      <c r="A90" s="168">
        <v>89.0</v>
      </c>
      <c r="B90" s="171"/>
      <c r="C90" s="171"/>
      <c r="D90" s="171"/>
      <c r="E90" s="171"/>
      <c r="F90" s="171"/>
      <c r="G90" s="171"/>
      <c r="H90" s="171"/>
      <c r="I90" s="136"/>
      <c r="J90" s="136"/>
      <c r="K90" s="136">
        <f t="shared" si="11"/>
        <v>0</v>
      </c>
      <c r="L90" s="170"/>
      <c r="M90" s="173"/>
      <c r="N90" s="173"/>
      <c r="O90" s="173"/>
      <c r="P90" s="173"/>
      <c r="Q90" s="173"/>
      <c r="R90" s="136"/>
      <c r="S90" s="171"/>
      <c r="T90" s="171"/>
      <c r="U90" s="169">
        <f t="shared" si="1"/>
        <v>30</v>
      </c>
      <c r="V90" s="171"/>
      <c r="W90" s="172">
        <f t="shared" si="2"/>
        <v>90</v>
      </c>
      <c r="X90" s="171"/>
      <c r="Y90" s="172">
        <f t="shared" si="3"/>
        <v>150</v>
      </c>
      <c r="Z90" s="171"/>
      <c r="AA90" s="173">
        <f t="shared" si="4"/>
        <v>0</v>
      </c>
      <c r="AB90" s="172">
        <f t="shared" si="5"/>
        <v>195</v>
      </c>
      <c r="AC90" s="171"/>
      <c r="AD90" s="171"/>
      <c r="AE90" s="173">
        <f t="shared" si="6"/>
        <v>0</v>
      </c>
      <c r="AF90" s="172">
        <f t="shared" si="7"/>
        <v>180</v>
      </c>
      <c r="AG90" s="171"/>
      <c r="AH90" s="171"/>
    </row>
    <row r="91">
      <c r="A91" s="168">
        <v>90.0</v>
      </c>
      <c r="B91" s="171"/>
      <c r="C91" s="171"/>
      <c r="D91" s="171"/>
      <c r="E91" s="171"/>
      <c r="F91" s="171"/>
      <c r="G91" s="171"/>
      <c r="H91" s="171"/>
      <c r="I91" s="136"/>
      <c r="J91" s="136"/>
      <c r="K91" s="136">
        <f t="shared" si="11"/>
        <v>0</v>
      </c>
      <c r="L91" s="170"/>
      <c r="M91" s="173"/>
      <c r="N91" s="173"/>
      <c r="O91" s="173"/>
      <c r="P91" s="173"/>
      <c r="Q91" s="173"/>
      <c r="R91" s="136"/>
      <c r="S91" s="171"/>
      <c r="T91" s="171"/>
      <c r="U91" s="169">
        <f t="shared" si="1"/>
        <v>30</v>
      </c>
      <c r="V91" s="171"/>
      <c r="W91" s="172">
        <f t="shared" si="2"/>
        <v>90</v>
      </c>
      <c r="X91" s="171"/>
      <c r="Y91" s="172">
        <f t="shared" si="3"/>
        <v>150</v>
      </c>
      <c r="Z91" s="171"/>
      <c r="AA91" s="173">
        <f t="shared" si="4"/>
        <v>0</v>
      </c>
      <c r="AB91" s="172">
        <f t="shared" si="5"/>
        <v>195</v>
      </c>
      <c r="AC91" s="171"/>
      <c r="AD91" s="171"/>
      <c r="AE91" s="173">
        <f t="shared" si="6"/>
        <v>0</v>
      </c>
      <c r="AF91" s="172">
        <f t="shared" si="7"/>
        <v>180</v>
      </c>
      <c r="AG91" s="171"/>
      <c r="AH91" s="171"/>
    </row>
    <row r="92">
      <c r="A92" s="168">
        <v>91.0</v>
      </c>
      <c r="B92" s="171"/>
      <c r="C92" s="171"/>
      <c r="D92" s="171"/>
      <c r="E92" s="171"/>
      <c r="F92" s="171"/>
      <c r="G92" s="171"/>
      <c r="H92" s="171"/>
      <c r="I92" s="136"/>
      <c r="J92" s="136"/>
      <c r="K92" s="136">
        <f t="shared" si="11"/>
        <v>0</v>
      </c>
      <c r="L92" s="170"/>
      <c r="M92" s="173"/>
      <c r="N92" s="173"/>
      <c r="O92" s="173"/>
      <c r="P92" s="173"/>
      <c r="Q92" s="173"/>
      <c r="R92" s="136"/>
      <c r="S92" s="171"/>
      <c r="T92" s="171"/>
      <c r="U92" s="169">
        <f t="shared" si="1"/>
        <v>30</v>
      </c>
      <c r="V92" s="171"/>
      <c r="W92" s="172">
        <f t="shared" si="2"/>
        <v>90</v>
      </c>
      <c r="X92" s="171"/>
      <c r="Y92" s="172">
        <f t="shared" si="3"/>
        <v>150</v>
      </c>
      <c r="Z92" s="171"/>
      <c r="AA92" s="173">
        <f t="shared" si="4"/>
        <v>0</v>
      </c>
      <c r="AB92" s="172">
        <f t="shared" si="5"/>
        <v>195</v>
      </c>
      <c r="AC92" s="171"/>
      <c r="AD92" s="171"/>
      <c r="AE92" s="173">
        <f t="shared" si="6"/>
        <v>0</v>
      </c>
      <c r="AF92" s="172">
        <f t="shared" si="7"/>
        <v>180</v>
      </c>
      <c r="AG92" s="171"/>
      <c r="AH92" s="171"/>
    </row>
    <row r="93">
      <c r="A93" s="168">
        <v>92.0</v>
      </c>
      <c r="B93" s="171"/>
      <c r="C93" s="171"/>
      <c r="D93" s="171"/>
      <c r="E93" s="171"/>
      <c r="F93" s="171"/>
      <c r="G93" s="171"/>
      <c r="H93" s="171"/>
      <c r="I93" s="136"/>
      <c r="J93" s="136"/>
      <c r="K93" s="136">
        <f t="shared" si="11"/>
        <v>0</v>
      </c>
      <c r="L93" s="170"/>
      <c r="M93" s="173"/>
      <c r="N93" s="173"/>
      <c r="O93" s="173"/>
      <c r="P93" s="173"/>
      <c r="Q93" s="173"/>
      <c r="R93" s="136"/>
      <c r="S93" s="171"/>
      <c r="T93" s="171"/>
      <c r="U93" s="169">
        <f t="shared" si="1"/>
        <v>30</v>
      </c>
      <c r="V93" s="171"/>
      <c r="W93" s="172">
        <f t="shared" si="2"/>
        <v>90</v>
      </c>
      <c r="X93" s="171"/>
      <c r="Y93" s="172">
        <f t="shared" si="3"/>
        <v>150</v>
      </c>
      <c r="Z93" s="171"/>
      <c r="AA93" s="173">
        <f t="shared" si="4"/>
        <v>0</v>
      </c>
      <c r="AB93" s="172">
        <f t="shared" si="5"/>
        <v>195</v>
      </c>
      <c r="AC93" s="171"/>
      <c r="AD93" s="171"/>
      <c r="AE93" s="173">
        <f t="shared" si="6"/>
        <v>0</v>
      </c>
      <c r="AF93" s="172">
        <f t="shared" si="7"/>
        <v>180</v>
      </c>
      <c r="AG93" s="171"/>
      <c r="AH93" s="171"/>
    </row>
    <row r="94">
      <c r="A94" s="168">
        <v>93.0</v>
      </c>
      <c r="B94" s="171"/>
      <c r="C94" s="171"/>
      <c r="D94" s="171"/>
      <c r="E94" s="171"/>
      <c r="F94" s="171"/>
      <c r="G94" s="171"/>
      <c r="H94" s="171"/>
      <c r="I94" s="136"/>
      <c r="J94" s="136"/>
      <c r="K94" s="136">
        <f t="shared" si="11"/>
        <v>0</v>
      </c>
      <c r="L94" s="170"/>
      <c r="M94" s="173"/>
      <c r="N94" s="173"/>
      <c r="O94" s="173"/>
      <c r="P94" s="173"/>
      <c r="Q94" s="173"/>
      <c r="R94" s="136"/>
      <c r="S94" s="171"/>
      <c r="T94" s="171"/>
      <c r="U94" s="169">
        <f t="shared" si="1"/>
        <v>30</v>
      </c>
      <c r="V94" s="171"/>
      <c r="W94" s="172">
        <f t="shared" si="2"/>
        <v>90</v>
      </c>
      <c r="X94" s="171"/>
      <c r="Y94" s="172">
        <f t="shared" si="3"/>
        <v>150</v>
      </c>
      <c r="Z94" s="171"/>
      <c r="AA94" s="173">
        <f t="shared" si="4"/>
        <v>0</v>
      </c>
      <c r="AB94" s="172">
        <f t="shared" si="5"/>
        <v>195</v>
      </c>
      <c r="AC94" s="171"/>
      <c r="AD94" s="171"/>
      <c r="AE94" s="173">
        <f t="shared" si="6"/>
        <v>0</v>
      </c>
      <c r="AF94" s="172">
        <f t="shared" si="7"/>
        <v>180</v>
      </c>
      <c r="AG94" s="171"/>
      <c r="AH94" s="171"/>
    </row>
    <row r="95">
      <c r="A95" s="168">
        <v>94.0</v>
      </c>
      <c r="B95" s="171"/>
      <c r="C95" s="171"/>
      <c r="D95" s="171"/>
      <c r="E95" s="171"/>
      <c r="F95" s="171"/>
      <c r="G95" s="171"/>
      <c r="H95" s="171"/>
      <c r="I95" s="136"/>
      <c r="J95" s="136"/>
      <c r="K95" s="136">
        <f t="shared" si="11"/>
        <v>0</v>
      </c>
      <c r="L95" s="170"/>
      <c r="M95" s="173"/>
      <c r="N95" s="173"/>
      <c r="O95" s="173"/>
      <c r="P95" s="173"/>
      <c r="Q95" s="173"/>
      <c r="R95" s="136"/>
      <c r="S95" s="171"/>
      <c r="T95" s="171"/>
      <c r="U95" s="169">
        <f t="shared" si="1"/>
        <v>30</v>
      </c>
      <c r="V95" s="171"/>
      <c r="W95" s="172">
        <f t="shared" si="2"/>
        <v>90</v>
      </c>
      <c r="X95" s="171"/>
      <c r="Y95" s="172">
        <f t="shared" si="3"/>
        <v>150</v>
      </c>
      <c r="Z95" s="171"/>
      <c r="AA95" s="173">
        <f t="shared" si="4"/>
        <v>0</v>
      </c>
      <c r="AB95" s="172">
        <f t="shared" si="5"/>
        <v>195</v>
      </c>
      <c r="AC95" s="171"/>
      <c r="AD95" s="171"/>
      <c r="AE95" s="173">
        <f t="shared" si="6"/>
        <v>0</v>
      </c>
      <c r="AF95" s="172">
        <f t="shared" si="7"/>
        <v>180</v>
      </c>
      <c r="AG95" s="171"/>
      <c r="AH95" s="171"/>
    </row>
    <row r="96">
      <c r="A96" s="168">
        <v>95.0</v>
      </c>
      <c r="B96" s="171"/>
      <c r="C96" s="171"/>
      <c r="D96" s="171"/>
      <c r="E96" s="171"/>
      <c r="F96" s="171"/>
      <c r="G96" s="171"/>
      <c r="H96" s="171"/>
      <c r="I96" s="136"/>
      <c r="J96" s="136"/>
      <c r="K96" s="136">
        <f t="shared" si="11"/>
        <v>0</v>
      </c>
      <c r="L96" s="170"/>
      <c r="M96" s="173"/>
      <c r="N96" s="173"/>
      <c r="O96" s="173"/>
      <c r="P96" s="173"/>
      <c r="Q96" s="173"/>
      <c r="R96" s="136"/>
      <c r="S96" s="171"/>
      <c r="T96" s="171"/>
      <c r="U96" s="169">
        <f t="shared" si="1"/>
        <v>30</v>
      </c>
      <c r="V96" s="171"/>
      <c r="W96" s="172">
        <f t="shared" si="2"/>
        <v>90</v>
      </c>
      <c r="X96" s="171"/>
      <c r="Y96" s="172">
        <f t="shared" si="3"/>
        <v>150</v>
      </c>
      <c r="Z96" s="171"/>
      <c r="AA96" s="173">
        <f t="shared" si="4"/>
        <v>0</v>
      </c>
      <c r="AB96" s="172">
        <f t="shared" si="5"/>
        <v>195</v>
      </c>
      <c r="AC96" s="171"/>
      <c r="AD96" s="171"/>
      <c r="AE96" s="173">
        <f t="shared" si="6"/>
        <v>0</v>
      </c>
      <c r="AF96" s="172">
        <f t="shared" si="7"/>
        <v>180</v>
      </c>
      <c r="AG96" s="171"/>
      <c r="AH96" s="171"/>
    </row>
    <row r="97">
      <c r="A97" s="168">
        <v>96.0</v>
      </c>
      <c r="B97" s="171"/>
      <c r="C97" s="171"/>
      <c r="D97" s="171"/>
      <c r="E97" s="171"/>
      <c r="F97" s="171"/>
      <c r="G97" s="171"/>
      <c r="H97" s="171"/>
      <c r="I97" s="136"/>
      <c r="J97" s="136"/>
      <c r="K97" s="136">
        <f t="shared" si="11"/>
        <v>0</v>
      </c>
      <c r="L97" s="170"/>
      <c r="M97" s="173"/>
      <c r="N97" s="173"/>
      <c r="O97" s="173"/>
      <c r="P97" s="173"/>
      <c r="Q97" s="173"/>
      <c r="R97" s="136"/>
      <c r="S97" s="171"/>
      <c r="T97" s="171"/>
      <c r="U97" s="169">
        <f t="shared" si="1"/>
        <v>30</v>
      </c>
      <c r="V97" s="171"/>
      <c r="W97" s="172">
        <f t="shared" si="2"/>
        <v>90</v>
      </c>
      <c r="X97" s="171"/>
      <c r="Y97" s="172">
        <f t="shared" si="3"/>
        <v>150</v>
      </c>
      <c r="Z97" s="171"/>
      <c r="AA97" s="173">
        <f t="shared" si="4"/>
        <v>0</v>
      </c>
      <c r="AB97" s="172">
        <f t="shared" si="5"/>
        <v>195</v>
      </c>
      <c r="AC97" s="171"/>
      <c r="AD97" s="171"/>
      <c r="AE97" s="173">
        <f t="shared" si="6"/>
        <v>0</v>
      </c>
      <c r="AF97" s="172">
        <f t="shared" si="7"/>
        <v>180</v>
      </c>
      <c r="AG97" s="171"/>
      <c r="AH97" s="171"/>
    </row>
    <row r="98">
      <c r="A98" s="168">
        <v>97.0</v>
      </c>
      <c r="B98" s="171"/>
      <c r="C98" s="171"/>
      <c r="D98" s="171"/>
      <c r="E98" s="171"/>
      <c r="F98" s="171"/>
      <c r="G98" s="171"/>
      <c r="H98" s="171"/>
      <c r="I98" s="136"/>
      <c r="J98" s="136"/>
      <c r="K98" s="136">
        <f t="shared" si="11"/>
        <v>0</v>
      </c>
      <c r="L98" s="170"/>
      <c r="M98" s="173"/>
      <c r="N98" s="173"/>
      <c r="O98" s="173"/>
      <c r="P98" s="173"/>
      <c r="Q98" s="173"/>
      <c r="R98" s="136"/>
      <c r="S98" s="171"/>
      <c r="T98" s="171"/>
      <c r="U98" s="169">
        <f t="shared" si="1"/>
        <v>30</v>
      </c>
      <c r="V98" s="171"/>
      <c r="W98" s="172">
        <f t="shared" si="2"/>
        <v>90</v>
      </c>
      <c r="X98" s="171"/>
      <c r="Y98" s="172">
        <f t="shared" si="3"/>
        <v>150</v>
      </c>
      <c r="Z98" s="171"/>
      <c r="AA98" s="173">
        <f t="shared" si="4"/>
        <v>0</v>
      </c>
      <c r="AB98" s="172">
        <f t="shared" si="5"/>
        <v>195</v>
      </c>
      <c r="AC98" s="171"/>
      <c r="AD98" s="171"/>
      <c r="AE98" s="173">
        <f t="shared" si="6"/>
        <v>0</v>
      </c>
      <c r="AF98" s="172">
        <f t="shared" si="7"/>
        <v>180</v>
      </c>
      <c r="AG98" s="171"/>
      <c r="AH98" s="171"/>
    </row>
    <row r="99">
      <c r="A99" s="168">
        <v>98.0</v>
      </c>
      <c r="B99" s="171"/>
      <c r="C99" s="171"/>
      <c r="D99" s="171"/>
      <c r="E99" s="171"/>
      <c r="F99" s="171"/>
      <c r="G99" s="171"/>
      <c r="H99" s="171"/>
      <c r="I99" s="136"/>
      <c r="J99" s="136"/>
      <c r="K99" s="136">
        <f t="shared" si="11"/>
        <v>0</v>
      </c>
      <c r="L99" s="170"/>
      <c r="M99" s="173"/>
      <c r="N99" s="173"/>
      <c r="O99" s="173"/>
      <c r="P99" s="173"/>
      <c r="Q99" s="173"/>
      <c r="R99" s="136"/>
      <c r="S99" s="171"/>
      <c r="T99" s="171"/>
      <c r="U99" s="169">
        <f t="shared" si="1"/>
        <v>30</v>
      </c>
      <c r="V99" s="171"/>
      <c r="W99" s="172">
        <f t="shared" si="2"/>
        <v>90</v>
      </c>
      <c r="X99" s="171"/>
      <c r="Y99" s="172">
        <f t="shared" si="3"/>
        <v>150</v>
      </c>
      <c r="Z99" s="171"/>
      <c r="AA99" s="173">
        <f t="shared" si="4"/>
        <v>0</v>
      </c>
      <c r="AB99" s="172">
        <f t="shared" si="5"/>
        <v>195</v>
      </c>
      <c r="AC99" s="171"/>
      <c r="AD99" s="171"/>
      <c r="AE99" s="173">
        <f t="shared" si="6"/>
        <v>0</v>
      </c>
      <c r="AF99" s="172">
        <f t="shared" si="7"/>
        <v>180</v>
      </c>
      <c r="AG99" s="171"/>
      <c r="AH99" s="171"/>
    </row>
    <row r="100">
      <c r="A100" s="168">
        <v>99.0</v>
      </c>
      <c r="B100" s="171"/>
      <c r="C100" s="171"/>
      <c r="D100" s="171"/>
      <c r="E100" s="171"/>
      <c r="F100" s="171"/>
      <c r="G100" s="171"/>
      <c r="H100" s="171"/>
      <c r="I100" s="136"/>
      <c r="J100" s="136"/>
      <c r="K100" s="136">
        <f t="shared" si="11"/>
        <v>0</v>
      </c>
      <c r="L100" s="170"/>
      <c r="M100" s="173"/>
      <c r="N100" s="173"/>
      <c r="O100" s="173"/>
      <c r="P100" s="173"/>
      <c r="Q100" s="173"/>
      <c r="R100" s="136"/>
      <c r="S100" s="171"/>
      <c r="T100" s="171"/>
      <c r="U100" s="169">
        <f t="shared" si="1"/>
        <v>30</v>
      </c>
      <c r="V100" s="171"/>
      <c r="W100" s="172">
        <f t="shared" si="2"/>
        <v>90</v>
      </c>
      <c r="X100" s="171"/>
      <c r="Y100" s="172">
        <f t="shared" si="3"/>
        <v>150</v>
      </c>
      <c r="Z100" s="171"/>
      <c r="AA100" s="173">
        <f t="shared" si="4"/>
        <v>0</v>
      </c>
      <c r="AB100" s="172">
        <f t="shared" si="5"/>
        <v>195</v>
      </c>
      <c r="AC100" s="171"/>
      <c r="AD100" s="171"/>
      <c r="AE100" s="173">
        <f t="shared" si="6"/>
        <v>0</v>
      </c>
      <c r="AF100" s="172">
        <f t="shared" si="7"/>
        <v>180</v>
      </c>
      <c r="AG100" s="171"/>
      <c r="AH100" s="171"/>
    </row>
    <row r="101">
      <c r="A101" s="168">
        <v>100.0</v>
      </c>
      <c r="B101" s="171"/>
      <c r="C101" s="171"/>
      <c r="D101" s="171"/>
      <c r="E101" s="171"/>
      <c r="F101" s="171"/>
      <c r="G101" s="171"/>
      <c r="H101" s="171"/>
      <c r="I101" s="136"/>
      <c r="J101" s="136"/>
      <c r="K101" s="136">
        <f t="shared" si="11"/>
        <v>0</v>
      </c>
      <c r="L101" s="170"/>
      <c r="M101" s="173"/>
      <c r="N101" s="173"/>
      <c r="O101" s="173"/>
      <c r="P101" s="173"/>
      <c r="Q101" s="173"/>
      <c r="R101" s="136"/>
      <c r="S101" s="171"/>
      <c r="T101" s="171"/>
      <c r="U101" s="169">
        <f t="shared" si="1"/>
        <v>30</v>
      </c>
      <c r="V101" s="171"/>
      <c r="W101" s="172">
        <f t="shared" si="2"/>
        <v>90</v>
      </c>
      <c r="X101" s="171"/>
      <c r="Y101" s="172">
        <f t="shared" si="3"/>
        <v>150</v>
      </c>
      <c r="Z101" s="171"/>
      <c r="AA101" s="173">
        <f t="shared" si="4"/>
        <v>0</v>
      </c>
      <c r="AB101" s="172">
        <f t="shared" si="5"/>
        <v>195</v>
      </c>
      <c r="AC101" s="171"/>
      <c r="AD101" s="171"/>
      <c r="AE101" s="173">
        <f t="shared" si="6"/>
        <v>0</v>
      </c>
      <c r="AF101" s="172">
        <f t="shared" si="7"/>
        <v>180</v>
      </c>
      <c r="AG101" s="171"/>
      <c r="AH101" s="171"/>
    </row>
  </sheetData>
  <dataValidations>
    <dataValidation type="list" allowBlank="1" showErrorMessage="1" sqref="E2:E13">
      <formula1>"クライアント,代理店,クライアント/代理店,紹介者,クライアント/紹介者"</formula1>
    </dataValidation>
    <dataValidation type="list" allowBlank="1" showErrorMessage="1" sqref="I2:I101 R2:R101">
      <formula1>"初回商談フェーズ,書類取得フェーズ,概算提案フェーズ,申請フェーズ,充当通知待ちフェーズ,完了,失注,代理店"</formula1>
    </dataValidation>
    <dataValidation type="list" allowBlank="1" showErrorMessage="1" sqref="D2:D13">
      <formula1>"齋藤,尾崎,鈴木,堂坂,飯塚,宮原,内藤,手塚,堀口,長谷川,JALA,b株式会社,不明,大村,ようてん,岩崎,塩澤,森光,すう"</formula1>
    </dataValidation>
    <dataValidation type="custom" allowBlank="1" showDropDown="1" sqref="B2:B101 S2:Z101 AB2:AB101 AD2:AD101 AF2:AF101 AH2:AH101">
      <formula1>OR(NOT(ISERROR(DATEVALUE(B2))), AND(ISNUMBER(B2), LEFT(CELL("format", B2))="D"))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73.14"/>
    <col customWidth="1" min="4" max="4" width="72.57"/>
  </cols>
  <sheetData>
    <row r="1">
      <c r="A1" s="175" t="s">
        <v>2059</v>
      </c>
      <c r="B1" s="175" t="s">
        <v>2060</v>
      </c>
      <c r="C1" s="176" t="s">
        <v>2061</v>
      </c>
      <c r="D1" s="175" t="s">
        <v>2062</v>
      </c>
    </row>
    <row r="2">
      <c r="A2" s="177">
        <v>46037.0</v>
      </c>
      <c r="B2" s="177">
        <v>46043.0</v>
      </c>
      <c r="C2" s="178" t="s">
        <v>2063</v>
      </c>
      <c r="D2" s="11" t="s">
        <v>2064</v>
      </c>
    </row>
    <row r="3">
      <c r="C3" s="178" t="s">
        <v>2065</v>
      </c>
    </row>
    <row r="4">
      <c r="C4" s="178" t="s">
        <v>2066</v>
      </c>
    </row>
    <row r="5">
      <c r="C5" s="178" t="s">
        <v>2067</v>
      </c>
      <c r="D5" s="11" t="s">
        <v>2068</v>
      </c>
    </row>
    <row r="6">
      <c r="C6" s="178" t="s">
        <v>2069</v>
      </c>
      <c r="D6" s="11" t="s">
        <v>2070</v>
      </c>
    </row>
    <row r="7">
      <c r="C7" s="178" t="s">
        <v>2071</v>
      </c>
    </row>
    <row r="8">
      <c r="C8" s="179" t="s">
        <v>2072</v>
      </c>
    </row>
    <row r="9">
      <c r="C9" s="178" t="s">
        <v>2073</v>
      </c>
    </row>
    <row r="10">
      <c r="C10" s="178" t="s">
        <v>2074</v>
      </c>
    </row>
    <row r="11">
      <c r="C11" s="178" t="s">
        <v>2075</v>
      </c>
    </row>
    <row r="12">
      <c r="C12" s="178" t="s">
        <v>2076</v>
      </c>
    </row>
    <row r="13">
      <c r="C13" s="178" t="s">
        <v>2077</v>
      </c>
    </row>
    <row r="14">
      <c r="A14" s="177">
        <v>46052.0</v>
      </c>
      <c r="C14" s="178" t="s">
        <v>2078</v>
      </c>
    </row>
    <row r="15">
      <c r="A15" s="177">
        <v>46055.0</v>
      </c>
      <c r="C15" s="178" t="s">
        <v>2079</v>
      </c>
    </row>
    <row r="16">
      <c r="C16" s="180"/>
    </row>
    <row r="17">
      <c r="C17" s="180"/>
    </row>
    <row r="18">
      <c r="C18" s="180"/>
    </row>
    <row r="19">
      <c r="C19" s="180"/>
    </row>
    <row r="20">
      <c r="C20" s="180"/>
    </row>
    <row r="21">
      <c r="C21" s="180"/>
    </row>
    <row r="22">
      <c r="C22" s="180"/>
    </row>
    <row r="23">
      <c r="C23" s="180"/>
    </row>
    <row r="24">
      <c r="C24" s="180"/>
    </row>
    <row r="25">
      <c r="C25" s="180"/>
    </row>
    <row r="26">
      <c r="C26" s="180"/>
    </row>
    <row r="27">
      <c r="C27" s="180"/>
    </row>
    <row r="28">
      <c r="C28" s="180"/>
    </row>
    <row r="29">
      <c r="C29" s="180"/>
    </row>
    <row r="30">
      <c r="C30" s="180"/>
    </row>
    <row r="31">
      <c r="C31" s="180"/>
    </row>
    <row r="32">
      <c r="C32" s="180"/>
    </row>
    <row r="33">
      <c r="C33" s="180"/>
    </row>
    <row r="34">
      <c r="C34" s="180"/>
    </row>
    <row r="35">
      <c r="C35" s="180"/>
    </row>
    <row r="36">
      <c r="C36" s="180"/>
    </row>
    <row r="37">
      <c r="C37" s="180"/>
    </row>
    <row r="38">
      <c r="C38" s="180"/>
    </row>
    <row r="39">
      <c r="C39" s="180"/>
    </row>
    <row r="40">
      <c r="C40" s="180"/>
    </row>
    <row r="41">
      <c r="C41" s="180"/>
    </row>
    <row r="42">
      <c r="C42" s="180"/>
    </row>
    <row r="43">
      <c r="C43" s="180"/>
    </row>
    <row r="44">
      <c r="C44" s="180"/>
    </row>
    <row r="45">
      <c r="C45" s="180"/>
    </row>
    <row r="46">
      <c r="C46" s="180"/>
    </row>
    <row r="47">
      <c r="C47" s="180"/>
    </row>
    <row r="48">
      <c r="C48" s="180"/>
    </row>
    <row r="49">
      <c r="C49" s="180"/>
    </row>
    <row r="50">
      <c r="C50" s="180"/>
    </row>
    <row r="51">
      <c r="C51" s="180"/>
    </row>
    <row r="52">
      <c r="C52" s="180"/>
    </row>
    <row r="53">
      <c r="C53" s="180"/>
    </row>
    <row r="54">
      <c r="C54" s="180"/>
    </row>
    <row r="55">
      <c r="C55" s="180"/>
    </row>
    <row r="56">
      <c r="C56" s="180"/>
    </row>
    <row r="57">
      <c r="C57" s="180"/>
    </row>
    <row r="58">
      <c r="C58" s="180"/>
    </row>
    <row r="59">
      <c r="C59" s="180"/>
    </row>
    <row r="60">
      <c r="C60" s="180"/>
    </row>
    <row r="61">
      <c r="C61" s="180"/>
    </row>
    <row r="62">
      <c r="C62" s="180"/>
    </row>
    <row r="63">
      <c r="C63" s="180"/>
    </row>
    <row r="64">
      <c r="C64" s="180"/>
    </row>
    <row r="65">
      <c r="C65" s="180"/>
    </row>
    <row r="66">
      <c r="C66" s="180"/>
    </row>
    <row r="67">
      <c r="C67" s="180"/>
    </row>
    <row r="68">
      <c r="C68" s="180"/>
    </row>
    <row r="69">
      <c r="C69" s="180"/>
    </row>
    <row r="70">
      <c r="C70" s="180"/>
    </row>
    <row r="71">
      <c r="C71" s="180"/>
    </row>
    <row r="72">
      <c r="C72" s="180"/>
    </row>
    <row r="73">
      <c r="C73" s="180"/>
    </row>
    <row r="74">
      <c r="C74" s="180"/>
    </row>
    <row r="75">
      <c r="C75" s="180"/>
    </row>
    <row r="76">
      <c r="C76" s="180"/>
    </row>
    <row r="77">
      <c r="C77" s="180"/>
    </row>
    <row r="78">
      <c r="C78" s="180"/>
    </row>
    <row r="79">
      <c r="C79" s="180"/>
    </row>
    <row r="80">
      <c r="C80" s="180"/>
    </row>
    <row r="81">
      <c r="C81" s="180"/>
    </row>
    <row r="82">
      <c r="C82" s="180"/>
    </row>
    <row r="83">
      <c r="C83" s="180"/>
    </row>
    <row r="84">
      <c r="C84" s="180"/>
    </row>
    <row r="85">
      <c r="C85" s="180"/>
    </row>
    <row r="86">
      <c r="C86" s="180"/>
    </row>
    <row r="87">
      <c r="C87" s="180"/>
    </row>
    <row r="88">
      <c r="C88" s="180"/>
    </row>
    <row r="89">
      <c r="C89" s="180"/>
    </row>
    <row r="90">
      <c r="C90" s="180"/>
    </row>
    <row r="91">
      <c r="C91" s="180"/>
    </row>
    <row r="92">
      <c r="C92" s="180"/>
    </row>
    <row r="93">
      <c r="C93" s="180"/>
    </row>
    <row r="94">
      <c r="C94" s="180"/>
    </row>
    <row r="95">
      <c r="C95" s="180"/>
    </row>
    <row r="96">
      <c r="C96" s="180"/>
    </row>
    <row r="97">
      <c r="C97" s="180"/>
    </row>
    <row r="98">
      <c r="C98" s="180"/>
    </row>
    <row r="99">
      <c r="C99" s="180"/>
    </row>
    <row r="100">
      <c r="C100" s="180"/>
    </row>
    <row r="101">
      <c r="C101" s="180"/>
    </row>
    <row r="102">
      <c r="C102" s="180"/>
    </row>
    <row r="103">
      <c r="C103" s="180"/>
    </row>
    <row r="104">
      <c r="C104" s="180"/>
    </row>
    <row r="105">
      <c r="C105" s="180"/>
    </row>
    <row r="106">
      <c r="C106" s="180"/>
    </row>
    <row r="107">
      <c r="C107" s="180"/>
    </row>
    <row r="108">
      <c r="C108" s="180"/>
    </row>
    <row r="109">
      <c r="C109" s="180"/>
    </row>
    <row r="110">
      <c r="C110" s="180"/>
    </row>
    <row r="111">
      <c r="C111" s="180"/>
    </row>
    <row r="112">
      <c r="C112" s="180"/>
    </row>
    <row r="113">
      <c r="C113" s="180"/>
    </row>
    <row r="114">
      <c r="C114" s="180"/>
    </row>
    <row r="115">
      <c r="C115" s="180"/>
    </row>
    <row r="116">
      <c r="C116" s="180"/>
    </row>
    <row r="117">
      <c r="C117" s="180"/>
    </row>
    <row r="118">
      <c r="C118" s="180"/>
    </row>
    <row r="119">
      <c r="C119" s="180"/>
    </row>
    <row r="120">
      <c r="C120" s="180"/>
    </row>
    <row r="121">
      <c r="C121" s="180"/>
    </row>
    <row r="122">
      <c r="C122" s="180"/>
    </row>
    <row r="123">
      <c r="C123" s="180"/>
    </row>
    <row r="124">
      <c r="C124" s="180"/>
    </row>
    <row r="125">
      <c r="C125" s="180"/>
    </row>
    <row r="126">
      <c r="C126" s="180"/>
    </row>
    <row r="127">
      <c r="C127" s="180"/>
    </row>
    <row r="128">
      <c r="C128" s="180"/>
    </row>
    <row r="129">
      <c r="C129" s="180"/>
    </row>
    <row r="130">
      <c r="C130" s="180"/>
    </row>
    <row r="131">
      <c r="C131" s="180"/>
    </row>
    <row r="132">
      <c r="C132" s="180"/>
    </row>
    <row r="133">
      <c r="C133" s="180"/>
    </row>
    <row r="134">
      <c r="C134" s="180"/>
    </row>
    <row r="135">
      <c r="C135" s="180"/>
    </row>
    <row r="136">
      <c r="C136" s="180"/>
    </row>
    <row r="137">
      <c r="C137" s="180"/>
    </row>
    <row r="138">
      <c r="C138" s="180"/>
    </row>
    <row r="139">
      <c r="C139" s="180"/>
    </row>
    <row r="140">
      <c r="C140" s="180"/>
    </row>
    <row r="141">
      <c r="C141" s="180"/>
    </row>
    <row r="142">
      <c r="C142" s="180"/>
    </row>
    <row r="143">
      <c r="C143" s="180"/>
    </row>
    <row r="144">
      <c r="C144" s="180"/>
    </row>
    <row r="145">
      <c r="C145" s="180"/>
    </row>
    <row r="146">
      <c r="C146" s="180"/>
    </row>
    <row r="147">
      <c r="C147" s="180"/>
    </row>
    <row r="148">
      <c r="C148" s="180"/>
    </row>
    <row r="149">
      <c r="C149" s="180"/>
    </row>
    <row r="150">
      <c r="C150" s="180"/>
    </row>
    <row r="151">
      <c r="C151" s="180"/>
    </row>
    <row r="152">
      <c r="C152" s="180"/>
    </row>
    <row r="153">
      <c r="C153" s="180"/>
    </row>
    <row r="154">
      <c r="C154" s="180"/>
    </row>
    <row r="155">
      <c r="C155" s="180"/>
    </row>
    <row r="156">
      <c r="C156" s="180"/>
    </row>
    <row r="157">
      <c r="C157" s="180"/>
    </row>
    <row r="158">
      <c r="C158" s="180"/>
    </row>
    <row r="159">
      <c r="C159" s="180"/>
    </row>
    <row r="160">
      <c r="C160" s="180"/>
    </row>
    <row r="161">
      <c r="C161" s="180"/>
    </row>
    <row r="162">
      <c r="C162" s="180"/>
    </row>
    <row r="163">
      <c r="C163" s="180"/>
    </row>
    <row r="164">
      <c r="C164" s="180"/>
    </row>
    <row r="165">
      <c r="C165" s="180"/>
    </row>
    <row r="166">
      <c r="C166" s="180"/>
    </row>
    <row r="167">
      <c r="C167" s="180"/>
    </row>
    <row r="168">
      <c r="C168" s="180"/>
    </row>
    <row r="169">
      <c r="C169" s="180"/>
    </row>
    <row r="170">
      <c r="C170" s="180"/>
    </row>
    <row r="171">
      <c r="C171" s="180"/>
    </row>
    <row r="172">
      <c r="C172" s="180"/>
    </row>
    <row r="173">
      <c r="C173" s="180"/>
    </row>
    <row r="174">
      <c r="C174" s="180"/>
    </row>
    <row r="175">
      <c r="C175" s="180"/>
    </row>
    <row r="176">
      <c r="C176" s="180"/>
    </row>
    <row r="177">
      <c r="C177" s="180"/>
    </row>
    <row r="178">
      <c r="C178" s="180"/>
    </row>
    <row r="179">
      <c r="C179" s="180"/>
    </row>
    <row r="180">
      <c r="C180" s="180"/>
    </row>
    <row r="181">
      <c r="C181" s="180"/>
    </row>
    <row r="182">
      <c r="C182" s="180"/>
    </row>
    <row r="183">
      <c r="C183" s="180"/>
    </row>
    <row r="184">
      <c r="C184" s="180"/>
    </row>
    <row r="185">
      <c r="C185" s="180"/>
    </row>
    <row r="186">
      <c r="C186" s="180"/>
    </row>
    <row r="187">
      <c r="C187" s="180"/>
    </row>
    <row r="188">
      <c r="C188" s="180"/>
    </row>
    <row r="189">
      <c r="C189" s="180"/>
    </row>
    <row r="190">
      <c r="C190" s="180"/>
    </row>
    <row r="191">
      <c r="C191" s="180"/>
    </row>
    <row r="192">
      <c r="C192" s="180"/>
    </row>
    <row r="193">
      <c r="C193" s="180"/>
    </row>
    <row r="194">
      <c r="C194" s="180"/>
    </row>
    <row r="195">
      <c r="C195" s="180"/>
    </row>
    <row r="196">
      <c r="C196" s="180"/>
    </row>
    <row r="197">
      <c r="C197" s="180"/>
    </row>
    <row r="198">
      <c r="C198" s="180"/>
    </row>
    <row r="199">
      <c r="C199" s="180"/>
    </row>
    <row r="200">
      <c r="C200" s="180"/>
    </row>
    <row r="201">
      <c r="C201" s="180"/>
    </row>
    <row r="202">
      <c r="C202" s="180"/>
    </row>
    <row r="203">
      <c r="C203" s="180"/>
    </row>
    <row r="204">
      <c r="C204" s="180"/>
    </row>
    <row r="205">
      <c r="C205" s="180"/>
    </row>
    <row r="206">
      <c r="C206" s="180"/>
    </row>
    <row r="207">
      <c r="C207" s="180"/>
    </row>
    <row r="208">
      <c r="C208" s="180"/>
    </row>
    <row r="209">
      <c r="C209" s="180"/>
    </row>
    <row r="210">
      <c r="C210" s="180"/>
    </row>
    <row r="211">
      <c r="C211" s="180"/>
    </row>
    <row r="212">
      <c r="C212" s="180"/>
    </row>
    <row r="213">
      <c r="C213" s="180"/>
    </row>
    <row r="214">
      <c r="C214" s="180"/>
    </row>
    <row r="215">
      <c r="C215" s="180"/>
    </row>
    <row r="216">
      <c r="C216" s="180"/>
    </row>
    <row r="217">
      <c r="C217" s="180"/>
    </row>
    <row r="218">
      <c r="C218" s="180"/>
    </row>
    <row r="219">
      <c r="C219" s="180"/>
    </row>
    <row r="220">
      <c r="C220" s="180"/>
    </row>
    <row r="221">
      <c r="C221" s="180"/>
    </row>
    <row r="222">
      <c r="C222" s="180"/>
    </row>
    <row r="223">
      <c r="C223" s="180"/>
    </row>
    <row r="224">
      <c r="C224" s="180"/>
    </row>
    <row r="225">
      <c r="C225" s="180"/>
    </row>
    <row r="226">
      <c r="C226" s="180"/>
    </row>
    <row r="227">
      <c r="C227" s="180"/>
    </row>
    <row r="228">
      <c r="C228" s="180"/>
    </row>
    <row r="229">
      <c r="C229" s="180"/>
    </row>
    <row r="230">
      <c r="C230" s="180"/>
    </row>
    <row r="231">
      <c r="C231" s="180"/>
    </row>
    <row r="232">
      <c r="C232" s="180"/>
    </row>
    <row r="233">
      <c r="C233" s="180"/>
    </row>
    <row r="234">
      <c r="C234" s="180"/>
    </row>
    <row r="235">
      <c r="C235" s="180"/>
    </row>
    <row r="236">
      <c r="C236" s="180"/>
    </row>
    <row r="237">
      <c r="C237" s="180"/>
    </row>
    <row r="238">
      <c r="C238" s="180"/>
    </row>
    <row r="239">
      <c r="C239" s="180"/>
    </row>
    <row r="240">
      <c r="C240" s="180"/>
    </row>
    <row r="241">
      <c r="C241" s="180"/>
    </row>
    <row r="242">
      <c r="C242" s="180"/>
    </row>
    <row r="243">
      <c r="C243" s="180"/>
    </row>
    <row r="244">
      <c r="C244" s="180"/>
    </row>
    <row r="245">
      <c r="C245" s="180"/>
    </row>
    <row r="246">
      <c r="C246" s="180"/>
    </row>
    <row r="247">
      <c r="C247" s="180"/>
    </row>
    <row r="248">
      <c r="C248" s="180"/>
    </row>
    <row r="249">
      <c r="C249" s="180"/>
    </row>
    <row r="250">
      <c r="C250" s="180"/>
    </row>
    <row r="251">
      <c r="C251" s="180"/>
    </row>
    <row r="252">
      <c r="C252" s="180"/>
    </row>
    <row r="253">
      <c r="C253" s="180"/>
    </row>
    <row r="254">
      <c r="C254" s="180"/>
    </row>
    <row r="255">
      <c r="C255" s="180"/>
    </row>
    <row r="256">
      <c r="C256" s="180"/>
    </row>
    <row r="257">
      <c r="C257" s="180"/>
    </row>
    <row r="258">
      <c r="C258" s="180"/>
    </row>
    <row r="259">
      <c r="C259" s="180"/>
    </row>
    <row r="260">
      <c r="C260" s="180"/>
    </row>
    <row r="261">
      <c r="C261" s="180"/>
    </row>
    <row r="262">
      <c r="C262" s="180"/>
    </row>
    <row r="263">
      <c r="C263" s="180"/>
    </row>
    <row r="264">
      <c r="C264" s="180"/>
    </row>
    <row r="265">
      <c r="C265" s="180"/>
    </row>
    <row r="266">
      <c r="C266" s="180"/>
    </row>
    <row r="267">
      <c r="C267" s="180"/>
    </row>
    <row r="268">
      <c r="C268" s="180"/>
    </row>
    <row r="269">
      <c r="C269" s="180"/>
    </row>
    <row r="270">
      <c r="C270" s="180"/>
    </row>
    <row r="271">
      <c r="C271" s="180"/>
    </row>
    <row r="272">
      <c r="C272" s="180"/>
    </row>
    <row r="273">
      <c r="C273" s="180"/>
    </row>
    <row r="274">
      <c r="C274" s="180"/>
    </row>
    <row r="275">
      <c r="C275" s="180"/>
    </row>
    <row r="276">
      <c r="C276" s="180"/>
    </row>
    <row r="277">
      <c r="C277" s="180"/>
    </row>
    <row r="278">
      <c r="C278" s="180"/>
    </row>
    <row r="279">
      <c r="C279" s="180"/>
    </row>
    <row r="280">
      <c r="C280" s="180"/>
    </row>
    <row r="281">
      <c r="C281" s="180"/>
    </row>
    <row r="282">
      <c r="C282" s="180"/>
    </row>
    <row r="283">
      <c r="C283" s="180"/>
    </row>
    <row r="284">
      <c r="C284" s="180"/>
    </row>
    <row r="285">
      <c r="C285" s="180"/>
    </row>
    <row r="286">
      <c r="C286" s="180"/>
    </row>
    <row r="287">
      <c r="C287" s="180"/>
    </row>
    <row r="288">
      <c r="C288" s="180"/>
    </row>
    <row r="289">
      <c r="C289" s="180"/>
    </row>
    <row r="290">
      <c r="C290" s="180"/>
    </row>
    <row r="291">
      <c r="C291" s="180"/>
    </row>
    <row r="292">
      <c r="C292" s="180"/>
    </row>
    <row r="293">
      <c r="C293" s="180"/>
    </row>
    <row r="294">
      <c r="C294" s="180"/>
    </row>
    <row r="295">
      <c r="C295" s="180"/>
    </row>
    <row r="296">
      <c r="C296" s="180"/>
    </row>
    <row r="297">
      <c r="C297" s="180"/>
    </row>
    <row r="298">
      <c r="C298" s="180"/>
    </row>
    <row r="299">
      <c r="C299" s="180"/>
    </row>
    <row r="300">
      <c r="C300" s="180"/>
    </row>
    <row r="301">
      <c r="C301" s="180"/>
    </row>
    <row r="302">
      <c r="C302" s="180"/>
    </row>
    <row r="303">
      <c r="C303" s="180"/>
    </row>
    <row r="304">
      <c r="C304" s="180"/>
    </row>
    <row r="305">
      <c r="C305" s="180"/>
    </row>
    <row r="306">
      <c r="C306" s="180"/>
    </row>
    <row r="307">
      <c r="C307" s="180"/>
    </row>
    <row r="308">
      <c r="C308" s="180"/>
    </row>
    <row r="309">
      <c r="C309" s="180"/>
    </row>
    <row r="310">
      <c r="C310" s="180"/>
    </row>
    <row r="311">
      <c r="C311" s="180"/>
    </row>
    <row r="312">
      <c r="C312" s="180"/>
    </row>
    <row r="313">
      <c r="C313" s="180"/>
    </row>
    <row r="314">
      <c r="C314" s="180"/>
    </row>
    <row r="315">
      <c r="C315" s="180"/>
    </row>
    <row r="316">
      <c r="C316" s="180"/>
    </row>
    <row r="317">
      <c r="C317" s="180"/>
    </row>
    <row r="318">
      <c r="C318" s="180"/>
    </row>
    <row r="319">
      <c r="C319" s="180"/>
    </row>
    <row r="320">
      <c r="C320" s="180"/>
    </row>
    <row r="321">
      <c r="C321" s="180"/>
    </row>
    <row r="322">
      <c r="C322" s="180"/>
    </row>
    <row r="323">
      <c r="C323" s="180"/>
    </row>
    <row r="324">
      <c r="C324" s="180"/>
    </row>
    <row r="325">
      <c r="C325" s="180"/>
    </row>
    <row r="326">
      <c r="C326" s="180"/>
    </row>
    <row r="327">
      <c r="C327" s="180"/>
    </row>
    <row r="328">
      <c r="C328" s="180"/>
    </row>
    <row r="329">
      <c r="C329" s="180"/>
    </row>
    <row r="330">
      <c r="C330" s="180"/>
    </row>
    <row r="331">
      <c r="C331" s="180"/>
    </row>
    <row r="332">
      <c r="C332" s="180"/>
    </row>
    <row r="333">
      <c r="C333" s="180"/>
    </row>
    <row r="334">
      <c r="C334" s="180"/>
    </row>
    <row r="335">
      <c r="C335" s="180"/>
    </row>
    <row r="336">
      <c r="C336" s="180"/>
    </row>
    <row r="337">
      <c r="C337" s="180"/>
    </row>
    <row r="338">
      <c r="C338" s="180"/>
    </row>
    <row r="339">
      <c r="C339" s="180"/>
    </row>
    <row r="340">
      <c r="C340" s="180"/>
    </row>
    <row r="341">
      <c r="C341" s="180"/>
    </row>
    <row r="342">
      <c r="C342" s="180"/>
    </row>
    <row r="343">
      <c r="C343" s="180"/>
    </row>
    <row r="344">
      <c r="C344" s="180"/>
    </row>
    <row r="345">
      <c r="C345" s="180"/>
    </row>
    <row r="346">
      <c r="C346" s="180"/>
    </row>
    <row r="347">
      <c r="C347" s="180"/>
    </row>
    <row r="348">
      <c r="C348" s="180"/>
    </row>
    <row r="349">
      <c r="C349" s="180"/>
    </row>
    <row r="350">
      <c r="C350" s="180"/>
    </row>
    <row r="351">
      <c r="C351" s="180"/>
    </row>
    <row r="352">
      <c r="C352" s="180"/>
    </row>
    <row r="353">
      <c r="C353" s="180"/>
    </row>
    <row r="354">
      <c r="C354" s="180"/>
    </row>
    <row r="355">
      <c r="C355" s="180"/>
    </row>
    <row r="356">
      <c r="C356" s="180"/>
    </row>
    <row r="357">
      <c r="C357" s="180"/>
    </row>
    <row r="358">
      <c r="C358" s="180"/>
    </row>
    <row r="359">
      <c r="C359" s="180"/>
    </row>
    <row r="360">
      <c r="C360" s="180"/>
    </row>
    <row r="361">
      <c r="C361" s="180"/>
    </row>
    <row r="362">
      <c r="C362" s="180"/>
    </row>
    <row r="363">
      <c r="C363" s="180"/>
    </row>
    <row r="364">
      <c r="C364" s="180"/>
    </row>
    <row r="365">
      <c r="C365" s="180"/>
    </row>
    <row r="366">
      <c r="C366" s="180"/>
    </row>
    <row r="367">
      <c r="C367" s="180"/>
    </row>
    <row r="368">
      <c r="C368" s="180"/>
    </row>
    <row r="369">
      <c r="C369" s="180"/>
    </row>
    <row r="370">
      <c r="C370" s="180"/>
    </row>
    <row r="371">
      <c r="C371" s="180"/>
    </row>
    <row r="372">
      <c r="C372" s="180"/>
    </row>
    <row r="373">
      <c r="C373" s="180"/>
    </row>
    <row r="374">
      <c r="C374" s="180"/>
    </row>
    <row r="375">
      <c r="C375" s="180"/>
    </row>
    <row r="376">
      <c r="C376" s="180"/>
    </row>
    <row r="377">
      <c r="C377" s="180"/>
    </row>
    <row r="378">
      <c r="C378" s="180"/>
    </row>
    <row r="379">
      <c r="C379" s="180"/>
    </row>
    <row r="380">
      <c r="C380" s="180"/>
    </row>
    <row r="381">
      <c r="C381" s="180"/>
    </row>
    <row r="382">
      <c r="C382" s="180"/>
    </row>
    <row r="383">
      <c r="C383" s="180"/>
    </row>
    <row r="384">
      <c r="C384" s="180"/>
    </row>
    <row r="385">
      <c r="C385" s="180"/>
    </row>
    <row r="386">
      <c r="C386" s="180"/>
    </row>
    <row r="387">
      <c r="C387" s="180"/>
    </row>
    <row r="388">
      <c r="C388" s="180"/>
    </row>
    <row r="389">
      <c r="C389" s="180"/>
    </row>
    <row r="390">
      <c r="C390" s="180"/>
    </row>
    <row r="391">
      <c r="C391" s="180"/>
    </row>
    <row r="392">
      <c r="C392" s="180"/>
    </row>
    <row r="393">
      <c r="C393" s="180"/>
    </row>
    <row r="394">
      <c r="C394" s="180"/>
    </row>
    <row r="395">
      <c r="C395" s="180"/>
    </row>
    <row r="396">
      <c r="C396" s="180"/>
    </row>
    <row r="397">
      <c r="C397" s="180"/>
    </row>
    <row r="398">
      <c r="C398" s="180"/>
    </row>
    <row r="399">
      <c r="C399" s="180"/>
    </row>
    <row r="400">
      <c r="C400" s="180"/>
    </row>
    <row r="401">
      <c r="C401" s="180"/>
    </row>
    <row r="402">
      <c r="C402" s="180"/>
    </row>
    <row r="403">
      <c r="C403" s="180"/>
    </row>
    <row r="404">
      <c r="C404" s="180"/>
    </row>
    <row r="405">
      <c r="C405" s="180"/>
    </row>
    <row r="406">
      <c r="C406" s="180"/>
    </row>
    <row r="407">
      <c r="C407" s="180"/>
    </row>
    <row r="408">
      <c r="C408" s="180"/>
    </row>
    <row r="409">
      <c r="C409" s="180"/>
    </row>
    <row r="410">
      <c r="C410" s="180"/>
    </row>
    <row r="411">
      <c r="C411" s="180"/>
    </row>
    <row r="412">
      <c r="C412" s="180"/>
    </row>
    <row r="413">
      <c r="C413" s="180"/>
    </row>
    <row r="414">
      <c r="C414" s="180"/>
    </row>
    <row r="415">
      <c r="C415" s="180"/>
    </row>
    <row r="416">
      <c r="C416" s="180"/>
    </row>
    <row r="417">
      <c r="C417" s="180"/>
    </row>
    <row r="418">
      <c r="C418" s="180"/>
    </row>
    <row r="419">
      <c r="C419" s="180"/>
    </row>
    <row r="420">
      <c r="C420" s="180"/>
    </row>
    <row r="421">
      <c r="C421" s="180"/>
    </row>
    <row r="422">
      <c r="C422" s="180"/>
    </row>
    <row r="423">
      <c r="C423" s="180"/>
    </row>
    <row r="424">
      <c r="C424" s="180"/>
    </row>
    <row r="425">
      <c r="C425" s="180"/>
    </row>
    <row r="426">
      <c r="C426" s="180"/>
    </row>
    <row r="427">
      <c r="C427" s="180"/>
    </row>
    <row r="428">
      <c r="C428" s="180"/>
    </row>
    <row r="429">
      <c r="C429" s="180"/>
    </row>
    <row r="430">
      <c r="C430" s="180"/>
    </row>
    <row r="431">
      <c r="C431" s="180"/>
    </row>
    <row r="432">
      <c r="C432" s="180"/>
    </row>
    <row r="433">
      <c r="C433" s="180"/>
    </row>
    <row r="434">
      <c r="C434" s="180"/>
    </row>
    <row r="435">
      <c r="C435" s="180"/>
    </row>
    <row r="436">
      <c r="C436" s="180"/>
    </row>
    <row r="437">
      <c r="C437" s="180"/>
    </row>
    <row r="438">
      <c r="C438" s="180"/>
    </row>
    <row r="439">
      <c r="C439" s="180"/>
    </row>
    <row r="440">
      <c r="C440" s="180"/>
    </row>
    <row r="441">
      <c r="C441" s="180"/>
    </row>
    <row r="442">
      <c r="C442" s="180"/>
    </row>
    <row r="443">
      <c r="C443" s="180"/>
    </row>
    <row r="444">
      <c r="C444" s="180"/>
    </row>
    <row r="445">
      <c r="C445" s="180"/>
    </row>
    <row r="446">
      <c r="C446" s="180"/>
    </row>
    <row r="447">
      <c r="C447" s="180"/>
    </row>
    <row r="448">
      <c r="C448" s="180"/>
    </row>
    <row r="449">
      <c r="C449" s="180"/>
    </row>
    <row r="450">
      <c r="C450" s="180"/>
    </row>
    <row r="451">
      <c r="C451" s="180"/>
    </row>
    <row r="452">
      <c r="C452" s="180"/>
    </row>
    <row r="453">
      <c r="C453" s="180"/>
    </row>
    <row r="454">
      <c r="C454" s="180"/>
    </row>
    <row r="455">
      <c r="C455" s="180"/>
    </row>
    <row r="456">
      <c r="C456" s="180"/>
    </row>
    <row r="457">
      <c r="C457" s="180"/>
    </row>
    <row r="458">
      <c r="C458" s="180"/>
    </row>
    <row r="459">
      <c r="C459" s="180"/>
    </row>
    <row r="460">
      <c r="C460" s="180"/>
    </row>
    <row r="461">
      <c r="C461" s="180"/>
    </row>
    <row r="462">
      <c r="C462" s="180"/>
    </row>
    <row r="463">
      <c r="C463" s="180"/>
    </row>
    <row r="464">
      <c r="C464" s="180"/>
    </row>
    <row r="465">
      <c r="C465" s="180"/>
    </row>
    <row r="466">
      <c r="C466" s="180"/>
    </row>
    <row r="467">
      <c r="C467" s="180"/>
    </row>
    <row r="468">
      <c r="C468" s="180"/>
    </row>
    <row r="469">
      <c r="C469" s="180"/>
    </row>
    <row r="470">
      <c r="C470" s="180"/>
    </row>
    <row r="471">
      <c r="C471" s="180"/>
    </row>
    <row r="472">
      <c r="C472" s="180"/>
    </row>
    <row r="473">
      <c r="C473" s="180"/>
    </row>
    <row r="474">
      <c r="C474" s="180"/>
    </row>
    <row r="475">
      <c r="C475" s="180"/>
    </row>
    <row r="476">
      <c r="C476" s="180"/>
    </row>
    <row r="477">
      <c r="C477" s="180"/>
    </row>
    <row r="478">
      <c r="C478" s="180"/>
    </row>
    <row r="479">
      <c r="C479" s="180"/>
    </row>
    <row r="480">
      <c r="C480" s="180"/>
    </row>
    <row r="481">
      <c r="C481" s="180"/>
    </row>
    <row r="482">
      <c r="C482" s="180"/>
    </row>
    <row r="483">
      <c r="C483" s="180"/>
    </row>
    <row r="484">
      <c r="C484" s="180"/>
    </row>
    <row r="485">
      <c r="C485" s="180"/>
    </row>
    <row r="486">
      <c r="C486" s="180"/>
    </row>
    <row r="487">
      <c r="C487" s="180"/>
    </row>
    <row r="488">
      <c r="C488" s="180"/>
    </row>
    <row r="489">
      <c r="C489" s="180"/>
    </row>
    <row r="490">
      <c r="C490" s="180"/>
    </row>
    <row r="491">
      <c r="C491" s="180"/>
    </row>
    <row r="492">
      <c r="C492" s="180"/>
    </row>
    <row r="493">
      <c r="C493" s="180"/>
    </row>
    <row r="494">
      <c r="C494" s="180"/>
    </row>
    <row r="495">
      <c r="C495" s="180"/>
    </row>
    <row r="496">
      <c r="C496" s="180"/>
    </row>
    <row r="497">
      <c r="C497" s="180"/>
    </row>
    <row r="498">
      <c r="C498" s="180"/>
    </row>
    <row r="499">
      <c r="C499" s="180"/>
    </row>
    <row r="500">
      <c r="C500" s="180"/>
    </row>
    <row r="501">
      <c r="C501" s="180"/>
    </row>
    <row r="502">
      <c r="C502" s="180"/>
    </row>
    <row r="503">
      <c r="C503" s="180"/>
    </row>
    <row r="504">
      <c r="C504" s="180"/>
    </row>
    <row r="505">
      <c r="C505" s="180"/>
    </row>
    <row r="506">
      <c r="C506" s="180"/>
    </row>
    <row r="507">
      <c r="C507" s="180"/>
    </row>
    <row r="508">
      <c r="C508" s="180"/>
    </row>
    <row r="509">
      <c r="C509" s="180"/>
    </row>
    <row r="510">
      <c r="C510" s="180"/>
    </row>
    <row r="511">
      <c r="C511" s="180"/>
    </row>
    <row r="512">
      <c r="C512" s="180"/>
    </row>
    <row r="513">
      <c r="C513" s="180"/>
    </row>
    <row r="514">
      <c r="C514" s="180"/>
    </row>
    <row r="515">
      <c r="C515" s="180"/>
    </row>
    <row r="516">
      <c r="C516" s="180"/>
    </row>
    <row r="517">
      <c r="C517" s="180"/>
    </row>
    <row r="518">
      <c r="C518" s="180"/>
    </row>
    <row r="519">
      <c r="C519" s="180"/>
    </row>
    <row r="520">
      <c r="C520" s="180"/>
    </row>
    <row r="521">
      <c r="C521" s="180"/>
    </row>
    <row r="522">
      <c r="C522" s="180"/>
    </row>
    <row r="523">
      <c r="C523" s="180"/>
    </row>
    <row r="524">
      <c r="C524" s="180"/>
    </row>
    <row r="525">
      <c r="C525" s="180"/>
    </row>
    <row r="526">
      <c r="C526" s="180"/>
    </row>
    <row r="527">
      <c r="C527" s="180"/>
    </row>
    <row r="528">
      <c r="C528" s="180"/>
    </row>
    <row r="529">
      <c r="C529" s="180"/>
    </row>
    <row r="530">
      <c r="C530" s="180"/>
    </row>
    <row r="531">
      <c r="C531" s="180"/>
    </row>
    <row r="532">
      <c r="C532" s="180"/>
    </row>
    <row r="533">
      <c r="C533" s="180"/>
    </row>
    <row r="534">
      <c r="C534" s="180"/>
    </row>
    <row r="535">
      <c r="C535" s="180"/>
    </row>
    <row r="536">
      <c r="C536" s="180"/>
    </row>
    <row r="537">
      <c r="C537" s="180"/>
    </row>
    <row r="538">
      <c r="C538" s="180"/>
    </row>
    <row r="539">
      <c r="C539" s="180"/>
    </row>
    <row r="540">
      <c r="C540" s="180"/>
    </row>
    <row r="541">
      <c r="C541" s="180"/>
    </row>
    <row r="542">
      <c r="C542" s="180"/>
    </row>
    <row r="543">
      <c r="C543" s="180"/>
    </row>
    <row r="544">
      <c r="C544" s="180"/>
    </row>
    <row r="545">
      <c r="C545" s="180"/>
    </row>
    <row r="546">
      <c r="C546" s="180"/>
    </row>
    <row r="547">
      <c r="C547" s="180"/>
    </row>
    <row r="548">
      <c r="C548" s="180"/>
    </row>
    <row r="549">
      <c r="C549" s="180"/>
    </row>
    <row r="550">
      <c r="C550" s="180"/>
    </row>
    <row r="551">
      <c r="C551" s="180"/>
    </row>
    <row r="552">
      <c r="C552" s="180"/>
    </row>
    <row r="553">
      <c r="C553" s="180"/>
    </row>
    <row r="554">
      <c r="C554" s="180"/>
    </row>
    <row r="555">
      <c r="C555" s="180"/>
    </row>
    <row r="556">
      <c r="C556" s="180"/>
    </row>
    <row r="557">
      <c r="C557" s="180"/>
    </row>
    <row r="558">
      <c r="C558" s="180"/>
    </row>
    <row r="559">
      <c r="C559" s="180"/>
    </row>
    <row r="560">
      <c r="C560" s="180"/>
    </row>
    <row r="561">
      <c r="C561" s="180"/>
    </row>
    <row r="562">
      <c r="C562" s="180"/>
    </row>
    <row r="563">
      <c r="C563" s="180"/>
    </row>
    <row r="564">
      <c r="C564" s="180"/>
    </row>
    <row r="565">
      <c r="C565" s="180"/>
    </row>
    <row r="566">
      <c r="C566" s="180"/>
    </row>
    <row r="567">
      <c r="C567" s="180"/>
    </row>
    <row r="568">
      <c r="C568" s="180"/>
    </row>
    <row r="569">
      <c r="C569" s="180"/>
    </row>
    <row r="570">
      <c r="C570" s="180"/>
    </row>
    <row r="571">
      <c r="C571" s="180"/>
    </row>
    <row r="572">
      <c r="C572" s="180"/>
    </row>
    <row r="573">
      <c r="C573" s="180"/>
    </row>
    <row r="574">
      <c r="C574" s="180"/>
    </row>
    <row r="575">
      <c r="C575" s="180"/>
    </row>
    <row r="576">
      <c r="C576" s="180"/>
    </row>
    <row r="577">
      <c r="C577" s="180"/>
    </row>
    <row r="578">
      <c r="C578" s="180"/>
    </row>
    <row r="579">
      <c r="C579" s="180"/>
    </row>
    <row r="580">
      <c r="C580" s="180"/>
    </row>
    <row r="581">
      <c r="C581" s="180"/>
    </row>
    <row r="582">
      <c r="C582" s="180"/>
    </row>
    <row r="583">
      <c r="C583" s="180"/>
    </row>
    <row r="584">
      <c r="C584" s="180"/>
    </row>
    <row r="585">
      <c r="C585" s="180"/>
    </row>
    <row r="586">
      <c r="C586" s="180"/>
    </row>
    <row r="587">
      <c r="C587" s="180"/>
    </row>
    <row r="588">
      <c r="C588" s="180"/>
    </row>
    <row r="589">
      <c r="C589" s="180"/>
    </row>
    <row r="590">
      <c r="C590" s="180"/>
    </row>
    <row r="591">
      <c r="C591" s="180"/>
    </row>
    <row r="592">
      <c r="C592" s="180"/>
    </row>
    <row r="593">
      <c r="C593" s="180"/>
    </row>
    <row r="594">
      <c r="C594" s="180"/>
    </row>
    <row r="595">
      <c r="C595" s="180"/>
    </row>
    <row r="596">
      <c r="C596" s="180"/>
    </row>
    <row r="597">
      <c r="C597" s="180"/>
    </row>
    <row r="598">
      <c r="C598" s="180"/>
    </row>
    <row r="599">
      <c r="C599" s="180"/>
    </row>
    <row r="600">
      <c r="C600" s="180"/>
    </row>
    <row r="601">
      <c r="C601" s="180"/>
    </row>
    <row r="602">
      <c r="C602" s="180"/>
    </row>
    <row r="603">
      <c r="C603" s="180"/>
    </row>
    <row r="604">
      <c r="C604" s="180"/>
    </row>
    <row r="605">
      <c r="C605" s="180"/>
    </row>
    <row r="606">
      <c r="C606" s="180"/>
    </row>
    <row r="607">
      <c r="C607" s="180"/>
    </row>
    <row r="608">
      <c r="C608" s="180"/>
    </row>
    <row r="609">
      <c r="C609" s="180"/>
    </row>
    <row r="610">
      <c r="C610" s="180"/>
    </row>
    <row r="611">
      <c r="C611" s="180"/>
    </row>
    <row r="612">
      <c r="C612" s="180"/>
    </row>
    <row r="613">
      <c r="C613" s="180"/>
    </row>
    <row r="614">
      <c r="C614" s="180"/>
    </row>
    <row r="615">
      <c r="C615" s="180"/>
    </row>
    <row r="616">
      <c r="C616" s="180"/>
    </row>
    <row r="617">
      <c r="C617" s="180"/>
    </row>
    <row r="618">
      <c r="C618" s="180"/>
    </row>
    <row r="619">
      <c r="C619" s="180"/>
    </row>
    <row r="620">
      <c r="C620" s="180"/>
    </row>
    <row r="621">
      <c r="C621" s="180"/>
    </row>
    <row r="622">
      <c r="C622" s="180"/>
    </row>
    <row r="623">
      <c r="C623" s="180"/>
    </row>
    <row r="624">
      <c r="C624" s="180"/>
    </row>
    <row r="625">
      <c r="C625" s="180"/>
    </row>
    <row r="626">
      <c r="C626" s="180"/>
    </row>
    <row r="627">
      <c r="C627" s="180"/>
    </row>
    <row r="628">
      <c r="C628" s="180"/>
    </row>
    <row r="629">
      <c r="C629" s="180"/>
    </row>
    <row r="630">
      <c r="C630" s="180"/>
    </row>
    <row r="631">
      <c r="C631" s="180"/>
    </row>
    <row r="632">
      <c r="C632" s="180"/>
    </row>
    <row r="633">
      <c r="C633" s="180"/>
    </row>
    <row r="634">
      <c r="C634" s="180"/>
    </row>
    <row r="635">
      <c r="C635" s="180"/>
    </row>
    <row r="636">
      <c r="C636" s="180"/>
    </row>
    <row r="637">
      <c r="C637" s="180"/>
    </row>
    <row r="638">
      <c r="C638" s="180"/>
    </row>
    <row r="639">
      <c r="C639" s="180"/>
    </row>
    <row r="640">
      <c r="C640" s="180"/>
    </row>
    <row r="641">
      <c r="C641" s="180"/>
    </row>
    <row r="642">
      <c r="C642" s="180"/>
    </row>
    <row r="643">
      <c r="C643" s="180"/>
    </row>
    <row r="644">
      <c r="C644" s="180"/>
    </row>
    <row r="645">
      <c r="C645" s="180"/>
    </row>
    <row r="646">
      <c r="C646" s="180"/>
    </row>
    <row r="647">
      <c r="C647" s="180"/>
    </row>
    <row r="648">
      <c r="C648" s="180"/>
    </row>
    <row r="649">
      <c r="C649" s="180"/>
    </row>
    <row r="650">
      <c r="C650" s="180"/>
    </row>
    <row r="651">
      <c r="C651" s="180"/>
    </row>
    <row r="652">
      <c r="C652" s="180"/>
    </row>
    <row r="653">
      <c r="C653" s="180"/>
    </row>
    <row r="654">
      <c r="C654" s="180"/>
    </row>
    <row r="655">
      <c r="C655" s="180"/>
    </row>
    <row r="656">
      <c r="C656" s="180"/>
    </row>
    <row r="657">
      <c r="C657" s="180"/>
    </row>
    <row r="658">
      <c r="C658" s="180"/>
    </row>
    <row r="659">
      <c r="C659" s="180"/>
    </row>
    <row r="660">
      <c r="C660" s="180"/>
    </row>
    <row r="661">
      <c r="C661" s="180"/>
    </row>
    <row r="662">
      <c r="C662" s="180"/>
    </row>
    <row r="663">
      <c r="C663" s="180"/>
    </row>
    <row r="664">
      <c r="C664" s="180"/>
    </row>
    <row r="665">
      <c r="C665" s="180"/>
    </row>
    <row r="666">
      <c r="C666" s="180"/>
    </row>
    <row r="667">
      <c r="C667" s="180"/>
    </row>
    <row r="668">
      <c r="C668" s="180"/>
    </row>
    <row r="669">
      <c r="C669" s="180"/>
    </row>
    <row r="670">
      <c r="C670" s="180"/>
    </row>
    <row r="671">
      <c r="C671" s="180"/>
    </row>
    <row r="672">
      <c r="C672" s="180"/>
    </row>
    <row r="673">
      <c r="C673" s="180"/>
    </row>
    <row r="674">
      <c r="C674" s="180"/>
    </row>
    <row r="675">
      <c r="C675" s="180"/>
    </row>
    <row r="676">
      <c r="C676" s="180"/>
    </row>
    <row r="677">
      <c r="C677" s="180"/>
    </row>
    <row r="678">
      <c r="C678" s="180"/>
    </row>
    <row r="679">
      <c r="C679" s="180"/>
    </row>
    <row r="680">
      <c r="C680" s="180"/>
    </row>
    <row r="681">
      <c r="C681" s="180"/>
    </row>
    <row r="682">
      <c r="C682" s="180"/>
    </row>
    <row r="683">
      <c r="C683" s="180"/>
    </row>
    <row r="684">
      <c r="C684" s="180"/>
    </row>
    <row r="685">
      <c r="C685" s="180"/>
    </row>
    <row r="686">
      <c r="C686" s="180"/>
    </row>
    <row r="687">
      <c r="C687" s="180"/>
    </row>
    <row r="688">
      <c r="C688" s="180"/>
    </row>
    <row r="689">
      <c r="C689" s="180"/>
    </row>
    <row r="690">
      <c r="C690" s="180"/>
    </row>
    <row r="691">
      <c r="C691" s="180"/>
    </row>
    <row r="692">
      <c r="C692" s="180"/>
    </row>
    <row r="693">
      <c r="C693" s="180"/>
    </row>
    <row r="694">
      <c r="C694" s="180"/>
    </row>
    <row r="695">
      <c r="C695" s="180"/>
    </row>
    <row r="696">
      <c r="C696" s="180"/>
    </row>
    <row r="697">
      <c r="C697" s="180"/>
    </row>
    <row r="698">
      <c r="C698" s="180"/>
    </row>
    <row r="699">
      <c r="C699" s="180"/>
    </row>
    <row r="700">
      <c r="C700" s="180"/>
    </row>
    <row r="701">
      <c r="C701" s="180"/>
    </row>
    <row r="702">
      <c r="C702" s="180"/>
    </row>
    <row r="703">
      <c r="C703" s="180"/>
    </row>
    <row r="704">
      <c r="C704" s="180"/>
    </row>
    <row r="705">
      <c r="C705" s="180"/>
    </row>
    <row r="706">
      <c r="C706" s="180"/>
    </row>
    <row r="707">
      <c r="C707" s="180"/>
    </row>
    <row r="708">
      <c r="C708" s="180"/>
    </row>
    <row r="709">
      <c r="C709" s="180"/>
    </row>
    <row r="710">
      <c r="C710" s="180"/>
    </row>
    <row r="711">
      <c r="C711" s="180"/>
    </row>
    <row r="712">
      <c r="C712" s="180"/>
    </row>
    <row r="713">
      <c r="C713" s="180"/>
    </row>
    <row r="714">
      <c r="C714" s="180"/>
    </row>
    <row r="715">
      <c r="C715" s="180"/>
    </row>
    <row r="716">
      <c r="C716" s="180"/>
    </row>
    <row r="717">
      <c r="C717" s="180"/>
    </row>
    <row r="718">
      <c r="C718" s="180"/>
    </row>
    <row r="719">
      <c r="C719" s="180"/>
    </row>
    <row r="720">
      <c r="C720" s="180"/>
    </row>
    <row r="721">
      <c r="C721" s="180"/>
    </row>
    <row r="722">
      <c r="C722" s="180"/>
    </row>
    <row r="723">
      <c r="C723" s="180"/>
    </row>
    <row r="724">
      <c r="C724" s="180"/>
    </row>
    <row r="725">
      <c r="C725" s="180"/>
    </row>
    <row r="726">
      <c r="C726" s="180"/>
    </row>
    <row r="727">
      <c r="C727" s="180"/>
    </row>
    <row r="728">
      <c r="C728" s="180"/>
    </row>
    <row r="729">
      <c r="C729" s="180"/>
    </row>
    <row r="730">
      <c r="C730" s="180"/>
    </row>
    <row r="731">
      <c r="C731" s="180"/>
    </row>
    <row r="732">
      <c r="C732" s="180"/>
    </row>
    <row r="733">
      <c r="C733" s="180"/>
    </row>
    <row r="734">
      <c r="C734" s="180"/>
    </row>
    <row r="735">
      <c r="C735" s="180"/>
    </row>
    <row r="736">
      <c r="C736" s="180"/>
    </row>
    <row r="737">
      <c r="C737" s="180"/>
    </row>
    <row r="738">
      <c r="C738" s="180"/>
    </row>
    <row r="739">
      <c r="C739" s="180"/>
    </row>
    <row r="740">
      <c r="C740" s="180"/>
    </row>
    <row r="741">
      <c r="C741" s="180"/>
    </row>
    <row r="742">
      <c r="C742" s="180"/>
    </row>
    <row r="743">
      <c r="C743" s="180"/>
    </row>
    <row r="744">
      <c r="C744" s="180"/>
    </row>
    <row r="745">
      <c r="C745" s="180"/>
    </row>
    <row r="746">
      <c r="C746" s="180"/>
    </row>
    <row r="747">
      <c r="C747" s="180"/>
    </row>
    <row r="748">
      <c r="C748" s="180"/>
    </row>
    <row r="749">
      <c r="C749" s="180"/>
    </row>
    <row r="750">
      <c r="C750" s="180"/>
    </row>
    <row r="751">
      <c r="C751" s="180"/>
    </row>
    <row r="752">
      <c r="C752" s="180"/>
    </row>
    <row r="753">
      <c r="C753" s="180"/>
    </row>
    <row r="754">
      <c r="C754" s="180"/>
    </row>
    <row r="755">
      <c r="C755" s="180"/>
    </row>
    <row r="756">
      <c r="C756" s="180"/>
    </row>
    <row r="757">
      <c r="C757" s="180"/>
    </row>
    <row r="758">
      <c r="C758" s="180"/>
    </row>
    <row r="759">
      <c r="C759" s="180"/>
    </row>
    <row r="760">
      <c r="C760" s="180"/>
    </row>
    <row r="761">
      <c r="C761" s="180"/>
    </row>
    <row r="762">
      <c r="C762" s="180"/>
    </row>
    <row r="763">
      <c r="C763" s="180"/>
    </row>
    <row r="764">
      <c r="C764" s="180"/>
    </row>
    <row r="765">
      <c r="C765" s="180"/>
    </row>
    <row r="766">
      <c r="C766" s="180"/>
    </row>
    <row r="767">
      <c r="C767" s="180"/>
    </row>
    <row r="768">
      <c r="C768" s="180"/>
    </row>
    <row r="769">
      <c r="C769" s="180"/>
    </row>
    <row r="770">
      <c r="C770" s="180"/>
    </row>
    <row r="771">
      <c r="C771" s="180"/>
    </row>
    <row r="772">
      <c r="C772" s="180"/>
    </row>
    <row r="773">
      <c r="C773" s="180"/>
    </row>
    <row r="774">
      <c r="C774" s="180"/>
    </row>
    <row r="775">
      <c r="C775" s="180"/>
    </row>
    <row r="776">
      <c r="C776" s="180"/>
    </row>
    <row r="777">
      <c r="C777" s="180"/>
    </row>
    <row r="778">
      <c r="C778" s="180"/>
    </row>
    <row r="779">
      <c r="C779" s="180"/>
    </row>
    <row r="780">
      <c r="C780" s="180"/>
    </row>
    <row r="781">
      <c r="C781" s="180"/>
    </row>
    <row r="782">
      <c r="C782" s="180"/>
    </row>
    <row r="783">
      <c r="C783" s="180"/>
    </row>
    <row r="784">
      <c r="C784" s="180"/>
    </row>
    <row r="785">
      <c r="C785" s="180"/>
    </row>
    <row r="786">
      <c r="C786" s="180"/>
    </row>
    <row r="787">
      <c r="C787" s="180"/>
    </row>
    <row r="788">
      <c r="C788" s="180"/>
    </row>
    <row r="789">
      <c r="C789" s="180"/>
    </row>
    <row r="790">
      <c r="C790" s="180"/>
    </row>
    <row r="791">
      <c r="C791" s="180"/>
    </row>
    <row r="792">
      <c r="C792" s="180"/>
    </row>
    <row r="793">
      <c r="C793" s="180"/>
    </row>
    <row r="794">
      <c r="C794" s="180"/>
    </row>
    <row r="795">
      <c r="C795" s="180"/>
    </row>
    <row r="796">
      <c r="C796" s="180"/>
    </row>
    <row r="797">
      <c r="C797" s="180"/>
    </row>
    <row r="798">
      <c r="C798" s="180"/>
    </row>
    <row r="799">
      <c r="C799" s="180"/>
    </row>
    <row r="800">
      <c r="C800" s="180"/>
    </row>
    <row r="801">
      <c r="C801" s="180"/>
    </row>
    <row r="802">
      <c r="C802" s="180"/>
    </row>
    <row r="803">
      <c r="C803" s="180"/>
    </row>
    <row r="804">
      <c r="C804" s="180"/>
    </row>
    <row r="805">
      <c r="C805" s="180"/>
    </row>
    <row r="806">
      <c r="C806" s="180"/>
    </row>
    <row r="807">
      <c r="C807" s="180"/>
    </row>
    <row r="808">
      <c r="C808" s="180"/>
    </row>
    <row r="809">
      <c r="C809" s="180"/>
    </row>
    <row r="810">
      <c r="C810" s="180"/>
    </row>
    <row r="811">
      <c r="C811" s="180"/>
    </row>
    <row r="812">
      <c r="C812" s="180"/>
    </row>
    <row r="813">
      <c r="C813" s="180"/>
    </row>
    <row r="814">
      <c r="C814" s="180"/>
    </row>
    <row r="815">
      <c r="C815" s="180"/>
    </row>
    <row r="816">
      <c r="C816" s="180"/>
    </row>
    <row r="817">
      <c r="C817" s="180"/>
    </row>
    <row r="818">
      <c r="C818" s="180"/>
    </row>
    <row r="819">
      <c r="C819" s="180"/>
    </row>
    <row r="820">
      <c r="C820" s="180"/>
    </row>
    <row r="821">
      <c r="C821" s="180"/>
    </row>
    <row r="822">
      <c r="C822" s="180"/>
    </row>
    <row r="823">
      <c r="C823" s="180"/>
    </row>
    <row r="824">
      <c r="C824" s="180"/>
    </row>
    <row r="825">
      <c r="C825" s="180"/>
    </row>
    <row r="826">
      <c r="C826" s="180"/>
    </row>
    <row r="827">
      <c r="C827" s="180"/>
    </row>
    <row r="828">
      <c r="C828" s="180"/>
    </row>
    <row r="829">
      <c r="C829" s="180"/>
    </row>
    <row r="830">
      <c r="C830" s="180"/>
    </row>
    <row r="831">
      <c r="C831" s="180"/>
    </row>
    <row r="832">
      <c r="C832" s="180"/>
    </row>
    <row r="833">
      <c r="C833" s="180"/>
    </row>
    <row r="834">
      <c r="C834" s="180"/>
    </row>
    <row r="835">
      <c r="C835" s="180"/>
    </row>
    <row r="836">
      <c r="C836" s="180"/>
    </row>
    <row r="837">
      <c r="C837" s="180"/>
    </row>
    <row r="838">
      <c r="C838" s="180"/>
    </row>
    <row r="839">
      <c r="C839" s="180"/>
    </row>
    <row r="840">
      <c r="C840" s="180"/>
    </row>
    <row r="841">
      <c r="C841" s="180"/>
    </row>
    <row r="842">
      <c r="C842" s="180"/>
    </row>
    <row r="843">
      <c r="C843" s="180"/>
    </row>
    <row r="844">
      <c r="C844" s="180"/>
    </row>
    <row r="845">
      <c r="C845" s="180"/>
    </row>
    <row r="846">
      <c r="C846" s="180"/>
    </row>
    <row r="847">
      <c r="C847" s="180"/>
    </row>
    <row r="848">
      <c r="C848" s="180"/>
    </row>
    <row r="849">
      <c r="C849" s="180"/>
    </row>
    <row r="850">
      <c r="C850" s="180"/>
    </row>
    <row r="851">
      <c r="C851" s="180"/>
    </row>
    <row r="852">
      <c r="C852" s="180"/>
    </row>
    <row r="853">
      <c r="C853" s="180"/>
    </row>
    <row r="854">
      <c r="C854" s="180"/>
    </row>
    <row r="855">
      <c r="C855" s="180"/>
    </row>
    <row r="856">
      <c r="C856" s="180"/>
    </row>
    <row r="857">
      <c r="C857" s="180"/>
    </row>
    <row r="858">
      <c r="C858" s="180"/>
    </row>
    <row r="859">
      <c r="C859" s="180"/>
    </row>
    <row r="860">
      <c r="C860" s="180"/>
    </row>
    <row r="861">
      <c r="C861" s="180"/>
    </row>
    <row r="862">
      <c r="C862" s="180"/>
    </row>
    <row r="863">
      <c r="C863" s="180"/>
    </row>
    <row r="864">
      <c r="C864" s="180"/>
    </row>
    <row r="865">
      <c r="C865" s="180"/>
    </row>
    <row r="866">
      <c r="C866" s="180"/>
    </row>
    <row r="867">
      <c r="C867" s="180"/>
    </row>
    <row r="868">
      <c r="C868" s="180"/>
    </row>
    <row r="869">
      <c r="C869" s="180"/>
    </row>
    <row r="870">
      <c r="C870" s="180"/>
    </row>
    <row r="871">
      <c r="C871" s="180"/>
    </row>
    <row r="872">
      <c r="C872" s="180"/>
    </row>
    <row r="873">
      <c r="C873" s="180"/>
    </row>
    <row r="874">
      <c r="C874" s="180"/>
    </row>
    <row r="875">
      <c r="C875" s="180"/>
    </row>
    <row r="876">
      <c r="C876" s="180"/>
    </row>
    <row r="877">
      <c r="C877" s="180"/>
    </row>
    <row r="878">
      <c r="C878" s="180"/>
    </row>
    <row r="879">
      <c r="C879" s="180"/>
    </row>
    <row r="880">
      <c r="C880" s="180"/>
    </row>
    <row r="881">
      <c r="C881" s="180"/>
    </row>
    <row r="882">
      <c r="C882" s="180"/>
    </row>
    <row r="883">
      <c r="C883" s="180"/>
    </row>
    <row r="884">
      <c r="C884" s="180"/>
    </row>
    <row r="885">
      <c r="C885" s="180"/>
    </row>
    <row r="886">
      <c r="C886" s="180"/>
    </row>
    <row r="887">
      <c r="C887" s="180"/>
    </row>
    <row r="888">
      <c r="C888" s="180"/>
    </row>
    <row r="889">
      <c r="C889" s="180"/>
    </row>
    <row r="890">
      <c r="C890" s="180"/>
    </row>
    <row r="891">
      <c r="C891" s="180"/>
    </row>
    <row r="892">
      <c r="C892" s="180"/>
    </row>
    <row r="893">
      <c r="C893" s="180"/>
    </row>
    <row r="894">
      <c r="C894" s="180"/>
    </row>
    <row r="895">
      <c r="C895" s="180"/>
    </row>
    <row r="896">
      <c r="C896" s="180"/>
    </row>
    <row r="897">
      <c r="C897" s="180"/>
    </row>
    <row r="898">
      <c r="C898" s="180"/>
    </row>
    <row r="899">
      <c r="C899" s="180"/>
    </row>
    <row r="900">
      <c r="C900" s="180"/>
    </row>
    <row r="901">
      <c r="C901" s="180"/>
    </row>
    <row r="902">
      <c r="C902" s="180"/>
    </row>
    <row r="903">
      <c r="C903" s="180"/>
    </row>
    <row r="904">
      <c r="C904" s="180"/>
    </row>
    <row r="905">
      <c r="C905" s="180"/>
    </row>
    <row r="906">
      <c r="C906" s="180"/>
    </row>
    <row r="907">
      <c r="C907" s="180"/>
    </row>
    <row r="908">
      <c r="C908" s="180"/>
    </row>
    <row r="909">
      <c r="C909" s="180"/>
    </row>
    <row r="910">
      <c r="C910" s="180"/>
    </row>
    <row r="911">
      <c r="C911" s="180"/>
    </row>
    <row r="912">
      <c r="C912" s="180"/>
    </row>
    <row r="913">
      <c r="C913" s="180"/>
    </row>
    <row r="914">
      <c r="C914" s="180"/>
    </row>
    <row r="915">
      <c r="C915" s="180"/>
    </row>
    <row r="916">
      <c r="C916" s="180"/>
    </row>
    <row r="917">
      <c r="C917" s="180"/>
    </row>
    <row r="918">
      <c r="C918" s="180"/>
    </row>
    <row r="919">
      <c r="C919" s="180"/>
    </row>
    <row r="920">
      <c r="C920" s="180"/>
    </row>
    <row r="921">
      <c r="C921" s="180"/>
    </row>
    <row r="922">
      <c r="C922" s="180"/>
    </row>
    <row r="923">
      <c r="C923" s="180"/>
    </row>
    <row r="924">
      <c r="C924" s="180"/>
    </row>
    <row r="925">
      <c r="C925" s="180"/>
    </row>
    <row r="926">
      <c r="C926" s="180"/>
    </row>
    <row r="927">
      <c r="C927" s="180"/>
    </row>
    <row r="928">
      <c r="C928" s="180"/>
    </row>
    <row r="929">
      <c r="C929" s="180"/>
    </row>
    <row r="930">
      <c r="C930" s="180"/>
    </row>
    <row r="931">
      <c r="C931" s="180"/>
    </row>
    <row r="932">
      <c r="C932" s="180"/>
    </row>
    <row r="933">
      <c r="C933" s="180"/>
    </row>
    <row r="934">
      <c r="C934" s="180"/>
    </row>
    <row r="935">
      <c r="C935" s="180"/>
    </row>
    <row r="936">
      <c r="C936" s="180"/>
    </row>
    <row r="937">
      <c r="C937" s="180"/>
    </row>
    <row r="938">
      <c r="C938" s="180"/>
    </row>
    <row r="939">
      <c r="C939" s="180"/>
    </row>
    <row r="940">
      <c r="C940" s="180"/>
    </row>
    <row r="941">
      <c r="C941" s="180"/>
    </row>
    <row r="942">
      <c r="C942" s="180"/>
    </row>
    <row r="943">
      <c r="C943" s="180"/>
    </row>
    <row r="944">
      <c r="C944" s="180"/>
    </row>
    <row r="945">
      <c r="C945" s="180"/>
    </row>
    <row r="946">
      <c r="C946" s="180"/>
    </row>
    <row r="947">
      <c r="C947" s="180"/>
    </row>
    <row r="948">
      <c r="C948" s="180"/>
    </row>
    <row r="949">
      <c r="C949" s="180"/>
    </row>
    <row r="950">
      <c r="C950" s="180"/>
    </row>
    <row r="951">
      <c r="C951" s="180"/>
    </row>
    <row r="952">
      <c r="C952" s="180"/>
    </row>
    <row r="953">
      <c r="C953" s="180"/>
    </row>
    <row r="954">
      <c r="C954" s="180"/>
    </row>
    <row r="955">
      <c r="C955" s="180"/>
    </row>
    <row r="956">
      <c r="C956" s="180"/>
    </row>
    <row r="957">
      <c r="C957" s="180"/>
    </row>
    <row r="958">
      <c r="C958" s="180"/>
    </row>
    <row r="959">
      <c r="C959" s="180"/>
    </row>
    <row r="960">
      <c r="C960" s="180"/>
    </row>
    <row r="961">
      <c r="C961" s="180"/>
    </row>
    <row r="962">
      <c r="C962" s="180"/>
    </row>
    <row r="963">
      <c r="C963" s="180"/>
    </row>
    <row r="964">
      <c r="C964" s="180"/>
    </row>
    <row r="965">
      <c r="C965" s="180"/>
    </row>
    <row r="966">
      <c r="C966" s="180"/>
    </row>
    <row r="967">
      <c r="C967" s="180"/>
    </row>
    <row r="968">
      <c r="C968" s="180"/>
    </row>
    <row r="969">
      <c r="C969" s="180"/>
    </row>
    <row r="970">
      <c r="C970" s="180"/>
    </row>
    <row r="971">
      <c r="C971" s="180"/>
    </row>
    <row r="972">
      <c r="C972" s="180"/>
    </row>
    <row r="973">
      <c r="C973" s="180"/>
    </row>
    <row r="974">
      <c r="C974" s="180"/>
    </row>
    <row r="975">
      <c r="C975" s="180"/>
    </row>
    <row r="976">
      <c r="C976" s="180"/>
    </row>
    <row r="977">
      <c r="C977" s="180"/>
    </row>
    <row r="978">
      <c r="C978" s="180"/>
    </row>
    <row r="979">
      <c r="C979" s="180"/>
    </row>
    <row r="980">
      <c r="C980" s="180"/>
    </row>
    <row r="981">
      <c r="C981" s="180"/>
    </row>
    <row r="982">
      <c r="C982" s="180"/>
    </row>
    <row r="983">
      <c r="C983" s="180"/>
    </row>
    <row r="984">
      <c r="C984" s="180"/>
    </row>
    <row r="985">
      <c r="C985" s="180"/>
    </row>
    <row r="986">
      <c r="C986" s="180"/>
    </row>
    <row r="987">
      <c r="C987" s="180"/>
    </row>
    <row r="988">
      <c r="C988" s="180"/>
    </row>
    <row r="989">
      <c r="C989" s="180"/>
    </row>
    <row r="990">
      <c r="C990" s="180"/>
    </row>
    <row r="991">
      <c r="C991" s="180"/>
    </row>
    <row r="992">
      <c r="C992" s="180"/>
    </row>
    <row r="993">
      <c r="C993" s="180"/>
    </row>
    <row r="994">
      <c r="C994" s="180"/>
    </row>
    <row r="995">
      <c r="C995" s="180"/>
    </row>
    <row r="996">
      <c r="C996" s="180"/>
    </row>
    <row r="997">
      <c r="C997" s="180"/>
    </row>
    <row r="998">
      <c r="C998" s="180"/>
    </row>
    <row r="999">
      <c r="C999" s="180"/>
    </row>
    <row r="1000">
      <c r="C1000" s="18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3.29"/>
    <col customWidth="1" min="4" max="4" width="84.43"/>
  </cols>
  <sheetData>
    <row r="1">
      <c r="A1" s="175" t="s">
        <v>1786</v>
      </c>
      <c r="B1" s="175" t="s">
        <v>2080</v>
      </c>
      <c r="C1" s="175" t="s">
        <v>2081</v>
      </c>
      <c r="D1" s="175" t="s">
        <v>13</v>
      </c>
    </row>
    <row r="2">
      <c r="A2" s="177">
        <v>46037.0</v>
      </c>
      <c r="B2" s="11" t="s">
        <v>2082</v>
      </c>
      <c r="C2" s="181">
        <v>25446.0</v>
      </c>
      <c r="D2" s="11" t="s">
        <v>2083</v>
      </c>
    </row>
    <row r="3">
      <c r="A3" s="177">
        <v>46037.0</v>
      </c>
      <c r="B3" s="11" t="s">
        <v>2084</v>
      </c>
      <c r="C3" s="181">
        <v>11000.0</v>
      </c>
      <c r="D3" s="11" t="s">
        <v>2085</v>
      </c>
    </row>
    <row r="4">
      <c r="A4" s="177">
        <v>46045.0</v>
      </c>
      <c r="B4" s="11" t="s">
        <v>2086</v>
      </c>
      <c r="C4" s="181">
        <v>120000.0</v>
      </c>
      <c r="D4" s="11" t="s">
        <v>2087</v>
      </c>
    </row>
    <row r="5">
      <c r="A5" s="177">
        <v>46053.0</v>
      </c>
      <c r="B5" s="11" t="s">
        <v>2088</v>
      </c>
      <c r="C5" s="181">
        <v>12980.0</v>
      </c>
      <c r="D5" s="11" t="s">
        <v>2089</v>
      </c>
    </row>
    <row r="6">
      <c r="A6" s="177">
        <v>46077.0</v>
      </c>
      <c r="B6" s="11" t="s">
        <v>2090</v>
      </c>
      <c r="C6" s="181">
        <v>3942.0</v>
      </c>
    </row>
    <row r="7">
      <c r="A7" s="177">
        <v>46053.0</v>
      </c>
      <c r="B7" s="11" t="s">
        <v>2091</v>
      </c>
      <c r="C7" s="11" t="s">
        <v>2092</v>
      </c>
      <c r="D7" s="11" t="s">
        <v>2093</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47.29"/>
    <col customWidth="1" min="7" max="7" width="26.29"/>
    <col customWidth="1" min="8" max="8" width="43.71"/>
  </cols>
  <sheetData>
    <row r="1">
      <c r="A1" s="182" t="s">
        <v>2094</v>
      </c>
      <c r="B1" s="183"/>
      <c r="C1" s="183"/>
      <c r="D1" s="183"/>
      <c r="E1" s="183"/>
      <c r="F1" s="183"/>
      <c r="G1" s="183"/>
      <c r="H1" s="184"/>
      <c r="I1" s="185"/>
    </row>
    <row r="2">
      <c r="A2" s="185"/>
      <c r="B2" s="185"/>
      <c r="C2" s="185"/>
      <c r="D2" s="185"/>
      <c r="E2" s="185"/>
      <c r="F2" s="185"/>
      <c r="G2" s="185"/>
      <c r="H2" s="186"/>
      <c r="I2" s="187"/>
    </row>
    <row r="3">
      <c r="A3" s="188" t="s">
        <v>2095</v>
      </c>
      <c r="H3" s="186"/>
      <c r="I3" s="187"/>
    </row>
    <row r="4">
      <c r="A4" s="188" t="s">
        <v>2096</v>
      </c>
      <c r="H4" s="186"/>
      <c r="I4" s="187"/>
    </row>
    <row r="5">
      <c r="A5" s="185"/>
      <c r="B5" s="185"/>
      <c r="C5" s="185"/>
      <c r="D5" s="185"/>
      <c r="E5" s="185"/>
      <c r="F5" s="185"/>
      <c r="G5" s="185"/>
      <c r="H5" s="186"/>
      <c r="I5" s="187"/>
    </row>
    <row r="6">
      <c r="A6" s="189" t="s">
        <v>2097</v>
      </c>
      <c r="B6" s="189" t="s">
        <v>0</v>
      </c>
      <c r="C6" s="189" t="s">
        <v>2098</v>
      </c>
      <c r="D6" s="189" t="s">
        <v>2099</v>
      </c>
      <c r="E6" s="189" t="s">
        <v>2100</v>
      </c>
      <c r="F6" s="189" t="s">
        <v>3</v>
      </c>
      <c r="G6" s="189" t="s">
        <v>13</v>
      </c>
      <c r="H6" s="190" t="s">
        <v>13</v>
      </c>
      <c r="I6" s="187"/>
    </row>
    <row r="7">
      <c r="A7" s="185"/>
      <c r="B7" s="185"/>
      <c r="C7" s="185"/>
      <c r="D7" s="185"/>
      <c r="E7" s="185"/>
      <c r="F7" s="185"/>
      <c r="G7" s="185"/>
      <c r="H7" s="186"/>
      <c r="I7" s="187"/>
    </row>
    <row r="8">
      <c r="A8" s="191" t="s">
        <v>2101</v>
      </c>
      <c r="B8" s="183"/>
      <c r="C8" s="183"/>
      <c r="D8" s="183"/>
      <c r="E8" s="183"/>
      <c r="F8" s="183"/>
      <c r="G8" s="184"/>
      <c r="H8" s="186"/>
      <c r="I8" s="187"/>
    </row>
    <row r="9">
      <c r="A9" s="185"/>
      <c r="B9" s="185"/>
      <c r="C9" s="185"/>
      <c r="D9" s="185"/>
      <c r="E9" s="185"/>
      <c r="F9" s="185"/>
      <c r="G9" s="185"/>
      <c r="H9" s="186"/>
      <c r="I9" s="187"/>
    </row>
    <row r="10">
      <c r="A10" s="192" t="s">
        <v>2102</v>
      </c>
      <c r="B10" s="183"/>
      <c r="C10" s="183"/>
      <c r="D10" s="183"/>
      <c r="E10" s="183"/>
      <c r="F10" s="183"/>
      <c r="G10" s="184"/>
      <c r="H10" s="186"/>
      <c r="I10" s="187"/>
    </row>
    <row r="11">
      <c r="A11" s="185"/>
      <c r="B11" s="185" t="s">
        <v>2103</v>
      </c>
      <c r="C11" s="185" t="s">
        <v>2104</v>
      </c>
      <c r="D11" s="185" t="s">
        <v>2105</v>
      </c>
      <c r="E11" s="185" t="s">
        <v>2106</v>
      </c>
      <c r="F11" s="185" t="s">
        <v>2107</v>
      </c>
      <c r="G11" s="185"/>
      <c r="H11" s="186"/>
      <c r="I11" s="185"/>
    </row>
    <row r="12">
      <c r="A12" s="192" t="s">
        <v>2108</v>
      </c>
      <c r="B12" s="183"/>
      <c r="C12" s="183"/>
      <c r="D12" s="183"/>
      <c r="E12" s="183"/>
      <c r="F12" s="183"/>
      <c r="G12" s="184"/>
      <c r="H12" s="186"/>
      <c r="I12" s="185"/>
    </row>
    <row r="13">
      <c r="A13" s="185"/>
      <c r="B13" s="185" t="s">
        <v>2109</v>
      </c>
      <c r="C13" s="185" t="s">
        <v>1819</v>
      </c>
      <c r="D13" s="185" t="s">
        <v>2110</v>
      </c>
      <c r="E13" s="185" t="s">
        <v>2106</v>
      </c>
      <c r="F13" s="185" t="s">
        <v>2107</v>
      </c>
      <c r="G13" s="185" t="s">
        <v>2111</v>
      </c>
      <c r="H13" s="193" t="s">
        <v>2112</v>
      </c>
      <c r="I13" s="194" t="s">
        <v>2113</v>
      </c>
    </row>
    <row r="14">
      <c r="A14" s="185"/>
      <c r="B14" s="185" t="s">
        <v>2114</v>
      </c>
      <c r="C14" s="185" t="s">
        <v>2115</v>
      </c>
      <c r="D14" s="185" t="s">
        <v>2110</v>
      </c>
      <c r="E14" s="185" t="s">
        <v>2106</v>
      </c>
      <c r="F14" s="185" t="s">
        <v>2107</v>
      </c>
      <c r="G14" s="185"/>
      <c r="H14" s="193" t="s">
        <v>2116</v>
      </c>
      <c r="I14" s="185"/>
    </row>
    <row r="15">
      <c r="A15" s="185"/>
      <c r="B15" s="185" t="s">
        <v>2117</v>
      </c>
      <c r="C15" s="185" t="s">
        <v>2118</v>
      </c>
      <c r="D15" s="185" t="s">
        <v>2110</v>
      </c>
      <c r="E15" s="185" t="s">
        <v>2106</v>
      </c>
      <c r="F15" s="185" t="s">
        <v>2107</v>
      </c>
      <c r="G15" s="185" t="s">
        <v>2119</v>
      </c>
      <c r="H15" s="193" t="s">
        <v>2120</v>
      </c>
      <c r="I15" s="185"/>
    </row>
    <row r="16">
      <c r="A16" s="185"/>
      <c r="B16" s="185" t="s">
        <v>2121</v>
      </c>
      <c r="C16" s="185" t="s">
        <v>2122</v>
      </c>
      <c r="D16" s="185" t="s">
        <v>2110</v>
      </c>
      <c r="E16" s="185" t="s">
        <v>2106</v>
      </c>
      <c r="F16" s="185" t="s">
        <v>2107</v>
      </c>
      <c r="G16" s="185"/>
      <c r="H16" s="193" t="s">
        <v>2123</v>
      </c>
      <c r="I16" s="185"/>
    </row>
    <row r="17">
      <c r="A17" s="185"/>
      <c r="B17" s="185" t="s">
        <v>2124</v>
      </c>
      <c r="C17" s="185" t="s">
        <v>2125</v>
      </c>
      <c r="D17" s="185" t="s">
        <v>2110</v>
      </c>
      <c r="E17" s="185" t="s">
        <v>2106</v>
      </c>
      <c r="F17" s="185" t="s">
        <v>2107</v>
      </c>
      <c r="G17" s="185"/>
      <c r="H17" s="193" t="s">
        <v>2126</v>
      </c>
      <c r="I17" s="185"/>
    </row>
    <row r="18">
      <c r="A18" s="185"/>
      <c r="B18" s="185" t="s">
        <v>2127</v>
      </c>
      <c r="C18" s="185" t="s">
        <v>2128</v>
      </c>
      <c r="D18" s="185" t="s">
        <v>2110</v>
      </c>
      <c r="E18" s="185" t="s">
        <v>2106</v>
      </c>
      <c r="F18" s="185" t="s">
        <v>2107</v>
      </c>
      <c r="G18" s="185" t="s">
        <v>2129</v>
      </c>
      <c r="H18" s="193" t="s">
        <v>2130</v>
      </c>
      <c r="I18" s="185"/>
    </row>
    <row r="19">
      <c r="A19" s="185"/>
      <c r="B19" s="185" t="s">
        <v>2131</v>
      </c>
      <c r="C19" s="185" t="s">
        <v>2132</v>
      </c>
      <c r="D19" s="185" t="s">
        <v>2110</v>
      </c>
      <c r="E19" s="185" t="s">
        <v>2106</v>
      </c>
      <c r="F19" s="185" t="s">
        <v>2107</v>
      </c>
      <c r="G19" s="185" t="s">
        <v>2133</v>
      </c>
      <c r="H19" s="193" t="s">
        <v>2134</v>
      </c>
      <c r="I19" s="185"/>
    </row>
    <row r="20">
      <c r="A20" s="192" t="s">
        <v>2135</v>
      </c>
      <c r="B20" s="183"/>
      <c r="C20" s="183"/>
      <c r="D20" s="183"/>
      <c r="E20" s="183"/>
      <c r="F20" s="183"/>
      <c r="G20" s="184"/>
      <c r="H20" s="186"/>
      <c r="I20" s="185"/>
    </row>
    <row r="21">
      <c r="A21" s="185"/>
      <c r="B21" s="185" t="s">
        <v>2136</v>
      </c>
      <c r="C21" s="185" t="s">
        <v>2137</v>
      </c>
      <c r="D21" s="185" t="s">
        <v>2138</v>
      </c>
      <c r="E21" s="185" t="s">
        <v>2106</v>
      </c>
      <c r="F21" s="185" t="s">
        <v>2107</v>
      </c>
      <c r="G21" s="185" t="s">
        <v>2139</v>
      </c>
      <c r="H21" s="186"/>
      <c r="I21" s="185"/>
    </row>
    <row r="22">
      <c r="A22" s="185"/>
      <c r="B22" s="185" t="s">
        <v>2140</v>
      </c>
      <c r="C22" s="195" t="s">
        <v>2141</v>
      </c>
      <c r="D22" s="185" t="s">
        <v>2142</v>
      </c>
      <c r="E22" s="185" t="s">
        <v>2106</v>
      </c>
      <c r="F22" s="185" t="s">
        <v>2107</v>
      </c>
      <c r="G22" s="185"/>
      <c r="H22" s="196" t="s">
        <v>2143</v>
      </c>
      <c r="I22" s="185"/>
    </row>
    <row r="23">
      <c r="A23" s="185"/>
      <c r="B23" s="185" t="s">
        <v>2144</v>
      </c>
      <c r="C23" s="185" t="s">
        <v>2145</v>
      </c>
      <c r="D23" s="185" t="s">
        <v>2110</v>
      </c>
      <c r="E23" s="185" t="s">
        <v>2106</v>
      </c>
      <c r="F23" s="185" t="s">
        <v>2107</v>
      </c>
      <c r="G23" s="185"/>
      <c r="H23" s="186"/>
      <c r="I23" s="185"/>
    </row>
    <row r="24">
      <c r="A24" s="185"/>
      <c r="B24" s="185" t="s">
        <v>2146</v>
      </c>
      <c r="C24" s="185" t="s">
        <v>2147</v>
      </c>
      <c r="D24" s="185" t="s">
        <v>2142</v>
      </c>
      <c r="E24" s="185" t="s">
        <v>2106</v>
      </c>
      <c r="F24" s="185" t="s">
        <v>2107</v>
      </c>
      <c r="G24" s="185"/>
      <c r="H24" s="193" t="s">
        <v>2148</v>
      </c>
      <c r="I24" s="185"/>
    </row>
    <row r="25">
      <c r="A25" s="192" t="s">
        <v>2149</v>
      </c>
      <c r="B25" s="183"/>
      <c r="C25" s="183"/>
      <c r="D25" s="183"/>
      <c r="E25" s="183"/>
      <c r="F25" s="183"/>
      <c r="G25" s="184"/>
      <c r="H25" s="186"/>
      <c r="I25" s="185"/>
    </row>
    <row r="26">
      <c r="A26" s="185"/>
      <c r="B26" s="185" t="s">
        <v>2150</v>
      </c>
      <c r="C26" s="185" t="s">
        <v>2151</v>
      </c>
      <c r="D26" s="185" t="s">
        <v>2152</v>
      </c>
      <c r="E26" s="185" t="s">
        <v>2106</v>
      </c>
      <c r="F26" s="185" t="s">
        <v>2107</v>
      </c>
      <c r="G26" s="185"/>
      <c r="H26" s="186"/>
      <c r="I26" s="185"/>
    </row>
    <row r="27">
      <c r="A27" s="185"/>
      <c r="B27" s="185" t="s">
        <v>2153</v>
      </c>
      <c r="C27" s="185" t="s">
        <v>2154</v>
      </c>
      <c r="D27" s="185" t="s">
        <v>2155</v>
      </c>
      <c r="E27" s="185" t="s">
        <v>2106</v>
      </c>
      <c r="F27" s="185" t="s">
        <v>2107</v>
      </c>
      <c r="G27" s="185" t="s">
        <v>2156</v>
      </c>
      <c r="H27" s="193" t="s">
        <v>2157</v>
      </c>
      <c r="I27" s="185"/>
    </row>
    <row r="28">
      <c r="A28" s="185"/>
      <c r="B28" s="185"/>
      <c r="C28" s="185"/>
      <c r="D28" s="185"/>
      <c r="E28" s="185"/>
      <c r="F28" s="185"/>
      <c r="G28" s="185"/>
      <c r="H28" s="186"/>
      <c r="I28" s="185"/>
    </row>
    <row r="29">
      <c r="A29" s="185"/>
      <c r="B29" s="185"/>
      <c r="C29" s="185"/>
      <c r="D29" s="185"/>
      <c r="E29" s="185"/>
      <c r="F29" s="185"/>
      <c r="G29" s="185"/>
      <c r="H29" s="186"/>
      <c r="I29" s="185"/>
    </row>
    <row r="30">
      <c r="A30" s="191" t="s">
        <v>2158</v>
      </c>
      <c r="B30" s="183"/>
      <c r="C30" s="183"/>
      <c r="D30" s="183"/>
      <c r="E30" s="183"/>
      <c r="F30" s="183"/>
      <c r="G30" s="184"/>
      <c r="H30" s="186"/>
      <c r="I30" s="185"/>
    </row>
    <row r="31">
      <c r="A31" s="185"/>
      <c r="B31" s="185"/>
      <c r="C31" s="185"/>
      <c r="D31" s="185"/>
      <c r="E31" s="185"/>
      <c r="F31" s="185"/>
      <c r="G31" s="185"/>
      <c r="H31" s="186"/>
      <c r="I31" s="185"/>
    </row>
    <row r="32">
      <c r="A32" s="197" t="s">
        <v>2159</v>
      </c>
      <c r="B32" s="183"/>
      <c r="C32" s="183"/>
      <c r="D32" s="183"/>
      <c r="E32" s="183"/>
      <c r="F32" s="183"/>
      <c r="G32" s="184"/>
      <c r="H32" s="186"/>
      <c r="I32" s="185"/>
    </row>
    <row r="33">
      <c r="A33" s="185"/>
      <c r="B33" s="185" t="s">
        <v>2160</v>
      </c>
      <c r="C33" s="185" t="s">
        <v>2161</v>
      </c>
      <c r="D33" s="185" t="s">
        <v>2162</v>
      </c>
      <c r="E33" s="185" t="s">
        <v>2106</v>
      </c>
      <c r="F33" s="185" t="s">
        <v>2107</v>
      </c>
      <c r="G33" s="185" t="s">
        <v>2163</v>
      </c>
      <c r="H33" s="186"/>
      <c r="I33" s="185"/>
    </row>
    <row r="34">
      <c r="A34" s="185"/>
      <c r="B34" s="185" t="s">
        <v>2164</v>
      </c>
      <c r="C34" s="185" t="s">
        <v>2165</v>
      </c>
      <c r="D34" s="185" t="s">
        <v>2110</v>
      </c>
      <c r="E34" s="185" t="s">
        <v>2106</v>
      </c>
      <c r="F34" s="185" t="s">
        <v>2107</v>
      </c>
      <c r="G34" s="185"/>
      <c r="H34" s="186"/>
      <c r="I34" s="185"/>
    </row>
    <row r="35">
      <c r="A35" s="185"/>
      <c r="B35" s="185" t="s">
        <v>2166</v>
      </c>
      <c r="C35" s="185" t="s">
        <v>2167</v>
      </c>
      <c r="D35" s="185" t="s">
        <v>2110</v>
      </c>
      <c r="E35" s="185" t="s">
        <v>2106</v>
      </c>
      <c r="F35" s="185" t="s">
        <v>2107</v>
      </c>
      <c r="G35" s="185" t="s">
        <v>2168</v>
      </c>
      <c r="H35" s="186"/>
      <c r="I35" s="185"/>
    </row>
    <row r="36">
      <c r="A36" s="185"/>
      <c r="B36" s="185" t="s">
        <v>2169</v>
      </c>
      <c r="C36" s="185" t="s">
        <v>2170</v>
      </c>
      <c r="D36" s="185" t="s">
        <v>2171</v>
      </c>
      <c r="E36" s="185" t="s">
        <v>2106</v>
      </c>
      <c r="F36" s="185" t="s">
        <v>2107</v>
      </c>
      <c r="G36" s="185" t="s">
        <v>2168</v>
      </c>
      <c r="H36" s="186"/>
      <c r="I36" s="185"/>
    </row>
    <row r="37">
      <c r="A37" s="185"/>
      <c r="B37" s="185" t="s">
        <v>2172</v>
      </c>
      <c r="C37" s="185" t="s">
        <v>2173</v>
      </c>
      <c r="D37" s="185" t="s">
        <v>2110</v>
      </c>
      <c r="E37" s="185" t="s">
        <v>2106</v>
      </c>
      <c r="F37" s="185" t="s">
        <v>2107</v>
      </c>
      <c r="G37" s="185" t="s">
        <v>2168</v>
      </c>
      <c r="H37" s="186"/>
      <c r="I37" s="185"/>
    </row>
    <row r="38">
      <c r="A38" s="185"/>
      <c r="B38" s="185" t="s">
        <v>2174</v>
      </c>
      <c r="C38" s="185" t="s">
        <v>2175</v>
      </c>
      <c r="D38" s="185" t="s">
        <v>2176</v>
      </c>
      <c r="E38" s="185" t="s">
        <v>2106</v>
      </c>
      <c r="F38" s="185" t="s">
        <v>2107</v>
      </c>
      <c r="G38" s="185" t="s">
        <v>2168</v>
      </c>
      <c r="H38" s="186"/>
      <c r="I38" s="185"/>
    </row>
    <row r="39">
      <c r="A39" s="197" t="s">
        <v>2177</v>
      </c>
      <c r="B39" s="183"/>
      <c r="C39" s="183"/>
      <c r="D39" s="183"/>
      <c r="E39" s="183"/>
      <c r="F39" s="183"/>
      <c r="G39" s="184"/>
      <c r="H39" s="186"/>
      <c r="I39" s="185"/>
    </row>
    <row r="40">
      <c r="A40" s="185"/>
      <c r="B40" s="185" t="s">
        <v>2178</v>
      </c>
      <c r="C40" s="185" t="s">
        <v>2179</v>
      </c>
      <c r="D40" s="185" t="s">
        <v>2176</v>
      </c>
      <c r="E40" s="185" t="s">
        <v>2106</v>
      </c>
      <c r="F40" s="185" t="s">
        <v>2107</v>
      </c>
      <c r="G40" s="185" t="s">
        <v>2180</v>
      </c>
      <c r="H40" s="193" t="s">
        <v>2181</v>
      </c>
      <c r="I40" s="185"/>
    </row>
    <row r="41">
      <c r="A41" s="185"/>
      <c r="B41" s="185" t="s">
        <v>2182</v>
      </c>
      <c r="C41" s="185" t="s">
        <v>2183</v>
      </c>
      <c r="D41" s="185" t="s">
        <v>2176</v>
      </c>
      <c r="E41" s="185" t="s">
        <v>2106</v>
      </c>
      <c r="F41" s="185" t="s">
        <v>2107</v>
      </c>
      <c r="G41" s="185" t="s">
        <v>2184</v>
      </c>
      <c r="H41" s="196" t="s">
        <v>2185</v>
      </c>
      <c r="I41" s="185"/>
    </row>
    <row r="42">
      <c r="A42" s="185"/>
      <c r="B42" s="185" t="s">
        <v>2186</v>
      </c>
      <c r="C42" s="185" t="s">
        <v>2187</v>
      </c>
      <c r="D42" s="185" t="s">
        <v>2176</v>
      </c>
      <c r="E42" s="185" t="s">
        <v>2106</v>
      </c>
      <c r="F42" s="185" t="s">
        <v>2107</v>
      </c>
      <c r="G42" s="185" t="s">
        <v>2188</v>
      </c>
      <c r="H42" s="186"/>
      <c r="I42" s="185"/>
    </row>
    <row r="43">
      <c r="A43" s="185"/>
      <c r="B43" s="185" t="s">
        <v>2189</v>
      </c>
      <c r="C43" s="185" t="s">
        <v>2190</v>
      </c>
      <c r="D43" s="185" t="s">
        <v>2176</v>
      </c>
      <c r="E43" s="185" t="s">
        <v>2191</v>
      </c>
      <c r="F43" s="185" t="s">
        <v>2107</v>
      </c>
      <c r="G43" s="185" t="s">
        <v>2192</v>
      </c>
      <c r="H43" s="186"/>
      <c r="I43" s="185"/>
    </row>
    <row r="44">
      <c r="A44" s="185"/>
      <c r="B44" s="185" t="s">
        <v>2193</v>
      </c>
      <c r="C44" s="185" t="s">
        <v>2194</v>
      </c>
      <c r="D44" s="185" t="s">
        <v>2176</v>
      </c>
      <c r="E44" s="185" t="s">
        <v>2106</v>
      </c>
      <c r="F44" s="185" t="s">
        <v>2107</v>
      </c>
      <c r="G44" s="185" t="s">
        <v>2195</v>
      </c>
      <c r="H44" s="186"/>
      <c r="I44" s="185"/>
    </row>
    <row r="45">
      <c r="A45" s="197" t="s">
        <v>2196</v>
      </c>
      <c r="B45" s="183"/>
      <c r="C45" s="183"/>
      <c r="D45" s="183"/>
      <c r="E45" s="183"/>
      <c r="F45" s="183"/>
      <c r="G45" s="184"/>
      <c r="H45" s="186"/>
      <c r="I45" s="185"/>
    </row>
    <row r="46">
      <c r="A46" s="185"/>
      <c r="B46" s="185" t="s">
        <v>2197</v>
      </c>
      <c r="C46" s="185" t="s">
        <v>2198</v>
      </c>
      <c r="D46" s="185" t="s">
        <v>2199</v>
      </c>
      <c r="E46" s="185" t="s">
        <v>2106</v>
      </c>
      <c r="F46" s="185" t="s">
        <v>2107</v>
      </c>
      <c r="G46" s="185"/>
      <c r="H46" s="186"/>
      <c r="I46" s="185"/>
    </row>
    <row r="47">
      <c r="A47" s="185"/>
      <c r="B47" s="185" t="s">
        <v>2200</v>
      </c>
      <c r="C47" s="185" t="s">
        <v>2201</v>
      </c>
      <c r="D47" s="185" t="s">
        <v>2199</v>
      </c>
      <c r="E47" s="185" t="s">
        <v>2106</v>
      </c>
      <c r="F47" s="185" t="s">
        <v>2107</v>
      </c>
      <c r="G47" s="185"/>
      <c r="H47" s="186"/>
      <c r="I47" s="185"/>
    </row>
    <row r="48">
      <c r="A48" s="185"/>
      <c r="B48" s="185" t="s">
        <v>2202</v>
      </c>
      <c r="C48" s="185" t="s">
        <v>2203</v>
      </c>
      <c r="D48" s="185" t="s">
        <v>2204</v>
      </c>
      <c r="E48" s="185" t="s">
        <v>2106</v>
      </c>
      <c r="F48" s="185" t="s">
        <v>2107</v>
      </c>
      <c r="G48" s="185"/>
      <c r="H48" s="186"/>
      <c r="I48" s="185"/>
    </row>
    <row r="49">
      <c r="A49" s="185"/>
      <c r="B49" s="185" t="s">
        <v>2205</v>
      </c>
      <c r="C49" s="185" t="s">
        <v>2206</v>
      </c>
      <c r="D49" s="185" t="s">
        <v>2199</v>
      </c>
      <c r="E49" s="185" t="s">
        <v>2106</v>
      </c>
      <c r="F49" s="185" t="s">
        <v>2107</v>
      </c>
      <c r="G49" s="185" t="s">
        <v>2207</v>
      </c>
      <c r="H49" s="186"/>
      <c r="I49" s="185"/>
    </row>
    <row r="50">
      <c r="A50" s="185"/>
      <c r="B50" s="185" t="s">
        <v>2208</v>
      </c>
      <c r="C50" s="185" t="s">
        <v>2209</v>
      </c>
      <c r="D50" s="185" t="s">
        <v>2138</v>
      </c>
      <c r="E50" s="185" t="s">
        <v>2191</v>
      </c>
      <c r="F50" s="185" t="s">
        <v>2107</v>
      </c>
      <c r="G50" s="185" t="s">
        <v>2210</v>
      </c>
      <c r="H50" s="186"/>
      <c r="I50" s="185"/>
    </row>
    <row r="51">
      <c r="A51" s="185"/>
      <c r="B51" s="185" t="s">
        <v>2211</v>
      </c>
      <c r="C51" s="185" t="s">
        <v>2212</v>
      </c>
      <c r="D51" s="185" t="s">
        <v>2199</v>
      </c>
      <c r="E51" s="185" t="s">
        <v>2106</v>
      </c>
      <c r="F51" s="185" t="s">
        <v>2107</v>
      </c>
      <c r="G51" s="185" t="s">
        <v>2213</v>
      </c>
      <c r="H51" s="186"/>
      <c r="I51" s="185"/>
    </row>
    <row r="52">
      <c r="A52" s="185"/>
      <c r="B52" s="185" t="s">
        <v>2214</v>
      </c>
      <c r="C52" s="185" t="s">
        <v>2215</v>
      </c>
      <c r="D52" s="185" t="s">
        <v>2216</v>
      </c>
      <c r="E52" s="185" t="s">
        <v>2191</v>
      </c>
      <c r="F52" s="185" t="s">
        <v>2107</v>
      </c>
      <c r="G52" s="185"/>
      <c r="H52" s="186"/>
      <c r="I52" s="185"/>
    </row>
    <row r="53">
      <c r="A53" s="185"/>
      <c r="B53" s="185" t="s">
        <v>2217</v>
      </c>
      <c r="C53" s="185" t="s">
        <v>2218</v>
      </c>
      <c r="D53" s="185" t="s">
        <v>2199</v>
      </c>
      <c r="E53" s="185" t="s">
        <v>2106</v>
      </c>
      <c r="F53" s="185" t="s">
        <v>2107</v>
      </c>
      <c r="G53" s="185" t="s">
        <v>2219</v>
      </c>
      <c r="H53" s="186"/>
      <c r="I53" s="185"/>
    </row>
    <row r="54">
      <c r="A54" s="185"/>
      <c r="B54" s="185" t="s">
        <v>2220</v>
      </c>
      <c r="C54" s="185" t="s">
        <v>2221</v>
      </c>
      <c r="D54" s="185" t="s">
        <v>2152</v>
      </c>
      <c r="E54" s="185" t="s">
        <v>2191</v>
      </c>
      <c r="F54" s="185" t="s">
        <v>2107</v>
      </c>
      <c r="G54" s="185" t="s">
        <v>2222</v>
      </c>
      <c r="H54" s="186"/>
      <c r="I54" s="185"/>
    </row>
    <row r="55">
      <c r="A55" s="192" t="s">
        <v>2223</v>
      </c>
      <c r="B55" s="183"/>
      <c r="C55" s="183"/>
      <c r="D55" s="183"/>
      <c r="E55" s="183"/>
      <c r="F55" s="183"/>
      <c r="G55" s="184"/>
      <c r="H55" s="186"/>
      <c r="I55" s="185"/>
    </row>
    <row r="56">
      <c r="A56" s="185"/>
      <c r="B56" s="185" t="s">
        <v>2224</v>
      </c>
      <c r="C56" s="185" t="s">
        <v>2225</v>
      </c>
      <c r="D56" s="185" t="s">
        <v>2176</v>
      </c>
      <c r="E56" s="185" t="s">
        <v>2106</v>
      </c>
      <c r="F56" s="185" t="s">
        <v>2107</v>
      </c>
      <c r="G56" s="185" t="s">
        <v>2226</v>
      </c>
      <c r="H56" s="186"/>
      <c r="I56" s="185"/>
    </row>
    <row r="57">
      <c r="A57" s="185"/>
      <c r="B57" s="185" t="s">
        <v>2227</v>
      </c>
      <c r="C57" s="185" t="s">
        <v>2228</v>
      </c>
      <c r="D57" s="185" t="s">
        <v>2176</v>
      </c>
      <c r="E57" s="185" t="s">
        <v>2106</v>
      </c>
      <c r="F57" s="185" t="s">
        <v>2107</v>
      </c>
      <c r="G57" s="185"/>
      <c r="H57" s="186"/>
      <c r="I57" s="185"/>
    </row>
    <row r="58">
      <c r="A58" s="185"/>
      <c r="B58" s="185" t="s">
        <v>2229</v>
      </c>
      <c r="C58" s="185" t="s">
        <v>2230</v>
      </c>
      <c r="D58" s="185" t="s">
        <v>2176</v>
      </c>
      <c r="E58" s="185" t="s">
        <v>2106</v>
      </c>
      <c r="F58" s="185" t="s">
        <v>2107</v>
      </c>
      <c r="G58" s="185"/>
      <c r="H58" s="186"/>
      <c r="I58" s="185"/>
    </row>
    <row r="59">
      <c r="A59" s="185"/>
      <c r="B59" s="185" t="s">
        <v>2231</v>
      </c>
      <c r="C59" s="185" t="s">
        <v>2232</v>
      </c>
      <c r="D59" s="185" t="s">
        <v>2233</v>
      </c>
      <c r="E59" s="185" t="s">
        <v>2191</v>
      </c>
      <c r="F59" s="185" t="s">
        <v>2107</v>
      </c>
      <c r="G59" s="185"/>
      <c r="H59" s="186"/>
      <c r="I59" s="185"/>
    </row>
    <row r="60">
      <c r="A60" s="185"/>
      <c r="B60" s="185" t="s">
        <v>2234</v>
      </c>
      <c r="C60" s="185" t="s">
        <v>2235</v>
      </c>
      <c r="D60" s="185" t="s">
        <v>2176</v>
      </c>
      <c r="E60" s="185" t="s">
        <v>2191</v>
      </c>
      <c r="F60" s="185" t="s">
        <v>2107</v>
      </c>
      <c r="G60" s="185"/>
      <c r="H60" s="186"/>
      <c r="I60" s="185"/>
    </row>
    <row r="61">
      <c r="A61" s="185"/>
      <c r="B61" s="185" t="s">
        <v>2236</v>
      </c>
      <c r="C61" s="185" t="s">
        <v>2237</v>
      </c>
      <c r="D61" s="185" t="s">
        <v>2176</v>
      </c>
      <c r="E61" s="185" t="s">
        <v>2191</v>
      </c>
      <c r="F61" s="185" t="s">
        <v>2107</v>
      </c>
      <c r="G61" s="185"/>
      <c r="H61" s="186"/>
      <c r="I61" s="185"/>
    </row>
    <row r="62">
      <c r="A62" s="192" t="s">
        <v>2238</v>
      </c>
      <c r="B62" s="183"/>
      <c r="C62" s="183"/>
      <c r="D62" s="183"/>
      <c r="E62" s="183"/>
      <c r="F62" s="183"/>
      <c r="G62" s="184"/>
      <c r="H62" s="186"/>
      <c r="I62" s="185"/>
    </row>
    <row r="63">
      <c r="A63" s="185"/>
      <c r="B63" s="185" t="s">
        <v>2239</v>
      </c>
      <c r="C63" s="185" t="s">
        <v>2240</v>
      </c>
      <c r="D63" s="185" t="s">
        <v>2204</v>
      </c>
      <c r="E63" s="185" t="s">
        <v>2106</v>
      </c>
      <c r="F63" s="185" t="s">
        <v>2107</v>
      </c>
      <c r="G63" s="185"/>
      <c r="H63" s="186"/>
      <c r="I63" s="185"/>
    </row>
    <row r="64">
      <c r="A64" s="185"/>
      <c r="B64" s="185" t="s">
        <v>2241</v>
      </c>
      <c r="C64" s="185" t="s">
        <v>2242</v>
      </c>
      <c r="D64" s="185" t="s">
        <v>2199</v>
      </c>
      <c r="E64" s="185" t="s">
        <v>2106</v>
      </c>
      <c r="F64" s="185" t="s">
        <v>2107</v>
      </c>
      <c r="G64" s="185"/>
      <c r="H64" s="186"/>
      <c r="I64" s="185"/>
    </row>
    <row r="65">
      <c r="A65" s="185"/>
      <c r="B65" s="185" t="s">
        <v>2243</v>
      </c>
      <c r="C65" s="185" t="s">
        <v>2244</v>
      </c>
      <c r="D65" s="185" t="s">
        <v>2138</v>
      </c>
      <c r="E65" s="185" t="s">
        <v>2191</v>
      </c>
      <c r="F65" s="185" t="s">
        <v>2107</v>
      </c>
      <c r="G65" s="185"/>
      <c r="H65" s="186"/>
      <c r="I65" s="185"/>
    </row>
    <row r="66">
      <c r="A66" s="185"/>
      <c r="B66" s="185" t="s">
        <v>2245</v>
      </c>
      <c r="C66" s="185" t="s">
        <v>2246</v>
      </c>
      <c r="D66" s="185" t="s">
        <v>2199</v>
      </c>
      <c r="E66" s="185" t="s">
        <v>2191</v>
      </c>
      <c r="F66" s="185" t="s">
        <v>2107</v>
      </c>
      <c r="G66" s="185" t="s">
        <v>2247</v>
      </c>
      <c r="H66" s="186"/>
      <c r="I66" s="185"/>
    </row>
    <row r="67">
      <c r="A67" s="185"/>
      <c r="B67" s="185" t="s">
        <v>2248</v>
      </c>
      <c r="C67" s="185" t="s">
        <v>2249</v>
      </c>
      <c r="D67" s="185" t="s">
        <v>2176</v>
      </c>
      <c r="E67" s="185" t="s">
        <v>2191</v>
      </c>
      <c r="F67" s="185" t="s">
        <v>2107</v>
      </c>
      <c r="G67" s="185" t="s">
        <v>2250</v>
      </c>
      <c r="H67" s="186"/>
      <c r="I67" s="185"/>
    </row>
    <row r="68">
      <c r="A68" s="185"/>
      <c r="B68" s="185" t="s">
        <v>2251</v>
      </c>
      <c r="C68" s="185" t="s">
        <v>2252</v>
      </c>
      <c r="D68" s="185" t="s">
        <v>2176</v>
      </c>
      <c r="E68" s="185" t="s">
        <v>2106</v>
      </c>
      <c r="F68" s="185" t="s">
        <v>2107</v>
      </c>
      <c r="G68" s="185"/>
      <c r="H68" s="186"/>
      <c r="I68" s="185"/>
    </row>
    <row r="69">
      <c r="A69" s="192" t="s">
        <v>2253</v>
      </c>
      <c r="B69" s="183"/>
      <c r="C69" s="183"/>
      <c r="D69" s="183"/>
      <c r="E69" s="183"/>
      <c r="F69" s="183"/>
      <c r="G69" s="184"/>
      <c r="H69" s="186"/>
      <c r="I69" s="185"/>
    </row>
    <row r="70">
      <c r="A70" s="185"/>
      <c r="B70" s="185" t="s">
        <v>2254</v>
      </c>
      <c r="C70" s="185" t="s">
        <v>2255</v>
      </c>
      <c r="D70" s="185" t="s">
        <v>2199</v>
      </c>
      <c r="E70" s="185" t="s">
        <v>2106</v>
      </c>
      <c r="F70" s="185" t="s">
        <v>2107</v>
      </c>
      <c r="G70" s="185" t="s">
        <v>2256</v>
      </c>
      <c r="H70" s="186"/>
      <c r="I70" s="185"/>
    </row>
    <row r="71">
      <c r="A71" s="185"/>
      <c r="B71" s="185" t="s">
        <v>2257</v>
      </c>
      <c r="C71" s="185" t="s">
        <v>2258</v>
      </c>
      <c r="D71" s="185" t="s">
        <v>2199</v>
      </c>
      <c r="E71" s="185" t="s">
        <v>2106</v>
      </c>
      <c r="F71" s="185" t="s">
        <v>2107</v>
      </c>
      <c r="G71" s="185" t="s">
        <v>2259</v>
      </c>
      <c r="H71" s="186"/>
      <c r="I71" s="185"/>
    </row>
    <row r="72">
      <c r="A72" s="185"/>
      <c r="B72" s="185" t="s">
        <v>2260</v>
      </c>
      <c r="C72" s="185" t="s">
        <v>2261</v>
      </c>
      <c r="D72" s="185" t="s">
        <v>2199</v>
      </c>
      <c r="E72" s="185" t="s">
        <v>2106</v>
      </c>
      <c r="F72" s="185" t="s">
        <v>2107</v>
      </c>
      <c r="G72" s="185" t="s">
        <v>2262</v>
      </c>
      <c r="H72" s="186"/>
      <c r="I72" s="185"/>
    </row>
    <row r="73">
      <c r="A73" s="185"/>
      <c r="B73" s="185" t="s">
        <v>2263</v>
      </c>
      <c r="C73" s="185" t="s">
        <v>2264</v>
      </c>
      <c r="D73" s="185" t="s">
        <v>2199</v>
      </c>
      <c r="E73" s="185" t="s">
        <v>2106</v>
      </c>
      <c r="F73" s="185" t="s">
        <v>2107</v>
      </c>
      <c r="G73" s="185" t="s">
        <v>2265</v>
      </c>
      <c r="H73" s="186"/>
      <c r="I73" s="185"/>
    </row>
    <row r="74">
      <c r="A74" s="185"/>
      <c r="B74" s="185" t="s">
        <v>2266</v>
      </c>
      <c r="C74" s="185" t="s">
        <v>2267</v>
      </c>
      <c r="D74" s="185" t="s">
        <v>2199</v>
      </c>
      <c r="E74" s="185" t="s">
        <v>2191</v>
      </c>
      <c r="F74" s="185" t="s">
        <v>2107</v>
      </c>
      <c r="G74" s="185"/>
      <c r="H74" s="186"/>
      <c r="I74" s="185"/>
    </row>
    <row r="75">
      <c r="A75" s="185"/>
      <c r="B75" s="185" t="s">
        <v>2268</v>
      </c>
      <c r="C75" s="185" t="s">
        <v>2269</v>
      </c>
      <c r="D75" s="185" t="s">
        <v>2199</v>
      </c>
      <c r="E75" s="185" t="s">
        <v>2191</v>
      </c>
      <c r="F75" s="185" t="s">
        <v>2107</v>
      </c>
      <c r="G75" s="185"/>
      <c r="H75" s="186"/>
      <c r="I75" s="185"/>
    </row>
    <row r="76">
      <c r="A76" s="192" t="s">
        <v>2270</v>
      </c>
      <c r="B76" s="183"/>
      <c r="C76" s="183"/>
      <c r="D76" s="183"/>
      <c r="E76" s="183"/>
      <c r="F76" s="183"/>
      <c r="G76" s="184"/>
      <c r="H76" s="186"/>
      <c r="I76" s="185"/>
    </row>
    <row r="77">
      <c r="A77" s="185"/>
      <c r="B77" s="185" t="s">
        <v>2271</v>
      </c>
      <c r="C77" s="185" t="s">
        <v>2272</v>
      </c>
      <c r="D77" s="185" t="s">
        <v>2199</v>
      </c>
      <c r="E77" s="185" t="s">
        <v>2106</v>
      </c>
      <c r="F77" s="185" t="s">
        <v>2107</v>
      </c>
      <c r="G77" s="185" t="s">
        <v>2273</v>
      </c>
      <c r="H77" s="186"/>
      <c r="I77" s="185"/>
    </row>
    <row r="78">
      <c r="A78" s="185"/>
      <c r="B78" s="185" t="s">
        <v>2274</v>
      </c>
      <c r="C78" s="185" t="s">
        <v>2275</v>
      </c>
      <c r="D78" s="185" t="s">
        <v>2199</v>
      </c>
      <c r="E78" s="185" t="s">
        <v>2106</v>
      </c>
      <c r="F78" s="185" t="s">
        <v>2107</v>
      </c>
      <c r="G78" s="185" t="s">
        <v>2276</v>
      </c>
      <c r="H78" s="186"/>
      <c r="I78" s="185"/>
    </row>
    <row r="79">
      <c r="A79" s="185"/>
      <c r="B79" s="185" t="s">
        <v>2277</v>
      </c>
      <c r="C79" s="185" t="s">
        <v>2278</v>
      </c>
      <c r="D79" s="185" t="s">
        <v>2152</v>
      </c>
      <c r="E79" s="185" t="s">
        <v>2191</v>
      </c>
      <c r="F79" s="185" t="s">
        <v>2107</v>
      </c>
      <c r="G79" s="185" t="s">
        <v>2279</v>
      </c>
      <c r="H79" s="186"/>
      <c r="I79" s="185"/>
    </row>
    <row r="80">
      <c r="A80" s="185"/>
      <c r="B80" s="185" t="s">
        <v>2280</v>
      </c>
      <c r="C80" s="185" t="s">
        <v>2281</v>
      </c>
      <c r="D80" s="185" t="s">
        <v>2199</v>
      </c>
      <c r="E80" s="185" t="s">
        <v>2191</v>
      </c>
      <c r="F80" s="185" t="s">
        <v>2107</v>
      </c>
      <c r="G80" s="185" t="s">
        <v>2282</v>
      </c>
      <c r="H80" s="186"/>
      <c r="I80" s="185"/>
    </row>
    <row r="81">
      <c r="A81" s="185"/>
      <c r="B81" s="185" t="s">
        <v>2283</v>
      </c>
      <c r="C81" s="185" t="s">
        <v>2284</v>
      </c>
      <c r="D81" s="185" t="s">
        <v>2199</v>
      </c>
      <c r="E81" s="185" t="s">
        <v>2285</v>
      </c>
      <c r="F81" s="185" t="s">
        <v>2107</v>
      </c>
      <c r="G81" s="185"/>
      <c r="H81" s="186"/>
      <c r="I81" s="185"/>
    </row>
    <row r="82">
      <c r="A82" s="192" t="s">
        <v>2286</v>
      </c>
      <c r="B82" s="183"/>
      <c r="C82" s="183"/>
      <c r="D82" s="183"/>
      <c r="E82" s="183"/>
      <c r="F82" s="183"/>
      <c r="G82" s="184"/>
      <c r="H82" s="186"/>
      <c r="I82" s="185"/>
    </row>
    <row r="83">
      <c r="A83" s="185"/>
      <c r="B83" s="185" t="s">
        <v>2287</v>
      </c>
      <c r="C83" s="185" t="s">
        <v>2288</v>
      </c>
      <c r="D83" s="185" t="s">
        <v>2176</v>
      </c>
      <c r="E83" s="185" t="s">
        <v>2106</v>
      </c>
      <c r="F83" s="185" t="s">
        <v>2107</v>
      </c>
      <c r="G83" s="185"/>
      <c r="H83" s="186"/>
      <c r="I83" s="185"/>
    </row>
    <row r="84">
      <c r="A84" s="185"/>
      <c r="B84" s="185" t="s">
        <v>2289</v>
      </c>
      <c r="C84" s="185" t="s">
        <v>2290</v>
      </c>
      <c r="D84" s="185" t="s">
        <v>2110</v>
      </c>
      <c r="E84" s="185" t="s">
        <v>2106</v>
      </c>
      <c r="F84" s="185" t="s">
        <v>2107</v>
      </c>
      <c r="G84" s="185" t="s">
        <v>2291</v>
      </c>
      <c r="H84" s="186"/>
      <c r="I84" s="185"/>
    </row>
    <row r="85">
      <c r="A85" s="185"/>
      <c r="B85" s="185" t="s">
        <v>2292</v>
      </c>
      <c r="C85" s="185" t="s">
        <v>2293</v>
      </c>
      <c r="D85" s="185" t="s">
        <v>2176</v>
      </c>
      <c r="E85" s="185" t="s">
        <v>2106</v>
      </c>
      <c r="F85" s="185" t="s">
        <v>2107</v>
      </c>
      <c r="G85" s="185"/>
      <c r="H85" s="186"/>
      <c r="I85" s="185"/>
    </row>
    <row r="86">
      <c r="A86" s="185"/>
      <c r="B86" s="185" t="s">
        <v>2294</v>
      </c>
      <c r="C86" s="185" t="s">
        <v>2295</v>
      </c>
      <c r="D86" s="185" t="s">
        <v>2176</v>
      </c>
      <c r="E86" s="185" t="s">
        <v>2191</v>
      </c>
      <c r="F86" s="185" t="s">
        <v>2107</v>
      </c>
      <c r="G86" s="185"/>
      <c r="H86" s="186"/>
      <c r="I86" s="185"/>
    </row>
    <row r="87">
      <c r="A87" s="185"/>
      <c r="B87" s="185" t="s">
        <v>2296</v>
      </c>
      <c r="C87" s="185" t="s">
        <v>2297</v>
      </c>
      <c r="D87" s="185" t="s">
        <v>2176</v>
      </c>
      <c r="E87" s="185" t="s">
        <v>2106</v>
      </c>
      <c r="F87" s="185" t="s">
        <v>2107</v>
      </c>
      <c r="G87" s="185" t="s">
        <v>2298</v>
      </c>
      <c r="H87" s="186"/>
      <c r="I87" s="185"/>
    </row>
    <row r="88">
      <c r="A88" s="192" t="s">
        <v>2299</v>
      </c>
      <c r="B88" s="183"/>
      <c r="C88" s="183"/>
      <c r="D88" s="183"/>
      <c r="E88" s="183"/>
      <c r="F88" s="183"/>
      <c r="G88" s="184"/>
      <c r="H88" s="186"/>
      <c r="I88" s="185"/>
    </row>
    <row r="89">
      <c r="A89" s="185"/>
      <c r="B89" s="185" t="s">
        <v>2300</v>
      </c>
      <c r="C89" s="185" t="s">
        <v>2301</v>
      </c>
      <c r="D89" s="185" t="s">
        <v>2171</v>
      </c>
      <c r="E89" s="185" t="s">
        <v>2191</v>
      </c>
      <c r="F89" s="185" t="s">
        <v>2107</v>
      </c>
      <c r="G89" s="185"/>
      <c r="H89" s="186"/>
      <c r="I89" s="185"/>
    </row>
    <row r="90">
      <c r="A90" s="185"/>
      <c r="B90" s="185" t="s">
        <v>2302</v>
      </c>
      <c r="C90" s="185" t="s">
        <v>2303</v>
      </c>
      <c r="D90" s="185" t="s">
        <v>2110</v>
      </c>
      <c r="E90" s="185" t="s">
        <v>2106</v>
      </c>
      <c r="F90" s="185" t="s">
        <v>2107</v>
      </c>
      <c r="G90" s="185"/>
      <c r="H90" s="186"/>
      <c r="I90" s="185"/>
    </row>
    <row r="91">
      <c r="A91" s="185"/>
      <c r="B91" s="185" t="s">
        <v>2304</v>
      </c>
      <c r="C91" s="185" t="s">
        <v>2305</v>
      </c>
      <c r="D91" s="185" t="s">
        <v>2152</v>
      </c>
      <c r="E91" s="185" t="s">
        <v>2106</v>
      </c>
      <c r="F91" s="185" t="s">
        <v>2107</v>
      </c>
      <c r="G91" s="185" t="s">
        <v>2306</v>
      </c>
      <c r="H91" s="186"/>
      <c r="I91" s="185"/>
    </row>
    <row r="92">
      <c r="A92" s="185"/>
      <c r="B92" s="185" t="s">
        <v>2307</v>
      </c>
      <c r="C92" s="185" t="s">
        <v>2308</v>
      </c>
      <c r="D92" s="185" t="s">
        <v>2152</v>
      </c>
      <c r="E92" s="185" t="s">
        <v>2106</v>
      </c>
      <c r="F92" s="185" t="s">
        <v>2107</v>
      </c>
      <c r="G92" s="185"/>
      <c r="H92" s="186"/>
      <c r="I92" s="185"/>
    </row>
    <row r="93">
      <c r="A93" s="185"/>
      <c r="B93" s="185" t="s">
        <v>2309</v>
      </c>
      <c r="C93" s="185" t="s">
        <v>2310</v>
      </c>
      <c r="D93" s="185" t="s">
        <v>2176</v>
      </c>
      <c r="E93" s="185" t="s">
        <v>2191</v>
      </c>
      <c r="F93" s="185" t="s">
        <v>2107</v>
      </c>
      <c r="G93" s="185"/>
      <c r="H93" s="186"/>
      <c r="I93" s="185"/>
    </row>
    <row r="94">
      <c r="A94" s="185"/>
      <c r="B94" s="185" t="s">
        <v>2311</v>
      </c>
      <c r="C94" s="185" t="s">
        <v>2312</v>
      </c>
      <c r="D94" s="185" t="s">
        <v>2176</v>
      </c>
      <c r="E94" s="185" t="s">
        <v>2191</v>
      </c>
      <c r="F94" s="185" t="s">
        <v>2107</v>
      </c>
      <c r="G94" s="185"/>
      <c r="H94" s="186"/>
      <c r="I94" s="185"/>
    </row>
    <row r="95">
      <c r="A95" s="192" t="s">
        <v>2313</v>
      </c>
      <c r="B95" s="183"/>
      <c r="C95" s="183"/>
      <c r="D95" s="183"/>
      <c r="E95" s="183"/>
      <c r="F95" s="183"/>
      <c r="G95" s="184"/>
      <c r="H95" s="186"/>
      <c r="I95" s="185"/>
    </row>
    <row r="96">
      <c r="A96" s="185"/>
      <c r="B96" s="198" t="s">
        <v>2314</v>
      </c>
      <c r="C96" s="198" t="s">
        <v>2315</v>
      </c>
      <c r="D96" s="198" t="s">
        <v>2199</v>
      </c>
      <c r="E96" s="198" t="s">
        <v>2106</v>
      </c>
      <c r="F96" s="198" t="s">
        <v>2107</v>
      </c>
      <c r="G96" s="185"/>
      <c r="H96" s="186"/>
      <c r="I96" s="185"/>
    </row>
    <row r="97">
      <c r="A97" s="185"/>
      <c r="B97" s="185" t="s">
        <v>2316</v>
      </c>
      <c r="C97" s="185" t="s">
        <v>2317</v>
      </c>
      <c r="D97" s="185" t="s">
        <v>2176</v>
      </c>
      <c r="E97" s="185" t="s">
        <v>2106</v>
      </c>
      <c r="F97" s="185" t="s">
        <v>2107</v>
      </c>
      <c r="G97" s="185" t="s">
        <v>2318</v>
      </c>
      <c r="H97" s="186"/>
      <c r="I97" s="185"/>
    </row>
    <row r="98">
      <c r="A98" s="185"/>
      <c r="B98" s="185" t="s">
        <v>2319</v>
      </c>
      <c r="C98" s="185" t="s">
        <v>2320</v>
      </c>
      <c r="D98" s="185" t="s">
        <v>2199</v>
      </c>
      <c r="E98" s="185" t="s">
        <v>2191</v>
      </c>
      <c r="F98" s="185" t="s">
        <v>2107</v>
      </c>
      <c r="G98" s="185"/>
      <c r="H98" s="186"/>
      <c r="I98" s="185"/>
    </row>
    <row r="99">
      <c r="A99" s="185"/>
      <c r="B99" s="185" t="s">
        <v>2321</v>
      </c>
      <c r="C99" s="185" t="s">
        <v>2322</v>
      </c>
      <c r="D99" s="185" t="s">
        <v>2110</v>
      </c>
      <c r="E99" s="185" t="s">
        <v>2191</v>
      </c>
      <c r="F99" s="185" t="s">
        <v>2107</v>
      </c>
      <c r="G99" s="185"/>
      <c r="H99" s="186"/>
      <c r="I99" s="185"/>
    </row>
    <row r="100">
      <c r="A100" s="185"/>
      <c r="B100" s="185" t="s">
        <v>2323</v>
      </c>
      <c r="C100" s="185" t="s">
        <v>2324</v>
      </c>
      <c r="D100" s="185" t="s">
        <v>2176</v>
      </c>
      <c r="E100" s="185" t="s">
        <v>2191</v>
      </c>
      <c r="F100" s="185" t="s">
        <v>2107</v>
      </c>
      <c r="G100" s="185"/>
      <c r="H100" s="186"/>
      <c r="I100" s="185"/>
    </row>
    <row r="101">
      <c r="A101" s="192" t="s">
        <v>2325</v>
      </c>
      <c r="B101" s="183"/>
      <c r="C101" s="183"/>
      <c r="D101" s="183"/>
      <c r="E101" s="183"/>
      <c r="F101" s="183"/>
      <c r="G101" s="184"/>
      <c r="H101" s="186"/>
      <c r="I101" s="185"/>
    </row>
    <row r="102">
      <c r="A102" s="185"/>
      <c r="B102" s="185" t="s">
        <v>2326</v>
      </c>
      <c r="C102" s="185" t="s">
        <v>2327</v>
      </c>
      <c r="D102" s="185" t="s">
        <v>2176</v>
      </c>
      <c r="E102" s="185" t="s">
        <v>2106</v>
      </c>
      <c r="F102" s="185" t="s">
        <v>2107</v>
      </c>
      <c r="G102" s="185"/>
      <c r="H102" s="186"/>
      <c r="I102" s="185"/>
    </row>
    <row r="103">
      <c r="A103" s="185"/>
      <c r="B103" s="185" t="s">
        <v>2328</v>
      </c>
      <c r="C103" s="185" t="s">
        <v>2329</v>
      </c>
      <c r="D103" s="185" t="s">
        <v>2199</v>
      </c>
      <c r="E103" s="185" t="s">
        <v>2191</v>
      </c>
      <c r="F103" s="185" t="s">
        <v>2107</v>
      </c>
      <c r="G103" s="185"/>
      <c r="H103" s="186"/>
      <c r="I103" s="185"/>
    </row>
    <row r="104">
      <c r="A104" s="185"/>
      <c r="B104" s="185" t="s">
        <v>2330</v>
      </c>
      <c r="C104" s="185" t="s">
        <v>2331</v>
      </c>
      <c r="D104" s="185" t="s">
        <v>2199</v>
      </c>
      <c r="E104" s="185" t="s">
        <v>2106</v>
      </c>
      <c r="F104" s="185" t="s">
        <v>2107</v>
      </c>
      <c r="G104" s="185"/>
      <c r="H104" s="186"/>
      <c r="I104" s="185"/>
    </row>
    <row r="105">
      <c r="A105" s="185"/>
      <c r="B105" s="185" t="s">
        <v>2332</v>
      </c>
      <c r="C105" s="185" t="s">
        <v>2333</v>
      </c>
      <c r="D105" s="185" t="s">
        <v>2199</v>
      </c>
      <c r="E105" s="185" t="s">
        <v>2191</v>
      </c>
      <c r="F105" s="185" t="s">
        <v>2107</v>
      </c>
      <c r="G105" s="185" t="s">
        <v>2334</v>
      </c>
      <c r="H105" s="186"/>
      <c r="I105" s="185"/>
    </row>
    <row r="106">
      <c r="A106" s="192" t="s">
        <v>2335</v>
      </c>
      <c r="B106" s="183"/>
      <c r="C106" s="183"/>
      <c r="D106" s="183"/>
      <c r="E106" s="183"/>
      <c r="F106" s="183"/>
      <c r="G106" s="184"/>
      <c r="H106" s="186"/>
      <c r="I106" s="185"/>
    </row>
    <row r="107">
      <c r="A107" s="185"/>
      <c r="B107" s="185" t="s">
        <v>2336</v>
      </c>
      <c r="C107" s="185" t="s">
        <v>2337</v>
      </c>
      <c r="D107" s="185" t="s">
        <v>2338</v>
      </c>
      <c r="E107" s="185" t="s">
        <v>2106</v>
      </c>
      <c r="F107" s="185" t="s">
        <v>2107</v>
      </c>
      <c r="G107" s="185"/>
      <c r="H107" s="186"/>
      <c r="I107" s="185"/>
    </row>
    <row r="108">
      <c r="A108" s="185"/>
      <c r="B108" s="185" t="s">
        <v>2339</v>
      </c>
      <c r="C108" s="185" t="s">
        <v>2340</v>
      </c>
      <c r="D108" s="185" t="s">
        <v>2341</v>
      </c>
      <c r="E108" s="185" t="s">
        <v>2191</v>
      </c>
      <c r="F108" s="185" t="s">
        <v>2107</v>
      </c>
      <c r="G108" s="185"/>
      <c r="H108" s="186"/>
      <c r="I108" s="185"/>
    </row>
    <row r="109">
      <c r="A109" s="185"/>
      <c r="B109" s="185" t="s">
        <v>2342</v>
      </c>
      <c r="C109" s="185" t="s">
        <v>2343</v>
      </c>
      <c r="D109" s="185" t="s">
        <v>2344</v>
      </c>
      <c r="E109" s="185" t="s">
        <v>2191</v>
      </c>
      <c r="F109" s="185" t="s">
        <v>2107</v>
      </c>
      <c r="G109" s="185" t="s">
        <v>2345</v>
      </c>
      <c r="H109" s="186"/>
      <c r="I109" s="185"/>
    </row>
    <row r="110">
      <c r="A110" s="185"/>
      <c r="B110" s="185" t="s">
        <v>2346</v>
      </c>
      <c r="C110" s="185" t="s">
        <v>2347</v>
      </c>
      <c r="D110" s="185" t="s">
        <v>2348</v>
      </c>
      <c r="E110" s="185" t="s">
        <v>2191</v>
      </c>
      <c r="F110" s="185" t="s">
        <v>2107</v>
      </c>
      <c r="G110" s="185"/>
      <c r="H110" s="186"/>
      <c r="I110" s="185"/>
    </row>
    <row r="111">
      <c r="A111" s="185"/>
      <c r="B111" s="185" t="s">
        <v>2349</v>
      </c>
      <c r="C111" s="185" t="s">
        <v>2350</v>
      </c>
      <c r="D111" s="185" t="s">
        <v>2351</v>
      </c>
      <c r="E111" s="185" t="s">
        <v>2191</v>
      </c>
      <c r="F111" s="185" t="s">
        <v>2107</v>
      </c>
      <c r="G111" s="185"/>
      <c r="H111" s="186"/>
      <c r="I111" s="185"/>
    </row>
    <row r="112">
      <c r="A112" s="185"/>
      <c r="B112" s="185"/>
      <c r="C112" s="185"/>
      <c r="D112" s="185"/>
      <c r="E112" s="185"/>
      <c r="F112" s="185"/>
      <c r="G112" s="185"/>
      <c r="H112" s="186"/>
      <c r="I112" s="185"/>
    </row>
    <row r="113">
      <c r="A113" s="185"/>
      <c r="B113" s="185"/>
      <c r="C113" s="185"/>
      <c r="D113" s="185"/>
      <c r="E113" s="185"/>
      <c r="F113" s="185"/>
      <c r="G113" s="185"/>
      <c r="H113" s="186"/>
      <c r="I113" s="185"/>
    </row>
    <row r="114">
      <c r="A114" s="191" t="s">
        <v>2352</v>
      </c>
      <c r="B114" s="183"/>
      <c r="C114" s="183"/>
      <c r="D114" s="183"/>
      <c r="E114" s="183"/>
      <c r="F114" s="183"/>
      <c r="G114" s="184"/>
      <c r="H114" s="186"/>
      <c r="I114" s="185"/>
    </row>
    <row r="115">
      <c r="A115" s="185"/>
      <c r="B115" s="185" t="s">
        <v>2353</v>
      </c>
      <c r="C115" s="185" t="s">
        <v>2354</v>
      </c>
      <c r="D115" s="185"/>
      <c r="E115" s="185"/>
      <c r="F115" s="185"/>
      <c r="G115" s="185"/>
      <c r="H115" s="186"/>
      <c r="I115" s="185"/>
    </row>
    <row r="116">
      <c r="A116" s="185"/>
      <c r="B116" s="185" t="s">
        <v>2355</v>
      </c>
      <c r="C116" s="185" t="s">
        <v>2356</v>
      </c>
      <c r="D116" s="185"/>
      <c r="E116" s="185"/>
      <c r="F116" s="185"/>
      <c r="G116" s="185"/>
      <c r="H116" s="186"/>
      <c r="I116" s="185"/>
    </row>
    <row r="117">
      <c r="A117" s="185"/>
      <c r="B117" s="185" t="s">
        <v>2357</v>
      </c>
      <c r="C117" s="185" t="s">
        <v>2358</v>
      </c>
      <c r="D117" s="185"/>
      <c r="E117" s="185"/>
      <c r="F117" s="185"/>
      <c r="G117" s="185"/>
      <c r="H117" s="186"/>
      <c r="I117" s="185"/>
    </row>
    <row r="118">
      <c r="A118" s="185"/>
      <c r="B118" s="185"/>
      <c r="C118" s="185"/>
      <c r="D118" s="185"/>
      <c r="E118" s="185"/>
      <c r="F118" s="185"/>
      <c r="G118" s="185"/>
      <c r="H118" s="186"/>
      <c r="I118" s="185"/>
    </row>
  </sheetData>
  <mergeCells count="22">
    <mergeCell ref="A1:H1"/>
    <mergeCell ref="A3:G3"/>
    <mergeCell ref="A4:G4"/>
    <mergeCell ref="A8:G8"/>
    <mergeCell ref="A10:G10"/>
    <mergeCell ref="A12:G12"/>
    <mergeCell ref="A20:G20"/>
    <mergeCell ref="A69:G69"/>
    <mergeCell ref="A76:G76"/>
    <mergeCell ref="A82:G82"/>
    <mergeCell ref="A88:G88"/>
    <mergeCell ref="A95:G95"/>
    <mergeCell ref="A101:G101"/>
    <mergeCell ref="A106:G106"/>
    <mergeCell ref="A114:G114"/>
    <mergeCell ref="A25:G25"/>
    <mergeCell ref="A30:G30"/>
    <mergeCell ref="A32:G32"/>
    <mergeCell ref="A39:G39"/>
    <mergeCell ref="A45:G45"/>
    <mergeCell ref="A55:G55"/>
    <mergeCell ref="A62:G62"/>
  </mergeCells>
  <hyperlinks>
    <hyperlink r:id="rId1" ref="H13"/>
    <hyperlink r:id="rId2" ref="I13"/>
    <hyperlink r:id="rId3" ref="H14"/>
    <hyperlink r:id="rId4" ref="H15"/>
    <hyperlink r:id="rId5" ref="H16"/>
    <hyperlink r:id="rId6" ref="H17"/>
    <hyperlink r:id="rId7" ref="H18"/>
    <hyperlink r:id="rId8" ref="H19"/>
    <hyperlink r:id="rId9" ref="H22"/>
    <hyperlink r:id="rId10" ref="H24"/>
    <hyperlink r:id="rId11" ref="H27"/>
    <hyperlink r:id="rId12" ref="H40"/>
    <hyperlink r:id="rId13" ref="H41"/>
  </hyperlinks>
  <drawing r:id="rId1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43"/>
    <col customWidth="1" min="2" max="2" width="24.14"/>
    <col customWidth="1" min="3" max="3" width="57.57"/>
    <col customWidth="1" min="4" max="4" width="43.0"/>
    <col customWidth="1" min="5" max="5" width="7.43"/>
    <col customWidth="1" min="6" max="6" width="11.57"/>
    <col customWidth="1" min="7" max="7" width="13.71"/>
    <col customWidth="1" min="8" max="8" width="65.71"/>
  </cols>
  <sheetData>
    <row r="1">
      <c r="A1" s="199" t="s">
        <v>2359</v>
      </c>
      <c r="B1" s="183"/>
      <c r="C1" s="183"/>
      <c r="D1" s="183"/>
      <c r="E1" s="183"/>
      <c r="F1" s="183"/>
      <c r="G1" s="183"/>
      <c r="H1" s="183"/>
      <c r="I1" s="184"/>
    </row>
    <row r="2">
      <c r="A2" s="200" t="s">
        <v>2360</v>
      </c>
    </row>
    <row r="3">
      <c r="A3" s="185"/>
      <c r="B3" s="185"/>
      <c r="C3" s="185"/>
      <c r="D3" s="185"/>
      <c r="E3" s="185"/>
      <c r="F3" s="185"/>
      <c r="G3" s="185"/>
      <c r="H3" s="201"/>
      <c r="I3" s="185"/>
    </row>
    <row r="4" ht="19.5" customHeight="1">
      <c r="A4" s="202" t="s">
        <v>2097</v>
      </c>
      <c r="B4" s="202" t="s">
        <v>2361</v>
      </c>
      <c r="C4" s="202" t="s">
        <v>2362</v>
      </c>
      <c r="D4" s="202" t="s">
        <v>2363</v>
      </c>
      <c r="E4" s="202" t="s">
        <v>2364</v>
      </c>
      <c r="F4" s="202" t="s">
        <v>2365</v>
      </c>
      <c r="G4" s="202" t="s">
        <v>2366</v>
      </c>
      <c r="H4" s="202"/>
      <c r="I4" s="202" t="s">
        <v>2367</v>
      </c>
    </row>
    <row r="5" ht="19.5" customHeight="1">
      <c r="A5" s="203" t="s">
        <v>2368</v>
      </c>
      <c r="B5" s="203" t="s">
        <v>2369</v>
      </c>
      <c r="C5" s="203" t="s">
        <v>2370</v>
      </c>
      <c r="D5" s="203" t="s">
        <v>2371</v>
      </c>
      <c r="E5" s="203" t="s">
        <v>2372</v>
      </c>
      <c r="F5" s="203" t="s">
        <v>2373</v>
      </c>
      <c r="G5" s="203" t="s">
        <v>2374</v>
      </c>
      <c r="H5" s="203"/>
      <c r="I5" s="204"/>
    </row>
    <row r="6" ht="19.5" customHeight="1">
      <c r="A6" s="205" t="s">
        <v>2368</v>
      </c>
      <c r="B6" s="205" t="s">
        <v>2369</v>
      </c>
      <c r="C6" s="205" t="s">
        <v>2375</v>
      </c>
      <c r="D6" s="205" t="s">
        <v>2376</v>
      </c>
      <c r="E6" s="205" t="s">
        <v>2372</v>
      </c>
      <c r="F6" s="205" t="s">
        <v>2377</v>
      </c>
      <c r="G6" s="205" t="s">
        <v>2378</v>
      </c>
      <c r="H6" s="205"/>
      <c r="I6" s="204"/>
    </row>
    <row r="7" ht="19.5" customHeight="1">
      <c r="A7" s="205" t="s">
        <v>2368</v>
      </c>
      <c r="B7" s="205" t="s">
        <v>2369</v>
      </c>
      <c r="C7" s="205" t="s">
        <v>2379</v>
      </c>
      <c r="D7" s="205" t="s">
        <v>2380</v>
      </c>
      <c r="E7" s="205" t="s">
        <v>2372</v>
      </c>
      <c r="F7" s="205" t="s">
        <v>2377</v>
      </c>
      <c r="G7" s="205" t="s">
        <v>2378</v>
      </c>
      <c r="H7" s="205"/>
      <c r="I7" s="204"/>
    </row>
    <row r="8" ht="19.5" customHeight="1">
      <c r="A8" s="205" t="s">
        <v>2368</v>
      </c>
      <c r="B8" s="205" t="s">
        <v>2381</v>
      </c>
      <c r="C8" s="205" t="s">
        <v>2382</v>
      </c>
      <c r="D8" s="205" t="s">
        <v>2383</v>
      </c>
      <c r="E8" s="205" t="s">
        <v>2384</v>
      </c>
      <c r="F8" s="205" t="s">
        <v>2373</v>
      </c>
      <c r="G8" s="205" t="s">
        <v>2374</v>
      </c>
      <c r="H8" s="205"/>
      <c r="I8" s="204"/>
    </row>
    <row r="9" ht="19.5" customHeight="1">
      <c r="A9" s="205" t="s">
        <v>2368</v>
      </c>
      <c r="B9" s="205" t="s">
        <v>2381</v>
      </c>
      <c r="C9" s="205" t="s">
        <v>2385</v>
      </c>
      <c r="D9" s="205" t="s">
        <v>2386</v>
      </c>
      <c r="E9" s="205" t="s">
        <v>2384</v>
      </c>
      <c r="F9" s="205" t="s">
        <v>2387</v>
      </c>
      <c r="G9" s="205" t="s">
        <v>2374</v>
      </c>
      <c r="H9" s="205"/>
      <c r="I9" s="204"/>
    </row>
    <row r="10" ht="19.5" customHeight="1">
      <c r="A10" s="205" t="s">
        <v>2368</v>
      </c>
      <c r="B10" s="205" t="s">
        <v>2388</v>
      </c>
      <c r="C10" s="205" t="s">
        <v>2389</v>
      </c>
      <c r="D10" s="205" t="s">
        <v>2390</v>
      </c>
      <c r="E10" s="205" t="s">
        <v>2372</v>
      </c>
      <c r="F10" s="205" t="s">
        <v>2391</v>
      </c>
      <c r="G10" s="205" t="s">
        <v>2378</v>
      </c>
      <c r="H10" s="205"/>
      <c r="I10" s="204"/>
    </row>
    <row r="11" ht="19.5" customHeight="1">
      <c r="A11" s="205" t="s">
        <v>2368</v>
      </c>
      <c r="B11" s="205" t="s">
        <v>2388</v>
      </c>
      <c r="C11" s="205" t="s">
        <v>2392</v>
      </c>
      <c r="D11" s="205" t="s">
        <v>2393</v>
      </c>
      <c r="E11" s="205" t="s">
        <v>2384</v>
      </c>
      <c r="F11" s="205" t="s">
        <v>2373</v>
      </c>
      <c r="G11" s="205" t="s">
        <v>2374</v>
      </c>
      <c r="H11" s="205"/>
      <c r="I11" s="204"/>
    </row>
    <row r="12" ht="19.5" customHeight="1">
      <c r="A12" s="205" t="s">
        <v>2368</v>
      </c>
      <c r="B12" s="205" t="s">
        <v>2394</v>
      </c>
      <c r="C12" s="205" t="s">
        <v>2395</v>
      </c>
      <c r="D12" s="205" t="s">
        <v>2396</v>
      </c>
      <c r="E12" s="205" t="s">
        <v>2372</v>
      </c>
      <c r="F12" s="205" t="s">
        <v>2391</v>
      </c>
      <c r="G12" s="205" t="s">
        <v>2378</v>
      </c>
      <c r="H12" s="205"/>
      <c r="I12" s="204"/>
    </row>
    <row r="13" ht="19.5" customHeight="1">
      <c r="A13" s="205" t="s">
        <v>2368</v>
      </c>
      <c r="B13" s="205" t="s">
        <v>2394</v>
      </c>
      <c r="C13" s="205" t="s">
        <v>2397</v>
      </c>
      <c r="D13" s="205" t="s">
        <v>2398</v>
      </c>
      <c r="E13" s="205" t="s">
        <v>2372</v>
      </c>
      <c r="F13" s="205" t="s">
        <v>2387</v>
      </c>
      <c r="G13" s="205" t="s">
        <v>2378</v>
      </c>
      <c r="H13" s="205"/>
      <c r="I13" s="204"/>
    </row>
    <row r="14" ht="19.5" customHeight="1">
      <c r="A14" s="205" t="s">
        <v>2368</v>
      </c>
      <c r="B14" s="205" t="s">
        <v>2399</v>
      </c>
      <c r="C14" s="205" t="s">
        <v>2400</v>
      </c>
      <c r="D14" s="205" t="s">
        <v>2401</v>
      </c>
      <c r="E14" s="205" t="s">
        <v>2384</v>
      </c>
      <c r="F14" s="205" t="s">
        <v>2387</v>
      </c>
      <c r="G14" s="205" t="s">
        <v>2378</v>
      </c>
      <c r="H14" s="205"/>
      <c r="I14" s="204"/>
    </row>
    <row r="15" ht="19.5" customHeight="1">
      <c r="A15" s="205" t="s">
        <v>2368</v>
      </c>
      <c r="B15" s="205" t="s">
        <v>2399</v>
      </c>
      <c r="C15" s="205" t="s">
        <v>2402</v>
      </c>
      <c r="D15" s="205" t="s">
        <v>2403</v>
      </c>
      <c r="E15" s="205" t="s">
        <v>2384</v>
      </c>
      <c r="F15" s="205" t="s">
        <v>2373</v>
      </c>
      <c r="G15" s="205" t="s">
        <v>2404</v>
      </c>
      <c r="H15" s="205"/>
      <c r="I15" s="204"/>
    </row>
    <row r="16" ht="19.5" customHeight="1">
      <c r="A16" s="205" t="s">
        <v>2368</v>
      </c>
      <c r="B16" s="205" t="s">
        <v>2405</v>
      </c>
      <c r="C16" s="205" t="s">
        <v>2406</v>
      </c>
      <c r="D16" s="205" t="s">
        <v>2407</v>
      </c>
      <c r="E16" s="205" t="s">
        <v>2372</v>
      </c>
      <c r="F16" s="205" t="s">
        <v>2391</v>
      </c>
      <c r="G16" s="205" t="s">
        <v>2408</v>
      </c>
      <c r="H16" s="205"/>
      <c r="I16" s="204"/>
    </row>
    <row r="17" ht="19.5" customHeight="1">
      <c r="A17" s="205" t="s">
        <v>2368</v>
      </c>
      <c r="B17" s="205" t="s">
        <v>2405</v>
      </c>
      <c r="C17" s="205" t="s">
        <v>2409</v>
      </c>
      <c r="D17" s="205" t="s">
        <v>2410</v>
      </c>
      <c r="E17" s="205" t="s">
        <v>2372</v>
      </c>
      <c r="F17" s="205" t="s">
        <v>2373</v>
      </c>
      <c r="G17" s="205" t="s">
        <v>2378</v>
      </c>
      <c r="H17" s="205"/>
      <c r="I17" s="204"/>
    </row>
    <row r="18" ht="19.5" customHeight="1">
      <c r="A18" s="205" t="s">
        <v>2368</v>
      </c>
      <c r="B18" s="205" t="s">
        <v>2411</v>
      </c>
      <c r="C18" s="205" t="s">
        <v>2412</v>
      </c>
      <c r="D18" s="205" t="s">
        <v>2413</v>
      </c>
      <c r="E18" s="205" t="s">
        <v>2372</v>
      </c>
      <c r="F18" s="205" t="s">
        <v>2414</v>
      </c>
      <c r="G18" s="205" t="s">
        <v>2378</v>
      </c>
      <c r="H18" s="206" t="s">
        <v>2415</v>
      </c>
      <c r="I18" s="207" t="s">
        <v>2367</v>
      </c>
    </row>
    <row r="19" ht="19.5" customHeight="1">
      <c r="A19" s="205" t="s">
        <v>2368</v>
      </c>
      <c r="B19" s="205" t="s">
        <v>2411</v>
      </c>
      <c r="C19" s="205" t="s">
        <v>2416</v>
      </c>
      <c r="D19" s="205" t="s">
        <v>2417</v>
      </c>
      <c r="E19" s="205" t="s">
        <v>2372</v>
      </c>
      <c r="F19" s="205" t="s">
        <v>2414</v>
      </c>
      <c r="G19" s="205" t="s">
        <v>2378</v>
      </c>
      <c r="H19" s="206" t="s">
        <v>2418</v>
      </c>
      <c r="I19" s="207" t="s">
        <v>2367</v>
      </c>
    </row>
    <row r="20" ht="19.5" customHeight="1">
      <c r="A20" s="205" t="s">
        <v>2368</v>
      </c>
      <c r="B20" s="205" t="s">
        <v>2411</v>
      </c>
      <c r="C20" s="205" t="s">
        <v>2419</v>
      </c>
      <c r="D20" s="205" t="s">
        <v>2420</v>
      </c>
      <c r="E20" s="205" t="s">
        <v>2384</v>
      </c>
      <c r="F20" s="205" t="s">
        <v>2421</v>
      </c>
      <c r="G20" s="205" t="s">
        <v>2404</v>
      </c>
      <c r="H20" s="205"/>
      <c r="I20" s="204"/>
    </row>
    <row r="21" ht="19.5" customHeight="1">
      <c r="A21" s="205" t="s">
        <v>2368</v>
      </c>
      <c r="B21" s="205" t="s">
        <v>2422</v>
      </c>
      <c r="C21" s="205" t="s">
        <v>2423</v>
      </c>
      <c r="D21" s="205" t="s">
        <v>2424</v>
      </c>
      <c r="E21" s="205" t="s">
        <v>2372</v>
      </c>
      <c r="F21" s="205" t="s">
        <v>2387</v>
      </c>
      <c r="G21" s="205" t="s">
        <v>2408</v>
      </c>
      <c r="H21" s="206" t="s">
        <v>2425</v>
      </c>
      <c r="I21" s="204"/>
    </row>
    <row r="22" ht="19.5" customHeight="1">
      <c r="A22" s="205" t="s">
        <v>2368</v>
      </c>
      <c r="B22" s="205" t="s">
        <v>2422</v>
      </c>
      <c r="C22" s="205" t="s">
        <v>2426</v>
      </c>
      <c r="D22" s="205" t="s">
        <v>2427</v>
      </c>
      <c r="E22" s="205" t="s">
        <v>2372</v>
      </c>
      <c r="F22" s="205" t="s">
        <v>2387</v>
      </c>
      <c r="G22" s="205" t="s">
        <v>2408</v>
      </c>
      <c r="H22" s="205"/>
      <c r="I22" s="204"/>
    </row>
    <row r="23" ht="19.5" customHeight="1">
      <c r="A23" s="205" t="s">
        <v>2368</v>
      </c>
      <c r="B23" s="205" t="s">
        <v>2422</v>
      </c>
      <c r="C23" s="205" t="s">
        <v>2428</v>
      </c>
      <c r="D23" s="205" t="s">
        <v>2429</v>
      </c>
      <c r="E23" s="205" t="s">
        <v>2372</v>
      </c>
      <c r="F23" s="205" t="s">
        <v>2373</v>
      </c>
      <c r="G23" s="205" t="s">
        <v>2408</v>
      </c>
      <c r="H23" s="205"/>
      <c r="I23" s="204"/>
    </row>
    <row r="24" ht="19.5" customHeight="1">
      <c r="A24" s="203" t="s">
        <v>2430</v>
      </c>
      <c r="B24" s="203" t="s">
        <v>2431</v>
      </c>
      <c r="C24" s="203" t="s">
        <v>2432</v>
      </c>
      <c r="D24" s="203" t="s">
        <v>2433</v>
      </c>
      <c r="E24" s="203" t="s">
        <v>2372</v>
      </c>
      <c r="F24" s="203" t="s">
        <v>2434</v>
      </c>
      <c r="G24" s="203" t="s">
        <v>41</v>
      </c>
      <c r="H24" s="203"/>
      <c r="I24" s="204"/>
    </row>
    <row r="25" ht="19.5" customHeight="1">
      <c r="A25" s="205" t="s">
        <v>2430</v>
      </c>
      <c r="B25" s="205" t="s">
        <v>2431</v>
      </c>
      <c r="C25" s="205" t="s">
        <v>2435</v>
      </c>
      <c r="D25" s="205" t="s">
        <v>2436</v>
      </c>
      <c r="E25" s="205" t="s">
        <v>2372</v>
      </c>
      <c r="F25" s="205" t="s">
        <v>2373</v>
      </c>
      <c r="G25" s="205" t="s">
        <v>2408</v>
      </c>
      <c r="H25" s="205"/>
      <c r="I25" s="204"/>
    </row>
    <row r="26" ht="19.5" customHeight="1">
      <c r="A26" s="208" t="s">
        <v>2430</v>
      </c>
      <c r="B26" s="208" t="s">
        <v>2431</v>
      </c>
      <c r="C26" s="208" t="s">
        <v>2437</v>
      </c>
      <c r="D26" s="208" t="s">
        <v>2438</v>
      </c>
      <c r="E26" s="208" t="s">
        <v>2384</v>
      </c>
      <c r="F26" s="208" t="s">
        <v>2373</v>
      </c>
      <c r="G26" s="208" t="s">
        <v>41</v>
      </c>
      <c r="H26" s="208"/>
      <c r="I26" s="204"/>
    </row>
    <row r="27" ht="19.5" customHeight="1">
      <c r="A27" s="208" t="s">
        <v>2430</v>
      </c>
      <c r="B27" s="208" t="s">
        <v>2431</v>
      </c>
      <c r="C27" s="208" t="s">
        <v>2439</v>
      </c>
      <c r="D27" s="208" t="s">
        <v>2440</v>
      </c>
      <c r="E27" s="208" t="s">
        <v>2441</v>
      </c>
      <c r="F27" s="208" t="s">
        <v>2373</v>
      </c>
      <c r="G27" s="208" t="s">
        <v>2442</v>
      </c>
      <c r="H27" s="208"/>
      <c r="I27" s="204"/>
    </row>
    <row r="28" ht="19.5" customHeight="1">
      <c r="A28" s="205" t="s">
        <v>2430</v>
      </c>
      <c r="B28" s="205" t="s">
        <v>2443</v>
      </c>
      <c r="C28" s="205" t="s">
        <v>2444</v>
      </c>
      <c r="D28" s="205" t="s">
        <v>2445</v>
      </c>
      <c r="E28" s="205" t="s">
        <v>2372</v>
      </c>
      <c r="F28" s="205" t="s">
        <v>2387</v>
      </c>
      <c r="G28" s="205" t="s">
        <v>2408</v>
      </c>
      <c r="H28" s="205"/>
      <c r="I28" s="204"/>
    </row>
    <row r="29" ht="19.5" customHeight="1">
      <c r="A29" s="205" t="s">
        <v>2430</v>
      </c>
      <c r="B29" s="205" t="s">
        <v>2443</v>
      </c>
      <c r="C29" s="205" t="s">
        <v>2446</v>
      </c>
      <c r="D29" s="205" t="s">
        <v>2447</v>
      </c>
      <c r="E29" s="205" t="s">
        <v>2372</v>
      </c>
      <c r="F29" s="205" t="s">
        <v>2434</v>
      </c>
      <c r="G29" s="205" t="s">
        <v>41</v>
      </c>
      <c r="H29" s="205"/>
      <c r="I29" s="204"/>
    </row>
    <row r="30" ht="19.5" customHeight="1">
      <c r="A30" s="205" t="s">
        <v>2430</v>
      </c>
      <c r="B30" s="205" t="s">
        <v>2443</v>
      </c>
      <c r="C30" s="205" t="s">
        <v>2448</v>
      </c>
      <c r="D30" s="205" t="s">
        <v>2449</v>
      </c>
      <c r="E30" s="205" t="s">
        <v>2384</v>
      </c>
      <c r="F30" s="205" t="s">
        <v>2450</v>
      </c>
      <c r="G30" s="205" t="s">
        <v>2408</v>
      </c>
      <c r="H30" s="205"/>
      <c r="I30" s="204"/>
    </row>
    <row r="31" ht="19.5" customHeight="1">
      <c r="A31" s="205" t="s">
        <v>2430</v>
      </c>
      <c r="B31" s="205" t="s">
        <v>2443</v>
      </c>
      <c r="C31" s="205" t="s">
        <v>2451</v>
      </c>
      <c r="D31" s="205" t="s">
        <v>2452</v>
      </c>
      <c r="E31" s="205" t="s">
        <v>2372</v>
      </c>
      <c r="F31" s="205" t="s">
        <v>2387</v>
      </c>
      <c r="G31" s="205" t="s">
        <v>2453</v>
      </c>
      <c r="H31" s="205"/>
      <c r="I31" s="204"/>
    </row>
    <row r="32" ht="19.5" customHeight="1">
      <c r="A32" s="208" t="s">
        <v>2430</v>
      </c>
      <c r="B32" s="208" t="s">
        <v>2443</v>
      </c>
      <c r="C32" s="208" t="s">
        <v>2454</v>
      </c>
      <c r="D32" s="208" t="s">
        <v>2455</v>
      </c>
      <c r="E32" s="208" t="s">
        <v>2384</v>
      </c>
      <c r="F32" s="208" t="s">
        <v>2387</v>
      </c>
      <c r="G32" s="208" t="s">
        <v>2408</v>
      </c>
      <c r="H32" s="208"/>
      <c r="I32" s="204"/>
    </row>
    <row r="33" ht="19.5" customHeight="1">
      <c r="A33" s="205" t="s">
        <v>2430</v>
      </c>
      <c r="B33" s="205" t="s">
        <v>2456</v>
      </c>
      <c r="C33" s="205" t="s">
        <v>2457</v>
      </c>
      <c r="D33" s="205" t="s">
        <v>2458</v>
      </c>
      <c r="E33" s="205" t="s">
        <v>2372</v>
      </c>
      <c r="F33" s="205" t="s">
        <v>2434</v>
      </c>
      <c r="G33" s="205" t="s">
        <v>2408</v>
      </c>
      <c r="H33" s="205"/>
      <c r="I33" s="204"/>
    </row>
    <row r="34" ht="19.5" customHeight="1">
      <c r="A34" s="205" t="s">
        <v>2430</v>
      </c>
      <c r="B34" s="205" t="s">
        <v>2456</v>
      </c>
      <c r="C34" s="205" t="s">
        <v>2459</v>
      </c>
      <c r="D34" s="205" t="s">
        <v>2460</v>
      </c>
      <c r="E34" s="205" t="s">
        <v>2384</v>
      </c>
      <c r="F34" s="205" t="s">
        <v>2373</v>
      </c>
      <c r="G34" s="205" t="s">
        <v>2408</v>
      </c>
      <c r="H34" s="205"/>
      <c r="I34" s="204"/>
    </row>
    <row r="35" ht="19.5" customHeight="1">
      <c r="A35" s="208" t="s">
        <v>2430</v>
      </c>
      <c r="B35" s="208" t="s">
        <v>2456</v>
      </c>
      <c r="C35" s="208" t="s">
        <v>2461</v>
      </c>
      <c r="D35" s="208" t="s">
        <v>2462</v>
      </c>
      <c r="E35" s="208" t="s">
        <v>2384</v>
      </c>
      <c r="F35" s="208" t="s">
        <v>2373</v>
      </c>
      <c r="G35" s="208" t="s">
        <v>2408</v>
      </c>
      <c r="H35" s="208"/>
      <c r="I35" s="204"/>
    </row>
    <row r="36" ht="19.5" customHeight="1">
      <c r="A36" s="203" t="s">
        <v>2463</v>
      </c>
      <c r="B36" s="203" t="s">
        <v>2464</v>
      </c>
      <c r="C36" s="203" t="s">
        <v>2465</v>
      </c>
      <c r="D36" s="203" t="s">
        <v>2466</v>
      </c>
      <c r="E36" s="203" t="s">
        <v>2372</v>
      </c>
      <c r="F36" s="203" t="s">
        <v>2467</v>
      </c>
      <c r="G36" s="203" t="s">
        <v>2468</v>
      </c>
      <c r="H36" s="203"/>
      <c r="I36" s="204"/>
    </row>
    <row r="37" ht="19.5" customHeight="1">
      <c r="A37" s="205" t="s">
        <v>2463</v>
      </c>
      <c r="B37" s="205" t="s">
        <v>2464</v>
      </c>
      <c r="C37" s="205" t="s">
        <v>2469</v>
      </c>
      <c r="D37" s="205" t="s">
        <v>2470</v>
      </c>
      <c r="E37" s="205" t="s">
        <v>2372</v>
      </c>
      <c r="F37" s="205" t="s">
        <v>2467</v>
      </c>
      <c r="G37" s="205" t="s">
        <v>2468</v>
      </c>
      <c r="H37" s="205"/>
      <c r="I37" s="204"/>
    </row>
    <row r="38" ht="19.5" customHeight="1">
      <c r="A38" s="205" t="s">
        <v>2463</v>
      </c>
      <c r="B38" s="205" t="s">
        <v>2464</v>
      </c>
      <c r="C38" s="205" t="s">
        <v>2471</v>
      </c>
      <c r="D38" s="205" t="s">
        <v>2472</v>
      </c>
      <c r="E38" s="205" t="s">
        <v>2372</v>
      </c>
      <c r="F38" s="205" t="s">
        <v>2467</v>
      </c>
      <c r="G38" s="205" t="s">
        <v>2468</v>
      </c>
      <c r="H38" s="205"/>
      <c r="I38" s="207" t="s">
        <v>2367</v>
      </c>
    </row>
    <row r="39" ht="19.5" customHeight="1">
      <c r="A39" s="205" t="s">
        <v>2463</v>
      </c>
      <c r="B39" s="205" t="s">
        <v>2464</v>
      </c>
      <c r="C39" s="205" t="s">
        <v>2473</v>
      </c>
      <c r="D39" s="205" t="s">
        <v>2474</v>
      </c>
      <c r="E39" s="205" t="s">
        <v>2372</v>
      </c>
      <c r="F39" s="205" t="s">
        <v>2475</v>
      </c>
      <c r="G39" s="205" t="s">
        <v>2468</v>
      </c>
      <c r="H39" s="205"/>
      <c r="I39" s="207" t="s">
        <v>2367</v>
      </c>
    </row>
    <row r="40" ht="19.5" customHeight="1">
      <c r="A40" s="205" t="s">
        <v>2463</v>
      </c>
      <c r="B40" s="205" t="s">
        <v>2476</v>
      </c>
      <c r="C40" s="205" t="s">
        <v>2477</v>
      </c>
      <c r="D40" s="205" t="s">
        <v>2478</v>
      </c>
      <c r="E40" s="205" t="s">
        <v>2372</v>
      </c>
      <c r="F40" s="205" t="s">
        <v>2387</v>
      </c>
      <c r="G40" s="205" t="s">
        <v>2479</v>
      </c>
      <c r="H40" s="205"/>
      <c r="I40" s="204"/>
    </row>
    <row r="41" ht="19.5" customHeight="1">
      <c r="A41" s="205" t="s">
        <v>2463</v>
      </c>
      <c r="B41" s="205" t="s">
        <v>2476</v>
      </c>
      <c r="C41" s="205" t="s">
        <v>2480</v>
      </c>
      <c r="D41" s="205" t="s">
        <v>2481</v>
      </c>
      <c r="E41" s="205" t="s">
        <v>2372</v>
      </c>
      <c r="F41" s="205" t="s">
        <v>2482</v>
      </c>
      <c r="G41" s="205" t="s">
        <v>2453</v>
      </c>
      <c r="H41" s="205"/>
      <c r="I41" s="204"/>
    </row>
    <row r="42" ht="19.5" customHeight="1">
      <c r="A42" s="205" t="s">
        <v>2463</v>
      </c>
      <c r="B42" s="205" t="s">
        <v>2476</v>
      </c>
      <c r="C42" s="205" t="s">
        <v>2483</v>
      </c>
      <c r="D42" s="205" t="s">
        <v>2484</v>
      </c>
      <c r="E42" s="205" t="s">
        <v>2384</v>
      </c>
      <c r="F42" s="205" t="s">
        <v>2482</v>
      </c>
      <c r="G42" s="205" t="s">
        <v>2453</v>
      </c>
      <c r="H42" s="205"/>
      <c r="I42" s="204"/>
    </row>
    <row r="43" ht="19.5" customHeight="1">
      <c r="A43" s="208" t="s">
        <v>2463</v>
      </c>
      <c r="B43" s="208" t="s">
        <v>2476</v>
      </c>
      <c r="C43" s="208" t="s">
        <v>2485</v>
      </c>
      <c r="D43" s="208" t="s">
        <v>2486</v>
      </c>
      <c r="E43" s="208" t="s">
        <v>2372</v>
      </c>
      <c r="F43" s="208" t="s">
        <v>2487</v>
      </c>
      <c r="G43" s="208" t="s">
        <v>2479</v>
      </c>
      <c r="H43" s="208"/>
      <c r="I43" s="204"/>
    </row>
    <row r="44" ht="19.5" customHeight="1">
      <c r="A44" s="205" t="s">
        <v>2463</v>
      </c>
      <c r="B44" s="205" t="s">
        <v>2488</v>
      </c>
      <c r="C44" s="205" t="s">
        <v>2489</v>
      </c>
      <c r="D44" s="205" t="s">
        <v>2490</v>
      </c>
      <c r="E44" s="205" t="s">
        <v>2372</v>
      </c>
      <c r="F44" s="205" t="s">
        <v>2467</v>
      </c>
      <c r="G44" s="205" t="s">
        <v>2479</v>
      </c>
      <c r="H44" s="205"/>
      <c r="I44" s="204"/>
    </row>
    <row r="45" ht="19.5" customHeight="1">
      <c r="A45" s="205" t="s">
        <v>2463</v>
      </c>
      <c r="B45" s="205" t="s">
        <v>2488</v>
      </c>
      <c r="C45" s="205" t="s">
        <v>2491</v>
      </c>
      <c r="D45" s="205" t="s">
        <v>2492</v>
      </c>
      <c r="E45" s="205" t="s">
        <v>2372</v>
      </c>
      <c r="F45" s="205" t="s">
        <v>2467</v>
      </c>
      <c r="G45" s="205" t="s">
        <v>2493</v>
      </c>
      <c r="H45" s="205"/>
      <c r="I45" s="204"/>
    </row>
    <row r="46" ht="19.5" customHeight="1">
      <c r="A46" s="205" t="s">
        <v>2463</v>
      </c>
      <c r="B46" s="205" t="s">
        <v>2488</v>
      </c>
      <c r="C46" s="205" t="s">
        <v>2494</v>
      </c>
      <c r="D46" s="205" t="s">
        <v>2495</v>
      </c>
      <c r="E46" s="205" t="s">
        <v>2372</v>
      </c>
      <c r="F46" s="205" t="s">
        <v>2496</v>
      </c>
      <c r="G46" s="205" t="s">
        <v>2497</v>
      </c>
      <c r="H46" s="205"/>
      <c r="I46" s="204"/>
    </row>
    <row r="47" ht="19.5" customHeight="1">
      <c r="A47" s="208" t="s">
        <v>2463</v>
      </c>
      <c r="B47" s="208" t="s">
        <v>2488</v>
      </c>
      <c r="C47" s="208" t="s">
        <v>2498</v>
      </c>
      <c r="D47" s="208" t="s">
        <v>2499</v>
      </c>
      <c r="E47" s="208" t="s">
        <v>2384</v>
      </c>
      <c r="F47" s="208" t="s">
        <v>2500</v>
      </c>
      <c r="G47" s="208" t="s">
        <v>2479</v>
      </c>
      <c r="H47" s="208"/>
      <c r="I47" s="204"/>
    </row>
    <row r="48" ht="19.5" customHeight="1">
      <c r="A48" s="203" t="s">
        <v>2501</v>
      </c>
      <c r="B48" s="203" t="s">
        <v>2502</v>
      </c>
      <c r="C48" s="203" t="s">
        <v>2503</v>
      </c>
      <c r="D48" s="203" t="s">
        <v>2504</v>
      </c>
      <c r="E48" s="203" t="s">
        <v>2372</v>
      </c>
      <c r="F48" s="203" t="s">
        <v>2487</v>
      </c>
      <c r="G48" s="203" t="s">
        <v>2453</v>
      </c>
      <c r="H48" s="203"/>
      <c r="I48" s="204"/>
    </row>
    <row r="49" ht="19.5" customHeight="1">
      <c r="A49" s="205" t="s">
        <v>2501</v>
      </c>
      <c r="B49" s="205" t="s">
        <v>2502</v>
      </c>
      <c r="C49" s="205" t="s">
        <v>2505</v>
      </c>
      <c r="D49" s="205" t="s">
        <v>2506</v>
      </c>
      <c r="E49" s="205" t="s">
        <v>2384</v>
      </c>
      <c r="F49" s="205" t="s">
        <v>2487</v>
      </c>
      <c r="G49" s="205" t="s">
        <v>2453</v>
      </c>
      <c r="H49" s="205"/>
      <c r="I49" s="204"/>
    </row>
    <row r="50" ht="19.5" customHeight="1">
      <c r="A50" s="208" t="s">
        <v>2501</v>
      </c>
      <c r="B50" s="208" t="s">
        <v>2502</v>
      </c>
      <c r="C50" s="208" t="s">
        <v>2507</v>
      </c>
      <c r="D50" s="208" t="s">
        <v>2508</v>
      </c>
      <c r="E50" s="208" t="s">
        <v>2384</v>
      </c>
      <c r="F50" s="208" t="s">
        <v>2373</v>
      </c>
      <c r="G50" s="208" t="s">
        <v>2453</v>
      </c>
      <c r="H50" s="208"/>
      <c r="I50" s="204"/>
    </row>
    <row r="51" ht="19.5" customHeight="1">
      <c r="A51" s="205" t="s">
        <v>2501</v>
      </c>
      <c r="B51" s="205" t="s">
        <v>2509</v>
      </c>
      <c r="C51" s="205" t="s">
        <v>2510</v>
      </c>
      <c r="D51" s="205" t="s">
        <v>2511</v>
      </c>
      <c r="E51" s="205" t="s">
        <v>2372</v>
      </c>
      <c r="F51" s="205" t="s">
        <v>2512</v>
      </c>
      <c r="G51" s="205" t="s">
        <v>2479</v>
      </c>
      <c r="H51" s="205"/>
      <c r="I51" s="204"/>
    </row>
    <row r="52" ht="19.5" customHeight="1">
      <c r="A52" s="205" t="s">
        <v>2501</v>
      </c>
      <c r="B52" s="205" t="s">
        <v>2509</v>
      </c>
      <c r="C52" s="205" t="s">
        <v>2513</v>
      </c>
      <c r="D52" s="205" t="s">
        <v>2514</v>
      </c>
      <c r="E52" s="205" t="s">
        <v>2384</v>
      </c>
      <c r="F52" s="205" t="s">
        <v>2373</v>
      </c>
      <c r="G52" s="205" t="s">
        <v>2479</v>
      </c>
      <c r="H52" s="205"/>
      <c r="I52" s="204"/>
    </row>
    <row r="53" ht="19.5" customHeight="1">
      <c r="A53" s="205" t="s">
        <v>2501</v>
      </c>
      <c r="B53" s="205" t="s">
        <v>2509</v>
      </c>
      <c r="C53" s="205" t="s">
        <v>2515</v>
      </c>
      <c r="D53" s="205" t="s">
        <v>2516</v>
      </c>
      <c r="E53" s="205" t="s">
        <v>2384</v>
      </c>
      <c r="F53" s="205" t="s">
        <v>2496</v>
      </c>
      <c r="G53" s="205" t="s">
        <v>2479</v>
      </c>
      <c r="H53" s="205"/>
      <c r="I53" s="204"/>
    </row>
    <row r="54" ht="19.5" customHeight="1">
      <c r="A54" s="208" t="s">
        <v>2501</v>
      </c>
      <c r="B54" s="208" t="s">
        <v>2509</v>
      </c>
      <c r="C54" s="208" t="s">
        <v>2517</v>
      </c>
      <c r="D54" s="208" t="s">
        <v>2518</v>
      </c>
      <c r="E54" s="208" t="s">
        <v>2372</v>
      </c>
      <c r="F54" s="208" t="s">
        <v>2373</v>
      </c>
      <c r="G54" s="208" t="s">
        <v>2479</v>
      </c>
      <c r="H54" s="208"/>
      <c r="I54" s="204"/>
    </row>
    <row r="55" ht="19.5" customHeight="1">
      <c r="A55" s="205" t="s">
        <v>2501</v>
      </c>
      <c r="B55" s="205" t="s">
        <v>2519</v>
      </c>
      <c r="C55" s="205" t="s">
        <v>2520</v>
      </c>
      <c r="D55" s="205" t="s">
        <v>2521</v>
      </c>
      <c r="E55" s="205" t="s">
        <v>2372</v>
      </c>
      <c r="F55" s="205" t="s">
        <v>2434</v>
      </c>
      <c r="G55" s="205" t="s">
        <v>2522</v>
      </c>
      <c r="H55" s="205"/>
      <c r="I55" s="204"/>
    </row>
    <row r="56" ht="19.5" customHeight="1">
      <c r="A56" s="205" t="s">
        <v>2501</v>
      </c>
      <c r="B56" s="205" t="s">
        <v>2519</v>
      </c>
      <c r="C56" s="205" t="s">
        <v>2523</v>
      </c>
      <c r="D56" s="205" t="s">
        <v>2524</v>
      </c>
      <c r="E56" s="205" t="s">
        <v>2384</v>
      </c>
      <c r="F56" s="205" t="s">
        <v>2487</v>
      </c>
      <c r="G56" s="205" t="s">
        <v>2453</v>
      </c>
      <c r="H56" s="205"/>
      <c r="I56" s="204"/>
    </row>
    <row r="57" ht="19.5" customHeight="1">
      <c r="A57" s="205" t="s">
        <v>2501</v>
      </c>
      <c r="B57" s="205" t="s">
        <v>2519</v>
      </c>
      <c r="C57" s="205" t="s">
        <v>2525</v>
      </c>
      <c r="D57" s="205" t="s">
        <v>2526</v>
      </c>
      <c r="E57" s="205" t="s">
        <v>2384</v>
      </c>
      <c r="F57" s="205" t="s">
        <v>2487</v>
      </c>
      <c r="G57" s="205" t="s">
        <v>2522</v>
      </c>
      <c r="H57" s="205"/>
      <c r="I57" s="204"/>
    </row>
    <row r="58" ht="19.5" customHeight="1">
      <c r="A58" s="208" t="s">
        <v>2501</v>
      </c>
      <c r="B58" s="208" t="s">
        <v>2519</v>
      </c>
      <c r="C58" s="208" t="s">
        <v>2527</v>
      </c>
      <c r="D58" s="208" t="s">
        <v>2528</v>
      </c>
      <c r="E58" s="208" t="s">
        <v>2384</v>
      </c>
      <c r="F58" s="208" t="s">
        <v>2373</v>
      </c>
      <c r="G58" s="208" t="s">
        <v>2453</v>
      </c>
      <c r="H58" s="208"/>
      <c r="I58" s="204"/>
    </row>
    <row r="59" ht="19.5" customHeight="1">
      <c r="A59" s="203" t="s">
        <v>2529</v>
      </c>
      <c r="B59" s="203" t="s">
        <v>2530</v>
      </c>
      <c r="C59" s="203" t="s">
        <v>2531</v>
      </c>
      <c r="D59" s="203" t="s">
        <v>2532</v>
      </c>
      <c r="E59" s="203" t="s">
        <v>2372</v>
      </c>
      <c r="F59" s="203" t="s">
        <v>2487</v>
      </c>
      <c r="G59" s="203" t="s">
        <v>2453</v>
      </c>
      <c r="H59" s="203"/>
      <c r="I59" s="204"/>
    </row>
    <row r="60" ht="19.5" customHeight="1">
      <c r="A60" s="205" t="s">
        <v>2529</v>
      </c>
      <c r="B60" s="205" t="s">
        <v>2530</v>
      </c>
      <c r="C60" s="205" t="s">
        <v>2533</v>
      </c>
      <c r="D60" s="205" t="s">
        <v>2534</v>
      </c>
      <c r="E60" s="205" t="s">
        <v>2384</v>
      </c>
      <c r="F60" s="205" t="s">
        <v>2487</v>
      </c>
      <c r="G60" s="205" t="s">
        <v>2453</v>
      </c>
      <c r="H60" s="205"/>
      <c r="I60" s="204"/>
    </row>
    <row r="61" ht="19.5" customHeight="1">
      <c r="A61" s="205" t="s">
        <v>2529</v>
      </c>
      <c r="B61" s="205" t="s">
        <v>2530</v>
      </c>
      <c r="C61" s="205" t="s">
        <v>2535</v>
      </c>
      <c r="D61" s="205" t="s">
        <v>2536</v>
      </c>
      <c r="E61" s="205" t="s">
        <v>2384</v>
      </c>
      <c r="F61" s="205" t="s">
        <v>2391</v>
      </c>
      <c r="G61" s="205" t="s">
        <v>2453</v>
      </c>
      <c r="H61" s="205"/>
      <c r="I61" s="204"/>
    </row>
    <row r="62" ht="19.5" customHeight="1">
      <c r="A62" s="208" t="s">
        <v>2529</v>
      </c>
      <c r="B62" s="208" t="s">
        <v>2537</v>
      </c>
      <c r="C62" s="208" t="s">
        <v>2538</v>
      </c>
      <c r="D62" s="208" t="s">
        <v>2539</v>
      </c>
      <c r="E62" s="208" t="s">
        <v>2441</v>
      </c>
      <c r="F62" s="208" t="s">
        <v>2387</v>
      </c>
      <c r="G62" s="208" t="s">
        <v>2453</v>
      </c>
      <c r="H62" s="208"/>
      <c r="I62" s="204"/>
    </row>
    <row r="63" ht="19.5" customHeight="1">
      <c r="A63" s="205" t="s">
        <v>2529</v>
      </c>
      <c r="B63" s="205" t="s">
        <v>2537</v>
      </c>
      <c r="C63" s="205" t="s">
        <v>2540</v>
      </c>
      <c r="D63" s="205" t="s">
        <v>2541</v>
      </c>
      <c r="E63" s="205" t="s">
        <v>2384</v>
      </c>
      <c r="F63" s="205" t="s">
        <v>2414</v>
      </c>
      <c r="G63" s="205" t="s">
        <v>2453</v>
      </c>
      <c r="H63" s="205"/>
      <c r="I63" s="204"/>
    </row>
    <row r="64" ht="19.5" customHeight="1">
      <c r="A64" s="205" t="s">
        <v>2529</v>
      </c>
      <c r="B64" s="205" t="s">
        <v>2537</v>
      </c>
      <c r="C64" s="205" t="s">
        <v>2542</v>
      </c>
      <c r="D64" s="205" t="s">
        <v>2543</v>
      </c>
      <c r="E64" s="205" t="s">
        <v>2441</v>
      </c>
      <c r="F64" s="205" t="s">
        <v>2496</v>
      </c>
      <c r="G64" s="205" t="s">
        <v>2453</v>
      </c>
      <c r="H64" s="205"/>
      <c r="I64" s="204"/>
    </row>
    <row r="65" ht="19.5" customHeight="1">
      <c r="A65" s="205" t="s">
        <v>2529</v>
      </c>
      <c r="B65" s="205" t="s">
        <v>2544</v>
      </c>
      <c r="C65" s="205" t="s">
        <v>2545</v>
      </c>
      <c r="D65" s="205" t="s">
        <v>2546</v>
      </c>
      <c r="E65" s="205" t="s">
        <v>2384</v>
      </c>
      <c r="F65" s="205" t="s">
        <v>2487</v>
      </c>
      <c r="G65" s="205" t="s">
        <v>2453</v>
      </c>
      <c r="H65" s="205"/>
      <c r="I65" s="204"/>
    </row>
    <row r="66" ht="19.5" customHeight="1">
      <c r="A66" s="205" t="s">
        <v>2529</v>
      </c>
      <c r="B66" s="205" t="s">
        <v>2544</v>
      </c>
      <c r="C66" s="205" t="s">
        <v>2547</v>
      </c>
      <c r="D66" s="205" t="s">
        <v>2548</v>
      </c>
      <c r="E66" s="205" t="s">
        <v>2372</v>
      </c>
      <c r="F66" s="205" t="s">
        <v>2496</v>
      </c>
      <c r="G66" s="205" t="s">
        <v>2453</v>
      </c>
      <c r="H66" s="205"/>
      <c r="I66" s="204"/>
    </row>
    <row r="67" ht="19.5" customHeight="1">
      <c r="A67" s="208" t="s">
        <v>2529</v>
      </c>
      <c r="B67" s="208" t="s">
        <v>2544</v>
      </c>
      <c r="C67" s="208" t="s">
        <v>2549</v>
      </c>
      <c r="D67" s="208" t="s">
        <v>2550</v>
      </c>
      <c r="E67" s="208" t="s">
        <v>2384</v>
      </c>
      <c r="F67" s="208" t="s">
        <v>2487</v>
      </c>
      <c r="G67" s="208" t="s">
        <v>2453</v>
      </c>
      <c r="H67" s="208"/>
      <c r="I67" s="204"/>
    </row>
    <row r="68" ht="19.5" customHeight="1">
      <c r="A68" s="203" t="s">
        <v>2551</v>
      </c>
      <c r="B68" s="203" t="s">
        <v>2552</v>
      </c>
      <c r="C68" s="203" t="s">
        <v>2553</v>
      </c>
      <c r="D68" s="203" t="s">
        <v>2554</v>
      </c>
      <c r="E68" s="203" t="s">
        <v>2372</v>
      </c>
      <c r="F68" s="203" t="s">
        <v>2467</v>
      </c>
      <c r="G68" s="203" t="s">
        <v>2404</v>
      </c>
      <c r="H68" s="203"/>
      <c r="I68" s="204"/>
    </row>
    <row r="69" ht="19.5" customHeight="1">
      <c r="A69" s="205" t="s">
        <v>2551</v>
      </c>
      <c r="B69" s="205" t="s">
        <v>2552</v>
      </c>
      <c r="C69" s="205" t="s">
        <v>2555</v>
      </c>
      <c r="D69" s="205" t="s">
        <v>2556</v>
      </c>
      <c r="E69" s="205" t="s">
        <v>2384</v>
      </c>
      <c r="F69" s="205" t="s">
        <v>2387</v>
      </c>
      <c r="G69" s="205" t="s">
        <v>2404</v>
      </c>
      <c r="H69" s="205"/>
      <c r="I69" s="204"/>
    </row>
    <row r="70" ht="19.5" customHeight="1">
      <c r="A70" s="205" t="s">
        <v>2551</v>
      </c>
      <c r="B70" s="205" t="s">
        <v>2552</v>
      </c>
      <c r="C70" s="205" t="s">
        <v>2557</v>
      </c>
      <c r="D70" s="205" t="s">
        <v>2558</v>
      </c>
      <c r="E70" s="205" t="s">
        <v>2372</v>
      </c>
      <c r="F70" s="205" t="s">
        <v>2387</v>
      </c>
      <c r="G70" s="205" t="s">
        <v>2404</v>
      </c>
      <c r="H70" s="205"/>
      <c r="I70" s="204"/>
    </row>
    <row r="71" ht="19.5" customHeight="1">
      <c r="A71" s="205" t="s">
        <v>2551</v>
      </c>
      <c r="B71" s="205" t="s">
        <v>2559</v>
      </c>
      <c r="C71" s="205" t="s">
        <v>2560</v>
      </c>
      <c r="D71" s="205" t="s">
        <v>2561</v>
      </c>
      <c r="E71" s="205" t="s">
        <v>2372</v>
      </c>
      <c r="F71" s="205" t="s">
        <v>2562</v>
      </c>
      <c r="G71" s="205" t="s">
        <v>2408</v>
      </c>
      <c r="H71" s="205"/>
      <c r="I71" s="204"/>
    </row>
    <row r="72" ht="19.5" customHeight="1">
      <c r="A72" s="205" t="s">
        <v>2551</v>
      </c>
      <c r="B72" s="205" t="s">
        <v>2559</v>
      </c>
      <c r="C72" s="205" t="s">
        <v>2563</v>
      </c>
      <c r="D72" s="205" t="s">
        <v>2564</v>
      </c>
      <c r="E72" s="205" t="s">
        <v>2384</v>
      </c>
      <c r="F72" s="205" t="s">
        <v>2565</v>
      </c>
      <c r="G72" s="205" t="s">
        <v>2408</v>
      </c>
      <c r="H72" s="205"/>
      <c r="I72" s="204"/>
    </row>
    <row r="73" ht="19.5" customHeight="1">
      <c r="A73" s="205" t="s">
        <v>2551</v>
      </c>
      <c r="B73" s="205" t="s">
        <v>2559</v>
      </c>
      <c r="C73" s="205" t="s">
        <v>2566</v>
      </c>
      <c r="D73" s="205" t="s">
        <v>2567</v>
      </c>
      <c r="E73" s="205" t="s">
        <v>2384</v>
      </c>
      <c r="F73" s="205" t="s">
        <v>2562</v>
      </c>
      <c r="G73" s="205" t="s">
        <v>2408</v>
      </c>
      <c r="H73" s="205"/>
      <c r="I73" s="204"/>
    </row>
    <row r="74" ht="19.5" customHeight="1">
      <c r="A74" s="208" t="s">
        <v>2551</v>
      </c>
      <c r="B74" s="208" t="s">
        <v>2559</v>
      </c>
      <c r="C74" s="208" t="s">
        <v>2568</v>
      </c>
      <c r="D74" s="208" t="s">
        <v>2569</v>
      </c>
      <c r="E74" s="208" t="s">
        <v>2441</v>
      </c>
      <c r="F74" s="208" t="s">
        <v>2373</v>
      </c>
      <c r="G74" s="208" t="s">
        <v>2408</v>
      </c>
      <c r="H74" s="208"/>
      <c r="I74" s="204"/>
    </row>
    <row r="75" ht="19.5" customHeight="1">
      <c r="A75" s="205" t="s">
        <v>2551</v>
      </c>
      <c r="B75" s="205" t="s">
        <v>2570</v>
      </c>
      <c r="C75" s="205" t="s">
        <v>2571</v>
      </c>
      <c r="D75" s="205" t="s">
        <v>2572</v>
      </c>
      <c r="E75" s="205" t="s">
        <v>2372</v>
      </c>
      <c r="F75" s="205" t="s">
        <v>2373</v>
      </c>
      <c r="G75" s="205" t="s">
        <v>2404</v>
      </c>
      <c r="H75" s="205"/>
      <c r="I75" s="204"/>
    </row>
    <row r="76" ht="19.5" customHeight="1">
      <c r="A76" s="205" t="s">
        <v>2551</v>
      </c>
      <c r="B76" s="205" t="s">
        <v>2570</v>
      </c>
      <c r="C76" s="205" t="s">
        <v>2573</v>
      </c>
      <c r="D76" s="205" t="s">
        <v>2574</v>
      </c>
      <c r="E76" s="205" t="s">
        <v>2384</v>
      </c>
      <c r="F76" s="205" t="s">
        <v>2387</v>
      </c>
      <c r="G76" s="205" t="s">
        <v>2404</v>
      </c>
      <c r="H76" s="205"/>
      <c r="I76" s="204"/>
    </row>
    <row r="77" ht="19.5" customHeight="1">
      <c r="A77" s="203" t="s">
        <v>2575</v>
      </c>
      <c r="B77" s="203" t="s">
        <v>2576</v>
      </c>
      <c r="C77" s="203" t="s">
        <v>2577</v>
      </c>
      <c r="D77" s="203" t="s">
        <v>2578</v>
      </c>
      <c r="E77" s="203" t="s">
        <v>2372</v>
      </c>
      <c r="F77" s="203" t="s">
        <v>2373</v>
      </c>
      <c r="G77" s="203" t="s">
        <v>2522</v>
      </c>
      <c r="H77" s="203"/>
      <c r="I77" s="204"/>
    </row>
    <row r="78" ht="19.5" customHeight="1">
      <c r="A78" s="205" t="s">
        <v>2575</v>
      </c>
      <c r="B78" s="205" t="s">
        <v>2576</v>
      </c>
      <c r="C78" s="205" t="s">
        <v>2579</v>
      </c>
      <c r="D78" s="205" t="s">
        <v>2580</v>
      </c>
      <c r="E78" s="205" t="s">
        <v>2372</v>
      </c>
      <c r="F78" s="205" t="s">
        <v>2373</v>
      </c>
      <c r="G78" s="205" t="s">
        <v>2522</v>
      </c>
      <c r="H78" s="205"/>
      <c r="I78" s="204"/>
    </row>
    <row r="79" ht="19.5" customHeight="1">
      <c r="A79" s="205" t="s">
        <v>2575</v>
      </c>
      <c r="B79" s="205" t="s">
        <v>2576</v>
      </c>
      <c r="C79" s="205" t="s">
        <v>2581</v>
      </c>
      <c r="D79" s="205" t="s">
        <v>2582</v>
      </c>
      <c r="E79" s="205" t="s">
        <v>2384</v>
      </c>
      <c r="F79" s="205" t="s">
        <v>2373</v>
      </c>
      <c r="G79" s="205" t="s">
        <v>2522</v>
      </c>
      <c r="H79" s="205"/>
      <c r="I79" s="204"/>
    </row>
    <row r="80" ht="19.5" customHeight="1">
      <c r="A80" s="205" t="s">
        <v>2575</v>
      </c>
      <c r="B80" s="205" t="s">
        <v>2583</v>
      </c>
      <c r="C80" s="205" t="s">
        <v>2584</v>
      </c>
      <c r="D80" s="205" t="s">
        <v>2585</v>
      </c>
      <c r="E80" s="205" t="s">
        <v>2372</v>
      </c>
      <c r="F80" s="205" t="s">
        <v>2391</v>
      </c>
      <c r="G80" s="205" t="s">
        <v>2522</v>
      </c>
      <c r="H80" s="205"/>
      <c r="I80" s="204"/>
    </row>
    <row r="81" ht="19.5" customHeight="1">
      <c r="A81" s="205" t="s">
        <v>2575</v>
      </c>
      <c r="B81" s="205" t="s">
        <v>2583</v>
      </c>
      <c r="C81" s="205" t="s">
        <v>2586</v>
      </c>
      <c r="D81" s="205" t="s">
        <v>2587</v>
      </c>
      <c r="E81" s="205" t="s">
        <v>2372</v>
      </c>
      <c r="F81" s="205" t="s">
        <v>2373</v>
      </c>
      <c r="G81" s="205" t="s">
        <v>2588</v>
      </c>
      <c r="H81" s="205"/>
      <c r="I81" s="204"/>
    </row>
    <row r="82" ht="19.5" customHeight="1">
      <c r="A82" s="208" t="s">
        <v>2575</v>
      </c>
      <c r="B82" s="208" t="s">
        <v>2583</v>
      </c>
      <c r="C82" s="208" t="s">
        <v>2589</v>
      </c>
      <c r="D82" s="208" t="s">
        <v>2590</v>
      </c>
      <c r="E82" s="208" t="s">
        <v>2384</v>
      </c>
      <c r="F82" s="208" t="s">
        <v>2373</v>
      </c>
      <c r="G82" s="208" t="s">
        <v>2522</v>
      </c>
      <c r="H82" s="208"/>
      <c r="I82" s="204"/>
    </row>
    <row r="83" ht="19.5" customHeight="1">
      <c r="A83" s="205" t="s">
        <v>2575</v>
      </c>
      <c r="B83" s="205" t="s">
        <v>2591</v>
      </c>
      <c r="C83" s="205" t="s">
        <v>2592</v>
      </c>
      <c r="D83" s="205" t="s">
        <v>2593</v>
      </c>
      <c r="E83" s="205" t="s">
        <v>2372</v>
      </c>
      <c r="F83" s="205" t="s">
        <v>2373</v>
      </c>
      <c r="G83" s="205" t="s">
        <v>2588</v>
      </c>
      <c r="H83" s="205"/>
      <c r="I83" s="204"/>
    </row>
    <row r="84" ht="19.5" customHeight="1">
      <c r="A84" s="205" t="s">
        <v>2575</v>
      </c>
      <c r="B84" s="205" t="s">
        <v>2591</v>
      </c>
      <c r="C84" s="206" t="s">
        <v>2594</v>
      </c>
      <c r="D84" s="205" t="s">
        <v>2595</v>
      </c>
      <c r="E84" s="205" t="s">
        <v>2372</v>
      </c>
      <c r="F84" s="205" t="s">
        <v>2391</v>
      </c>
      <c r="G84" s="205" t="s">
        <v>2588</v>
      </c>
      <c r="H84" s="205"/>
      <c r="I84" s="204"/>
    </row>
    <row r="85" ht="19.5" customHeight="1">
      <c r="A85" s="203" t="s">
        <v>2596</v>
      </c>
      <c r="B85" s="203" t="s">
        <v>2597</v>
      </c>
      <c r="C85" s="203" t="s">
        <v>2598</v>
      </c>
      <c r="D85" s="203" t="s">
        <v>2599</v>
      </c>
      <c r="E85" s="203" t="s">
        <v>2372</v>
      </c>
      <c r="F85" s="203" t="s">
        <v>2373</v>
      </c>
      <c r="G85" s="203" t="s">
        <v>2479</v>
      </c>
      <c r="H85" s="203"/>
      <c r="I85" s="204"/>
    </row>
    <row r="86" ht="19.5" customHeight="1">
      <c r="A86" s="205" t="s">
        <v>2596</v>
      </c>
      <c r="B86" s="205" t="s">
        <v>2597</v>
      </c>
      <c r="C86" s="205" t="s">
        <v>2600</v>
      </c>
      <c r="D86" s="205" t="s">
        <v>2601</v>
      </c>
      <c r="E86" s="205" t="s">
        <v>2384</v>
      </c>
      <c r="F86" s="205" t="s">
        <v>2602</v>
      </c>
      <c r="G86" s="205" t="s">
        <v>41</v>
      </c>
      <c r="H86" s="205"/>
      <c r="I86" s="204"/>
    </row>
    <row r="87" ht="19.5" customHeight="1">
      <c r="A87" s="208" t="s">
        <v>2596</v>
      </c>
      <c r="B87" s="208" t="s">
        <v>2597</v>
      </c>
      <c r="C87" s="208" t="s">
        <v>2603</v>
      </c>
      <c r="D87" s="208" t="s">
        <v>2604</v>
      </c>
      <c r="E87" s="208" t="s">
        <v>2384</v>
      </c>
      <c r="F87" s="208" t="s">
        <v>2387</v>
      </c>
      <c r="G87" s="208" t="s">
        <v>2378</v>
      </c>
      <c r="H87" s="208"/>
      <c r="I87" s="204"/>
    </row>
    <row r="88" ht="19.5" customHeight="1">
      <c r="A88" s="205" t="s">
        <v>2596</v>
      </c>
      <c r="B88" s="205" t="s">
        <v>2605</v>
      </c>
      <c r="C88" s="205" t="s">
        <v>2606</v>
      </c>
      <c r="D88" s="205" t="s">
        <v>2607</v>
      </c>
      <c r="E88" s="205" t="s">
        <v>2372</v>
      </c>
      <c r="F88" s="205" t="s">
        <v>2434</v>
      </c>
      <c r="G88" s="205" t="s">
        <v>1956</v>
      </c>
      <c r="H88" s="205"/>
      <c r="I88" s="204"/>
    </row>
    <row r="89" ht="19.5" customHeight="1">
      <c r="A89" s="205" t="s">
        <v>2596</v>
      </c>
      <c r="B89" s="205" t="s">
        <v>2605</v>
      </c>
      <c r="C89" s="205" t="s">
        <v>2608</v>
      </c>
      <c r="D89" s="205" t="s">
        <v>2609</v>
      </c>
      <c r="E89" s="205" t="s">
        <v>2384</v>
      </c>
      <c r="F89" s="205" t="s">
        <v>2387</v>
      </c>
      <c r="G89" s="205" t="s">
        <v>2378</v>
      </c>
      <c r="H89" s="205"/>
      <c r="I89" s="204"/>
    </row>
    <row r="90" ht="19.5" customHeight="1">
      <c r="A90" s="205" t="s">
        <v>2596</v>
      </c>
      <c r="B90" s="205" t="s">
        <v>2610</v>
      </c>
      <c r="C90" s="205" t="s">
        <v>2611</v>
      </c>
      <c r="D90" s="205" t="s">
        <v>2612</v>
      </c>
      <c r="E90" s="205" t="s">
        <v>2372</v>
      </c>
      <c r="F90" s="205" t="s">
        <v>2512</v>
      </c>
      <c r="G90" s="205" t="s">
        <v>2374</v>
      </c>
      <c r="H90" s="205"/>
      <c r="I90" s="204"/>
    </row>
    <row r="91" ht="19.5" customHeight="1">
      <c r="A91" s="203" t="s">
        <v>2613</v>
      </c>
      <c r="B91" s="203" t="s">
        <v>2614</v>
      </c>
      <c r="C91" s="203" t="s">
        <v>2615</v>
      </c>
      <c r="D91" s="203" t="s">
        <v>2616</v>
      </c>
      <c r="E91" s="203" t="s">
        <v>2372</v>
      </c>
      <c r="F91" s="203" t="s">
        <v>2434</v>
      </c>
      <c r="G91" s="203" t="s">
        <v>41</v>
      </c>
      <c r="H91" s="203"/>
      <c r="I91" s="204"/>
    </row>
    <row r="92" ht="19.5" customHeight="1">
      <c r="A92" s="208" t="s">
        <v>2613</v>
      </c>
      <c r="B92" s="208" t="s">
        <v>2614</v>
      </c>
      <c r="C92" s="208" t="s">
        <v>2617</v>
      </c>
      <c r="D92" s="208" t="s">
        <v>2618</v>
      </c>
      <c r="E92" s="208" t="s">
        <v>2441</v>
      </c>
      <c r="F92" s="208" t="s">
        <v>2373</v>
      </c>
      <c r="G92" s="208" t="s">
        <v>1956</v>
      </c>
      <c r="H92" s="208"/>
      <c r="I92" s="204"/>
    </row>
    <row r="93" ht="19.5" customHeight="1">
      <c r="A93" s="205" t="s">
        <v>2613</v>
      </c>
      <c r="B93" s="205" t="s">
        <v>2619</v>
      </c>
      <c r="C93" s="205" t="s">
        <v>2620</v>
      </c>
      <c r="D93" s="205" t="s">
        <v>2621</v>
      </c>
      <c r="E93" s="205" t="s">
        <v>2372</v>
      </c>
      <c r="F93" s="205" t="s">
        <v>2622</v>
      </c>
      <c r="G93" s="205" t="s">
        <v>1956</v>
      </c>
      <c r="H93" s="205"/>
      <c r="I93" s="204"/>
    </row>
    <row r="94" ht="19.5" customHeight="1">
      <c r="A94" s="205" t="s">
        <v>2613</v>
      </c>
      <c r="B94" s="205" t="s">
        <v>2619</v>
      </c>
      <c r="C94" s="205" t="s">
        <v>2623</v>
      </c>
      <c r="D94" s="205" t="s">
        <v>2624</v>
      </c>
      <c r="E94" s="205" t="s">
        <v>2384</v>
      </c>
      <c r="F94" s="205" t="s">
        <v>2387</v>
      </c>
      <c r="G94" s="205" t="s">
        <v>1956</v>
      </c>
      <c r="H94" s="205"/>
      <c r="I94" s="204"/>
    </row>
    <row r="95" ht="19.5" customHeight="1">
      <c r="A95" s="208" t="s">
        <v>2613</v>
      </c>
      <c r="B95" s="208" t="s">
        <v>2619</v>
      </c>
      <c r="C95" s="208" t="s">
        <v>2625</v>
      </c>
      <c r="D95" s="208" t="s">
        <v>2626</v>
      </c>
      <c r="E95" s="208" t="s">
        <v>2384</v>
      </c>
      <c r="F95" s="208" t="s">
        <v>2622</v>
      </c>
      <c r="G95" s="208" t="s">
        <v>1956</v>
      </c>
      <c r="H95" s="208"/>
      <c r="I95" s="204"/>
    </row>
    <row r="96" ht="19.5" customHeight="1">
      <c r="A96" s="205" t="s">
        <v>2613</v>
      </c>
      <c r="B96" s="205" t="s">
        <v>2627</v>
      </c>
      <c r="C96" s="205" t="s">
        <v>2628</v>
      </c>
      <c r="D96" s="205" t="s">
        <v>2629</v>
      </c>
      <c r="E96" s="205" t="s">
        <v>2372</v>
      </c>
      <c r="F96" s="205" t="s">
        <v>2434</v>
      </c>
      <c r="G96" s="205" t="s">
        <v>41</v>
      </c>
      <c r="H96" s="205"/>
      <c r="I96" s="204"/>
    </row>
    <row r="97" ht="19.5" customHeight="1">
      <c r="A97" s="205" t="s">
        <v>2613</v>
      </c>
      <c r="B97" s="205" t="s">
        <v>2627</v>
      </c>
      <c r="C97" s="205" t="s">
        <v>2630</v>
      </c>
      <c r="D97" s="205" t="s">
        <v>2631</v>
      </c>
      <c r="E97" s="205" t="s">
        <v>2384</v>
      </c>
      <c r="F97" s="205" t="s">
        <v>2632</v>
      </c>
      <c r="G97" s="205" t="s">
        <v>2468</v>
      </c>
      <c r="H97" s="205"/>
      <c r="I97" s="204"/>
    </row>
    <row r="98" ht="19.5" customHeight="1">
      <c r="A98" s="205" t="s">
        <v>2613</v>
      </c>
      <c r="B98" s="205" t="s">
        <v>2627</v>
      </c>
      <c r="C98" s="205" t="s">
        <v>2633</v>
      </c>
      <c r="D98" s="205" t="s">
        <v>2634</v>
      </c>
      <c r="E98" s="205" t="s">
        <v>2384</v>
      </c>
      <c r="F98" s="205" t="s">
        <v>2373</v>
      </c>
      <c r="G98" s="205" t="s">
        <v>2522</v>
      </c>
      <c r="H98" s="205"/>
      <c r="I98" s="204"/>
    </row>
    <row r="99" ht="19.5" customHeight="1">
      <c r="A99" s="203" t="s">
        <v>2635</v>
      </c>
      <c r="B99" s="203" t="s">
        <v>2479</v>
      </c>
      <c r="C99" s="203" t="s">
        <v>2636</v>
      </c>
      <c r="D99" s="203" t="s">
        <v>2637</v>
      </c>
      <c r="E99" s="203" t="s">
        <v>2372</v>
      </c>
      <c r="F99" s="203" t="s">
        <v>2391</v>
      </c>
      <c r="G99" s="203" t="s">
        <v>2378</v>
      </c>
      <c r="H99" s="203"/>
      <c r="I99" s="204"/>
    </row>
    <row r="100" ht="19.5" customHeight="1">
      <c r="A100" s="205" t="s">
        <v>2635</v>
      </c>
      <c r="B100" s="205" t="s">
        <v>2479</v>
      </c>
      <c r="C100" s="205" t="s">
        <v>2638</v>
      </c>
      <c r="D100" s="205" t="s">
        <v>2639</v>
      </c>
      <c r="E100" s="205" t="s">
        <v>2372</v>
      </c>
      <c r="F100" s="205" t="s">
        <v>2377</v>
      </c>
      <c r="G100" s="205" t="s">
        <v>2378</v>
      </c>
      <c r="H100" s="205"/>
      <c r="I100" s="204"/>
    </row>
    <row r="101" ht="19.5" customHeight="1">
      <c r="A101" s="205" t="s">
        <v>2635</v>
      </c>
      <c r="B101" s="205" t="s">
        <v>2479</v>
      </c>
      <c r="C101" s="205" t="s">
        <v>2640</v>
      </c>
      <c r="D101" s="205" t="s">
        <v>2641</v>
      </c>
      <c r="E101" s="205" t="s">
        <v>2384</v>
      </c>
      <c r="F101" s="205" t="s">
        <v>2387</v>
      </c>
      <c r="G101" s="205" t="s">
        <v>2378</v>
      </c>
      <c r="H101" s="205"/>
      <c r="I101" s="204"/>
    </row>
    <row r="102" ht="19.5" customHeight="1">
      <c r="A102" s="205" t="s">
        <v>2635</v>
      </c>
      <c r="B102" s="205" t="s">
        <v>2493</v>
      </c>
      <c r="C102" s="205" t="s">
        <v>2642</v>
      </c>
      <c r="D102" s="205" t="s">
        <v>2643</v>
      </c>
      <c r="E102" s="205" t="s">
        <v>2372</v>
      </c>
      <c r="F102" s="205" t="s">
        <v>2373</v>
      </c>
      <c r="G102" s="205" t="s">
        <v>2378</v>
      </c>
      <c r="H102" s="205"/>
      <c r="I102" s="204"/>
    </row>
    <row r="103" ht="19.5" customHeight="1">
      <c r="A103" s="205" t="s">
        <v>2635</v>
      </c>
      <c r="B103" s="205" t="s">
        <v>2493</v>
      </c>
      <c r="C103" s="205" t="s">
        <v>2644</v>
      </c>
      <c r="D103" s="205" t="s">
        <v>2645</v>
      </c>
      <c r="E103" s="205" t="s">
        <v>2384</v>
      </c>
      <c r="F103" s="205" t="s">
        <v>2387</v>
      </c>
      <c r="G103" s="205" t="s">
        <v>2408</v>
      </c>
      <c r="H103" s="205"/>
      <c r="I103" s="204"/>
    </row>
    <row r="104" ht="19.5" customHeight="1">
      <c r="A104" s="208" t="s">
        <v>2635</v>
      </c>
      <c r="B104" s="208" t="s">
        <v>2646</v>
      </c>
      <c r="C104" s="208" t="s">
        <v>2647</v>
      </c>
      <c r="D104" s="208" t="s">
        <v>2648</v>
      </c>
      <c r="E104" s="208" t="s">
        <v>2441</v>
      </c>
      <c r="F104" s="208" t="s">
        <v>2414</v>
      </c>
      <c r="G104" s="208" t="s">
        <v>2378</v>
      </c>
      <c r="H104" s="208"/>
      <c r="I104" s="204"/>
    </row>
    <row r="105" ht="19.5" customHeight="1">
      <c r="A105" s="208" t="s">
        <v>2635</v>
      </c>
      <c r="B105" s="208" t="s">
        <v>2646</v>
      </c>
      <c r="C105" s="208" t="s">
        <v>2649</v>
      </c>
      <c r="D105" s="208" t="s">
        <v>2650</v>
      </c>
      <c r="E105" s="208" t="s">
        <v>2651</v>
      </c>
      <c r="F105" s="208" t="s">
        <v>2414</v>
      </c>
      <c r="G105" s="208" t="s">
        <v>2378</v>
      </c>
      <c r="H105" s="208"/>
      <c r="I105" s="204"/>
    </row>
    <row r="106" ht="19.5" customHeight="1">
      <c r="A106" s="203" t="s">
        <v>2652</v>
      </c>
      <c r="B106" s="203" t="s">
        <v>2105</v>
      </c>
      <c r="C106" s="203" t="s">
        <v>2653</v>
      </c>
      <c r="D106" s="203" t="s">
        <v>2654</v>
      </c>
      <c r="E106" s="203" t="s">
        <v>2372</v>
      </c>
      <c r="F106" s="203" t="s">
        <v>2450</v>
      </c>
      <c r="G106" s="203" t="s">
        <v>2442</v>
      </c>
      <c r="H106" s="203"/>
      <c r="I106" s="204"/>
    </row>
    <row r="107" ht="19.5" customHeight="1">
      <c r="A107" s="205" t="s">
        <v>2652</v>
      </c>
      <c r="B107" s="205" t="s">
        <v>2105</v>
      </c>
      <c r="C107" s="205" t="s">
        <v>2655</v>
      </c>
      <c r="D107" s="205" t="s">
        <v>2656</v>
      </c>
      <c r="E107" s="205" t="s">
        <v>2384</v>
      </c>
      <c r="F107" s="205" t="s">
        <v>2657</v>
      </c>
      <c r="G107" s="205" t="s">
        <v>2442</v>
      </c>
      <c r="H107" s="205"/>
      <c r="I107" s="204"/>
    </row>
    <row r="108" ht="19.5" customHeight="1">
      <c r="A108" s="205" t="s">
        <v>2652</v>
      </c>
      <c r="B108" s="205" t="s">
        <v>2105</v>
      </c>
      <c r="C108" s="205" t="s">
        <v>2658</v>
      </c>
      <c r="D108" s="205" t="s">
        <v>2659</v>
      </c>
      <c r="E108" s="205" t="s">
        <v>2384</v>
      </c>
      <c r="F108" s="205" t="s">
        <v>2657</v>
      </c>
      <c r="G108" s="205" t="s">
        <v>2442</v>
      </c>
      <c r="H108" s="205"/>
      <c r="I108" s="204"/>
    </row>
    <row r="109" ht="19.5" customHeight="1">
      <c r="A109" s="208" t="s">
        <v>2652</v>
      </c>
      <c r="B109" s="208" t="s">
        <v>2660</v>
      </c>
      <c r="C109" s="208" t="s">
        <v>2661</v>
      </c>
      <c r="D109" s="208" t="s">
        <v>2662</v>
      </c>
      <c r="E109" s="208" t="s">
        <v>2441</v>
      </c>
      <c r="F109" s="208" t="s">
        <v>2373</v>
      </c>
      <c r="G109" s="208" t="s">
        <v>2442</v>
      </c>
      <c r="H109" s="208"/>
      <c r="I109" s="204"/>
    </row>
    <row r="110" ht="19.5" customHeight="1">
      <c r="A110" s="208" t="s">
        <v>2652</v>
      </c>
      <c r="B110" s="208" t="s">
        <v>2660</v>
      </c>
      <c r="C110" s="208" t="s">
        <v>2663</v>
      </c>
      <c r="D110" s="208" t="s">
        <v>2664</v>
      </c>
      <c r="E110" s="208" t="s">
        <v>2441</v>
      </c>
      <c r="F110" s="208" t="s">
        <v>2387</v>
      </c>
      <c r="G110" s="208" t="s">
        <v>2442</v>
      </c>
      <c r="H110" s="208"/>
      <c r="I110" s="204"/>
    </row>
    <row r="111" ht="19.5" customHeight="1">
      <c r="A111" s="208" t="s">
        <v>2652</v>
      </c>
      <c r="B111" s="208" t="s">
        <v>2665</v>
      </c>
      <c r="C111" s="208" t="s">
        <v>2666</v>
      </c>
      <c r="D111" s="208" t="s">
        <v>2667</v>
      </c>
      <c r="E111" s="208" t="s">
        <v>2651</v>
      </c>
      <c r="F111" s="208" t="s">
        <v>2391</v>
      </c>
      <c r="G111" s="208" t="s">
        <v>2442</v>
      </c>
      <c r="H111" s="208"/>
      <c r="I111" s="204"/>
    </row>
    <row r="112" ht="19.5" customHeight="1">
      <c r="A112" s="203" t="s">
        <v>2668</v>
      </c>
      <c r="B112" s="203" t="s">
        <v>2669</v>
      </c>
      <c r="C112" s="203" t="s">
        <v>2670</v>
      </c>
      <c r="D112" s="203" t="s">
        <v>2671</v>
      </c>
      <c r="E112" s="203" t="s">
        <v>2372</v>
      </c>
      <c r="F112" s="203" t="s">
        <v>2391</v>
      </c>
      <c r="G112" s="203" t="s">
        <v>2408</v>
      </c>
      <c r="H112" s="203"/>
      <c r="I112" s="204"/>
    </row>
    <row r="113" ht="19.5" customHeight="1">
      <c r="A113" s="205" t="s">
        <v>2668</v>
      </c>
      <c r="B113" s="205" t="s">
        <v>2669</v>
      </c>
      <c r="C113" s="205" t="s">
        <v>2672</v>
      </c>
      <c r="D113" s="205" t="s">
        <v>2673</v>
      </c>
      <c r="E113" s="205" t="s">
        <v>2384</v>
      </c>
      <c r="F113" s="205" t="s">
        <v>2373</v>
      </c>
      <c r="G113" s="205" t="s">
        <v>2408</v>
      </c>
      <c r="H113" s="205"/>
      <c r="I113" s="204"/>
    </row>
    <row r="114" ht="19.5" customHeight="1">
      <c r="A114" s="205" t="s">
        <v>2668</v>
      </c>
      <c r="B114" s="205" t="s">
        <v>2669</v>
      </c>
      <c r="C114" s="205" t="s">
        <v>2674</v>
      </c>
      <c r="D114" s="205" t="s">
        <v>2675</v>
      </c>
      <c r="E114" s="205" t="s">
        <v>2384</v>
      </c>
      <c r="F114" s="205" t="s">
        <v>2373</v>
      </c>
      <c r="G114" s="205" t="s">
        <v>2453</v>
      </c>
      <c r="H114" s="205"/>
      <c r="I114" s="204"/>
    </row>
    <row r="115" ht="19.5" customHeight="1">
      <c r="A115" s="208" t="s">
        <v>2668</v>
      </c>
      <c r="B115" s="208" t="s">
        <v>2669</v>
      </c>
      <c r="C115" s="208" t="s">
        <v>2676</v>
      </c>
      <c r="D115" s="208" t="s">
        <v>2677</v>
      </c>
      <c r="E115" s="208" t="s">
        <v>2441</v>
      </c>
      <c r="F115" s="208" t="s">
        <v>2387</v>
      </c>
      <c r="G115" s="208" t="s">
        <v>2408</v>
      </c>
      <c r="H115" s="208"/>
      <c r="I115" s="204"/>
    </row>
    <row r="116" ht="19.5" customHeight="1">
      <c r="A116" s="208" t="s">
        <v>2668</v>
      </c>
      <c r="B116" s="208" t="s">
        <v>2669</v>
      </c>
      <c r="C116" s="208" t="s">
        <v>2678</v>
      </c>
      <c r="D116" s="208" t="s">
        <v>2679</v>
      </c>
      <c r="E116" s="208" t="s">
        <v>2441</v>
      </c>
      <c r="F116" s="208" t="s">
        <v>2387</v>
      </c>
      <c r="G116" s="208" t="s">
        <v>2408</v>
      </c>
      <c r="H116" s="208"/>
      <c r="I116" s="204"/>
    </row>
    <row r="117" ht="19.5" customHeight="1">
      <c r="A117" s="208" t="s">
        <v>2668</v>
      </c>
      <c r="B117" s="208" t="s">
        <v>2669</v>
      </c>
      <c r="C117" s="208" t="s">
        <v>2680</v>
      </c>
      <c r="D117" s="208" t="s">
        <v>2681</v>
      </c>
      <c r="E117" s="208" t="s">
        <v>2384</v>
      </c>
      <c r="F117" s="208" t="s">
        <v>2373</v>
      </c>
      <c r="G117" s="208" t="s">
        <v>2408</v>
      </c>
      <c r="H117" s="208"/>
      <c r="I117" s="204"/>
    </row>
    <row r="118" ht="19.5" customHeight="1">
      <c r="A118" s="205" t="s">
        <v>2668</v>
      </c>
      <c r="B118" s="205" t="s">
        <v>2682</v>
      </c>
      <c r="C118" s="205" t="s">
        <v>2683</v>
      </c>
      <c r="D118" s="205" t="s">
        <v>2684</v>
      </c>
      <c r="E118" s="205" t="s">
        <v>2372</v>
      </c>
      <c r="F118" s="205" t="s">
        <v>2391</v>
      </c>
      <c r="G118" s="205" t="s">
        <v>2408</v>
      </c>
      <c r="H118" s="205"/>
      <c r="I118" s="204"/>
    </row>
    <row r="119" ht="19.5" customHeight="1">
      <c r="A119" s="205" t="s">
        <v>2668</v>
      </c>
      <c r="B119" s="205" t="s">
        <v>2682</v>
      </c>
      <c r="C119" s="205" t="s">
        <v>2685</v>
      </c>
      <c r="D119" s="205" t="s">
        <v>2686</v>
      </c>
      <c r="E119" s="205" t="s">
        <v>2384</v>
      </c>
      <c r="F119" s="205" t="s">
        <v>2373</v>
      </c>
      <c r="G119" s="205" t="s">
        <v>2408</v>
      </c>
      <c r="H119" s="205"/>
      <c r="I119" s="204"/>
    </row>
    <row r="120" ht="19.5" customHeight="1">
      <c r="A120" s="205" t="s">
        <v>2668</v>
      </c>
      <c r="B120" s="205" t="s">
        <v>2682</v>
      </c>
      <c r="C120" s="205" t="s">
        <v>2687</v>
      </c>
      <c r="D120" s="205" t="s">
        <v>2688</v>
      </c>
      <c r="E120" s="205" t="s">
        <v>2372</v>
      </c>
      <c r="F120" s="205" t="s">
        <v>2387</v>
      </c>
      <c r="G120" s="205" t="s">
        <v>2378</v>
      </c>
      <c r="H120" s="205"/>
      <c r="I120" s="204"/>
    </row>
    <row r="121" ht="19.5" customHeight="1">
      <c r="A121" s="208" t="s">
        <v>2668</v>
      </c>
      <c r="B121" s="208" t="s">
        <v>2682</v>
      </c>
      <c r="C121" s="208" t="s">
        <v>2689</v>
      </c>
      <c r="D121" s="208" t="s">
        <v>2690</v>
      </c>
      <c r="E121" s="208" t="s">
        <v>2441</v>
      </c>
      <c r="F121" s="208" t="s">
        <v>2373</v>
      </c>
      <c r="G121" s="208" t="s">
        <v>41</v>
      </c>
      <c r="H121" s="208"/>
      <c r="I121" s="204"/>
    </row>
    <row r="122" ht="19.5" customHeight="1">
      <c r="A122" s="208" t="s">
        <v>2691</v>
      </c>
      <c r="B122" s="208" t="s">
        <v>2692</v>
      </c>
      <c r="C122" s="208" t="s">
        <v>2693</v>
      </c>
      <c r="D122" s="208" t="s">
        <v>2694</v>
      </c>
      <c r="E122" s="208" t="s">
        <v>2372</v>
      </c>
      <c r="F122" s="208" t="s">
        <v>2695</v>
      </c>
      <c r="G122" s="208" t="s">
        <v>41</v>
      </c>
      <c r="H122" s="208"/>
      <c r="I122" s="204"/>
    </row>
    <row r="123" ht="19.5" customHeight="1">
      <c r="A123" s="208" t="s">
        <v>2691</v>
      </c>
      <c r="B123" s="208" t="s">
        <v>2692</v>
      </c>
      <c r="C123" s="208" t="s">
        <v>2696</v>
      </c>
      <c r="D123" s="208" t="s">
        <v>2697</v>
      </c>
      <c r="E123" s="208" t="s">
        <v>2372</v>
      </c>
      <c r="F123" s="208" t="s">
        <v>2695</v>
      </c>
      <c r="G123" s="208" t="s">
        <v>41</v>
      </c>
      <c r="H123" s="208"/>
      <c r="I123" s="204"/>
    </row>
    <row r="124" ht="19.5" customHeight="1">
      <c r="A124" s="208" t="s">
        <v>2691</v>
      </c>
      <c r="B124" s="208" t="s">
        <v>2692</v>
      </c>
      <c r="C124" s="208" t="s">
        <v>2698</v>
      </c>
      <c r="D124" s="208" t="s">
        <v>2699</v>
      </c>
      <c r="E124" s="208" t="s">
        <v>2372</v>
      </c>
      <c r="F124" s="208" t="s">
        <v>2695</v>
      </c>
      <c r="G124" s="208" t="s">
        <v>41</v>
      </c>
      <c r="H124" s="208"/>
      <c r="I124" s="204"/>
    </row>
    <row r="125" ht="19.5" customHeight="1">
      <c r="A125" s="208" t="s">
        <v>2691</v>
      </c>
      <c r="B125" s="208" t="s">
        <v>2692</v>
      </c>
      <c r="C125" s="208" t="s">
        <v>2700</v>
      </c>
      <c r="D125" s="208" t="s">
        <v>2701</v>
      </c>
      <c r="E125" s="208" t="s">
        <v>2372</v>
      </c>
      <c r="F125" s="208" t="s">
        <v>2695</v>
      </c>
      <c r="G125" s="208" t="s">
        <v>2453</v>
      </c>
      <c r="H125" s="208"/>
      <c r="I125" s="204"/>
    </row>
    <row r="126" ht="19.5" customHeight="1">
      <c r="A126" s="208" t="s">
        <v>2691</v>
      </c>
      <c r="B126" s="208" t="s">
        <v>2702</v>
      </c>
      <c r="C126" s="208" t="s">
        <v>2703</v>
      </c>
      <c r="D126" s="208" t="s">
        <v>2704</v>
      </c>
      <c r="E126" s="208" t="s">
        <v>2372</v>
      </c>
      <c r="F126" s="208" t="s">
        <v>2705</v>
      </c>
      <c r="G126" s="208" t="s">
        <v>41</v>
      </c>
      <c r="H126" s="208"/>
      <c r="I126" s="204"/>
    </row>
    <row r="127" ht="19.5" customHeight="1">
      <c r="A127" s="208" t="s">
        <v>2691</v>
      </c>
      <c r="B127" s="208" t="s">
        <v>2702</v>
      </c>
      <c r="C127" s="208" t="s">
        <v>2706</v>
      </c>
      <c r="D127" s="208" t="s">
        <v>2707</v>
      </c>
      <c r="E127" s="208" t="s">
        <v>2384</v>
      </c>
      <c r="F127" s="208" t="s">
        <v>2496</v>
      </c>
      <c r="G127" s="208" t="s">
        <v>41</v>
      </c>
      <c r="H127" s="208"/>
      <c r="I127" s="204"/>
    </row>
    <row r="128" ht="19.5" customHeight="1">
      <c r="A128" s="208" t="s">
        <v>2691</v>
      </c>
      <c r="B128" s="208" t="s">
        <v>2702</v>
      </c>
      <c r="C128" s="208" t="s">
        <v>2708</v>
      </c>
      <c r="D128" s="208" t="s">
        <v>2709</v>
      </c>
      <c r="E128" s="208" t="s">
        <v>2384</v>
      </c>
      <c r="F128" s="208" t="s">
        <v>2496</v>
      </c>
      <c r="G128" s="208" t="s">
        <v>2453</v>
      </c>
      <c r="H128" s="208"/>
      <c r="I128" s="204"/>
    </row>
    <row r="129" ht="19.5" customHeight="1">
      <c r="A129" s="208" t="s">
        <v>2691</v>
      </c>
      <c r="B129" s="208" t="s">
        <v>2710</v>
      </c>
      <c r="C129" s="208" t="s">
        <v>2711</v>
      </c>
      <c r="D129" s="208" t="s">
        <v>2712</v>
      </c>
      <c r="E129" s="208" t="s">
        <v>2384</v>
      </c>
      <c r="F129" s="208" t="s">
        <v>2391</v>
      </c>
      <c r="G129" s="208" t="s">
        <v>41</v>
      </c>
      <c r="H129" s="208"/>
      <c r="I129" s="204"/>
    </row>
    <row r="130" ht="19.5" customHeight="1">
      <c r="A130" s="208" t="s">
        <v>2691</v>
      </c>
      <c r="B130" s="208" t="s">
        <v>2710</v>
      </c>
      <c r="C130" s="208" t="s">
        <v>2713</v>
      </c>
      <c r="D130" s="208" t="s">
        <v>2714</v>
      </c>
      <c r="E130" s="208" t="s">
        <v>2372</v>
      </c>
      <c r="F130" s="208" t="s">
        <v>2496</v>
      </c>
      <c r="G130" s="208" t="s">
        <v>41</v>
      </c>
      <c r="H130" s="208"/>
      <c r="I130" s="204"/>
    </row>
    <row r="131" ht="19.5" customHeight="1">
      <c r="A131" s="208" t="s">
        <v>2691</v>
      </c>
      <c r="B131" s="208" t="s">
        <v>2710</v>
      </c>
      <c r="C131" s="208" t="s">
        <v>2715</v>
      </c>
      <c r="D131" s="208" t="s">
        <v>2716</v>
      </c>
      <c r="E131" s="208" t="s">
        <v>2384</v>
      </c>
      <c r="F131" s="208" t="s">
        <v>2695</v>
      </c>
      <c r="G131" s="208" t="s">
        <v>41</v>
      </c>
      <c r="H131" s="208"/>
      <c r="I131" s="204"/>
    </row>
    <row r="132" ht="19.5" customHeight="1">
      <c r="A132" s="208" t="s">
        <v>2717</v>
      </c>
      <c r="B132" s="208" t="s">
        <v>2718</v>
      </c>
      <c r="C132" s="208" t="s">
        <v>2719</v>
      </c>
      <c r="D132" s="208" t="s">
        <v>2720</v>
      </c>
      <c r="E132" s="208" t="s">
        <v>2372</v>
      </c>
      <c r="F132" s="208" t="s">
        <v>2487</v>
      </c>
      <c r="G132" s="208" t="s">
        <v>2479</v>
      </c>
      <c r="H132" s="208"/>
      <c r="I132" s="204"/>
    </row>
    <row r="133" ht="19.5" customHeight="1">
      <c r="A133" s="208" t="s">
        <v>2717</v>
      </c>
      <c r="B133" s="208" t="s">
        <v>2718</v>
      </c>
      <c r="C133" s="208" t="s">
        <v>2721</v>
      </c>
      <c r="D133" s="208" t="s">
        <v>2722</v>
      </c>
      <c r="E133" s="208" t="s">
        <v>2372</v>
      </c>
      <c r="F133" s="208" t="s">
        <v>2602</v>
      </c>
      <c r="G133" s="208" t="s">
        <v>41</v>
      </c>
      <c r="H133" s="208"/>
      <c r="I133" s="204"/>
    </row>
    <row r="134" ht="19.5" customHeight="1">
      <c r="A134" s="208" t="s">
        <v>2717</v>
      </c>
      <c r="B134" s="208" t="s">
        <v>2718</v>
      </c>
      <c r="C134" s="208" t="s">
        <v>2723</v>
      </c>
      <c r="D134" s="208" t="s">
        <v>2724</v>
      </c>
      <c r="E134" s="208" t="s">
        <v>2384</v>
      </c>
      <c r="F134" s="208" t="s">
        <v>2496</v>
      </c>
      <c r="G134" s="208" t="s">
        <v>2453</v>
      </c>
      <c r="H134" s="208"/>
      <c r="I134" s="204"/>
    </row>
    <row r="135" ht="19.5" customHeight="1">
      <c r="A135" s="208" t="s">
        <v>2717</v>
      </c>
      <c r="B135" s="208" t="s">
        <v>2725</v>
      </c>
      <c r="C135" s="208" t="s">
        <v>2726</v>
      </c>
      <c r="D135" s="208" t="s">
        <v>2727</v>
      </c>
      <c r="E135" s="208" t="s">
        <v>2372</v>
      </c>
      <c r="F135" s="208" t="s">
        <v>2728</v>
      </c>
      <c r="G135" s="208" t="s">
        <v>2479</v>
      </c>
      <c r="H135" s="208"/>
      <c r="I135" s="204"/>
    </row>
    <row r="136" ht="19.5" customHeight="1">
      <c r="A136" s="208" t="s">
        <v>2717</v>
      </c>
      <c r="B136" s="208" t="s">
        <v>2725</v>
      </c>
      <c r="C136" s="208" t="s">
        <v>2729</v>
      </c>
      <c r="D136" s="208" t="s">
        <v>2730</v>
      </c>
      <c r="E136" s="208" t="s">
        <v>2384</v>
      </c>
      <c r="F136" s="208" t="s">
        <v>2728</v>
      </c>
      <c r="G136" s="208" t="s">
        <v>2453</v>
      </c>
      <c r="H136" s="208"/>
      <c r="I136" s="204"/>
    </row>
    <row r="137" ht="19.5" customHeight="1">
      <c r="A137" s="208" t="s">
        <v>2717</v>
      </c>
      <c r="B137" s="208" t="s">
        <v>2731</v>
      </c>
      <c r="C137" s="208" t="s">
        <v>2732</v>
      </c>
      <c r="D137" s="208" t="s">
        <v>2733</v>
      </c>
      <c r="E137" s="208" t="s">
        <v>2372</v>
      </c>
      <c r="F137" s="208" t="s">
        <v>2496</v>
      </c>
      <c r="G137" s="208" t="s">
        <v>2453</v>
      </c>
      <c r="H137" s="208"/>
      <c r="I137" s="204"/>
    </row>
    <row r="138" ht="19.5" customHeight="1">
      <c r="A138" s="208" t="s">
        <v>2717</v>
      </c>
      <c r="B138" s="208" t="s">
        <v>2731</v>
      </c>
      <c r="C138" s="208" t="s">
        <v>2734</v>
      </c>
      <c r="D138" s="208" t="s">
        <v>2735</v>
      </c>
      <c r="E138" s="208" t="s">
        <v>2384</v>
      </c>
      <c r="F138" s="208" t="s">
        <v>2373</v>
      </c>
      <c r="G138" s="208" t="s">
        <v>2453</v>
      </c>
      <c r="H138" s="208"/>
      <c r="I138" s="204"/>
    </row>
    <row r="139" ht="19.5" customHeight="1">
      <c r="A139" s="208" t="s">
        <v>2717</v>
      </c>
      <c r="B139" s="208" t="s">
        <v>2731</v>
      </c>
      <c r="C139" s="208" t="s">
        <v>2736</v>
      </c>
      <c r="D139" s="208" t="s">
        <v>2737</v>
      </c>
      <c r="E139" s="208" t="s">
        <v>2372</v>
      </c>
      <c r="F139" s="208" t="s">
        <v>2496</v>
      </c>
      <c r="G139" s="208" t="s">
        <v>2453</v>
      </c>
      <c r="H139" s="208"/>
      <c r="I139" s="204"/>
    </row>
    <row r="140" ht="19.5" customHeight="1">
      <c r="A140" s="208" t="s">
        <v>2738</v>
      </c>
      <c r="B140" s="208" t="s">
        <v>2739</v>
      </c>
      <c r="C140" s="208" t="s">
        <v>2740</v>
      </c>
      <c r="D140" s="208" t="s">
        <v>2741</v>
      </c>
      <c r="E140" s="208" t="s">
        <v>2372</v>
      </c>
      <c r="F140" s="208" t="s">
        <v>2387</v>
      </c>
      <c r="G140" s="208" t="s">
        <v>2479</v>
      </c>
      <c r="H140" s="208"/>
      <c r="I140" s="204"/>
    </row>
    <row r="141" ht="19.5" customHeight="1">
      <c r="A141" s="208" t="s">
        <v>2738</v>
      </c>
      <c r="B141" s="208" t="s">
        <v>2739</v>
      </c>
      <c r="C141" s="208" t="s">
        <v>2742</v>
      </c>
      <c r="D141" s="208" t="s">
        <v>2743</v>
      </c>
      <c r="E141" s="208" t="s">
        <v>2384</v>
      </c>
      <c r="F141" s="208" t="s">
        <v>2744</v>
      </c>
      <c r="G141" s="208" t="s">
        <v>2374</v>
      </c>
      <c r="H141" s="208"/>
      <c r="I141" s="204"/>
    </row>
    <row r="142" ht="19.5" customHeight="1">
      <c r="A142" s="208" t="s">
        <v>2738</v>
      </c>
      <c r="B142" s="208" t="s">
        <v>2739</v>
      </c>
      <c r="C142" s="208" t="s">
        <v>2745</v>
      </c>
      <c r="D142" s="208" t="s">
        <v>2746</v>
      </c>
      <c r="E142" s="208" t="s">
        <v>2384</v>
      </c>
      <c r="F142" s="208" t="s">
        <v>2373</v>
      </c>
      <c r="G142" s="208" t="s">
        <v>2453</v>
      </c>
      <c r="H142" s="208"/>
      <c r="I142" s="204"/>
    </row>
    <row r="143" ht="19.5" customHeight="1">
      <c r="A143" s="208" t="s">
        <v>2738</v>
      </c>
      <c r="B143" s="208" t="s">
        <v>2739</v>
      </c>
      <c r="C143" s="208" t="s">
        <v>2747</v>
      </c>
      <c r="D143" s="208" t="s">
        <v>2748</v>
      </c>
      <c r="E143" s="208" t="s">
        <v>2441</v>
      </c>
      <c r="F143" s="208" t="s">
        <v>2387</v>
      </c>
      <c r="G143" s="208" t="s">
        <v>2442</v>
      </c>
      <c r="H143" s="208"/>
      <c r="I143" s="204"/>
    </row>
    <row r="144" ht="19.5" customHeight="1">
      <c r="A144" s="208" t="s">
        <v>2738</v>
      </c>
      <c r="B144" s="208" t="s">
        <v>2749</v>
      </c>
      <c r="C144" s="208" t="s">
        <v>2750</v>
      </c>
      <c r="D144" s="208" t="s">
        <v>2751</v>
      </c>
      <c r="E144" s="208" t="s">
        <v>2384</v>
      </c>
      <c r="F144" s="208" t="s">
        <v>2500</v>
      </c>
      <c r="G144" s="208" t="s">
        <v>2374</v>
      </c>
      <c r="H144" s="208"/>
      <c r="I144" s="204"/>
    </row>
    <row r="145" ht="19.5" customHeight="1">
      <c r="A145" s="208" t="s">
        <v>2738</v>
      </c>
      <c r="B145" s="208" t="s">
        <v>2749</v>
      </c>
      <c r="C145" s="208" t="s">
        <v>2752</v>
      </c>
      <c r="D145" s="208" t="s">
        <v>2753</v>
      </c>
      <c r="E145" s="208" t="s">
        <v>2384</v>
      </c>
      <c r="F145" s="208" t="s">
        <v>2387</v>
      </c>
      <c r="G145" s="208" t="s">
        <v>2408</v>
      </c>
      <c r="H145" s="208"/>
      <c r="I145" s="204"/>
    </row>
    <row r="146" ht="19.5" customHeight="1">
      <c r="A146" s="208" t="s">
        <v>2738</v>
      </c>
      <c r="B146" s="208" t="s">
        <v>2749</v>
      </c>
      <c r="C146" s="208" t="s">
        <v>2754</v>
      </c>
      <c r="D146" s="208" t="s">
        <v>2755</v>
      </c>
      <c r="E146" s="208" t="s">
        <v>2384</v>
      </c>
      <c r="F146" s="208" t="s">
        <v>2496</v>
      </c>
      <c r="G146" s="208" t="s">
        <v>2453</v>
      </c>
      <c r="H146" s="208"/>
      <c r="I146" s="204"/>
    </row>
    <row r="147" ht="19.5" customHeight="1">
      <c r="A147" s="208" t="s">
        <v>2756</v>
      </c>
      <c r="B147" s="208" t="s">
        <v>2757</v>
      </c>
      <c r="C147" s="208" t="s">
        <v>2758</v>
      </c>
      <c r="D147" s="208" t="s">
        <v>2759</v>
      </c>
      <c r="E147" s="208" t="s">
        <v>2372</v>
      </c>
      <c r="F147" s="208" t="s">
        <v>2467</v>
      </c>
      <c r="G147" s="208" t="s">
        <v>2468</v>
      </c>
      <c r="H147" s="208"/>
      <c r="I147" s="204"/>
    </row>
    <row r="148" ht="19.5" customHeight="1">
      <c r="A148" s="208" t="s">
        <v>2756</v>
      </c>
      <c r="B148" s="208" t="s">
        <v>2757</v>
      </c>
      <c r="C148" s="208" t="s">
        <v>2760</v>
      </c>
      <c r="D148" s="208" t="s">
        <v>2761</v>
      </c>
      <c r="E148" s="208" t="s">
        <v>2372</v>
      </c>
      <c r="F148" s="208" t="s">
        <v>2632</v>
      </c>
      <c r="G148" s="208" t="s">
        <v>41</v>
      </c>
      <c r="H148" s="208"/>
      <c r="I148" s="204"/>
    </row>
    <row r="149" ht="19.5" customHeight="1">
      <c r="A149" s="208" t="s">
        <v>2756</v>
      </c>
      <c r="B149" s="208" t="s">
        <v>2757</v>
      </c>
      <c r="C149" s="208" t="s">
        <v>2762</v>
      </c>
      <c r="D149" s="208" t="s">
        <v>2763</v>
      </c>
      <c r="E149" s="208" t="s">
        <v>2372</v>
      </c>
      <c r="F149" s="208" t="s">
        <v>2622</v>
      </c>
      <c r="G149" s="208" t="s">
        <v>2453</v>
      </c>
      <c r="H149" s="208"/>
      <c r="I149" s="204"/>
    </row>
    <row r="150" ht="19.5" customHeight="1">
      <c r="A150" s="208" t="s">
        <v>2756</v>
      </c>
      <c r="B150" s="208" t="s">
        <v>2757</v>
      </c>
      <c r="C150" s="208" t="s">
        <v>2764</v>
      </c>
      <c r="D150" s="208" t="s">
        <v>2765</v>
      </c>
      <c r="E150" s="208" t="s">
        <v>2384</v>
      </c>
      <c r="F150" s="208" t="s">
        <v>2496</v>
      </c>
      <c r="G150" s="208" t="s">
        <v>1956</v>
      </c>
      <c r="H150" s="208"/>
      <c r="I150" s="204"/>
    </row>
    <row r="151" ht="19.5" customHeight="1">
      <c r="A151" s="208" t="s">
        <v>2756</v>
      </c>
      <c r="B151" s="208" t="s">
        <v>2766</v>
      </c>
      <c r="C151" s="208" t="s">
        <v>2767</v>
      </c>
      <c r="D151" s="208" t="s">
        <v>2768</v>
      </c>
      <c r="E151" s="208" t="s">
        <v>2372</v>
      </c>
      <c r="F151" s="208" t="s">
        <v>2769</v>
      </c>
      <c r="G151" s="208" t="s">
        <v>2479</v>
      </c>
      <c r="H151" s="208"/>
      <c r="I151" s="204"/>
    </row>
    <row r="152" ht="19.5" customHeight="1">
      <c r="A152" s="208" t="s">
        <v>2756</v>
      </c>
      <c r="B152" s="208" t="s">
        <v>2766</v>
      </c>
      <c r="C152" s="208" t="s">
        <v>2770</v>
      </c>
      <c r="D152" s="208" t="s">
        <v>2771</v>
      </c>
      <c r="E152" s="208" t="s">
        <v>2372</v>
      </c>
      <c r="F152" s="208" t="s">
        <v>2487</v>
      </c>
      <c r="G152" s="208" t="s">
        <v>2479</v>
      </c>
      <c r="H152" s="208"/>
      <c r="I152" s="204"/>
    </row>
    <row r="153" ht="19.5" customHeight="1">
      <c r="A153" s="208" t="s">
        <v>2756</v>
      </c>
      <c r="B153" s="208" t="s">
        <v>2766</v>
      </c>
      <c r="C153" s="208" t="s">
        <v>2772</v>
      </c>
      <c r="D153" s="208" t="s">
        <v>2773</v>
      </c>
      <c r="E153" s="208" t="s">
        <v>2384</v>
      </c>
      <c r="F153" s="208" t="s">
        <v>2387</v>
      </c>
      <c r="G153" s="208" t="s">
        <v>2479</v>
      </c>
      <c r="H153" s="208"/>
      <c r="I153" s="204"/>
    </row>
    <row r="154" ht="19.5" customHeight="1">
      <c r="A154" s="208" t="s">
        <v>2756</v>
      </c>
      <c r="B154" s="208" t="s">
        <v>2774</v>
      </c>
      <c r="C154" s="208" t="s">
        <v>2775</v>
      </c>
      <c r="D154" s="208" t="s">
        <v>2776</v>
      </c>
      <c r="E154" s="208" t="s">
        <v>2372</v>
      </c>
      <c r="F154" s="208" t="s">
        <v>2487</v>
      </c>
      <c r="G154" s="208" t="s">
        <v>2493</v>
      </c>
      <c r="H154" s="208"/>
      <c r="I154" s="204"/>
    </row>
    <row r="155" ht="19.5" customHeight="1">
      <c r="A155" s="208" t="s">
        <v>2756</v>
      </c>
      <c r="B155" s="208" t="s">
        <v>2774</v>
      </c>
      <c r="C155" s="208" t="s">
        <v>2777</v>
      </c>
      <c r="D155" s="208" t="s">
        <v>2778</v>
      </c>
      <c r="E155" s="208" t="s">
        <v>2372</v>
      </c>
      <c r="F155" s="208" t="s">
        <v>2373</v>
      </c>
      <c r="G155" s="208" t="s">
        <v>2522</v>
      </c>
      <c r="H155" s="208"/>
      <c r="I155" s="204"/>
    </row>
    <row r="156" ht="19.5" customHeight="1">
      <c r="A156" s="208" t="s">
        <v>2756</v>
      </c>
      <c r="B156" s="208" t="s">
        <v>2774</v>
      </c>
      <c r="C156" s="208" t="s">
        <v>2779</v>
      </c>
      <c r="D156" s="208" t="s">
        <v>2780</v>
      </c>
      <c r="E156" s="208" t="s">
        <v>2384</v>
      </c>
      <c r="F156" s="208" t="s">
        <v>2387</v>
      </c>
      <c r="G156" s="208" t="s">
        <v>2493</v>
      </c>
      <c r="H156" s="208"/>
      <c r="I156" s="204"/>
    </row>
    <row r="157" ht="19.5" customHeight="1">
      <c r="A157" s="208" t="s">
        <v>2781</v>
      </c>
      <c r="B157" s="208" t="s">
        <v>2782</v>
      </c>
      <c r="C157" s="208" t="s">
        <v>2783</v>
      </c>
      <c r="D157" s="208" t="s">
        <v>2784</v>
      </c>
      <c r="E157" s="208" t="s">
        <v>2384</v>
      </c>
      <c r="F157" s="208" t="s">
        <v>2373</v>
      </c>
      <c r="G157" s="208" t="s">
        <v>2408</v>
      </c>
      <c r="H157" s="208"/>
      <c r="I157" s="204"/>
    </row>
    <row r="158" ht="19.5" customHeight="1">
      <c r="A158" s="208" t="s">
        <v>2781</v>
      </c>
      <c r="B158" s="208" t="s">
        <v>2782</v>
      </c>
      <c r="C158" s="208" t="s">
        <v>2785</v>
      </c>
      <c r="D158" s="208" t="s">
        <v>2786</v>
      </c>
      <c r="E158" s="208" t="s">
        <v>2441</v>
      </c>
      <c r="F158" s="208" t="s">
        <v>2421</v>
      </c>
      <c r="G158" s="208" t="s">
        <v>2378</v>
      </c>
      <c r="H158" s="208"/>
      <c r="I158" s="204"/>
    </row>
    <row r="159" ht="19.5" customHeight="1">
      <c r="A159" s="208" t="s">
        <v>2781</v>
      </c>
      <c r="B159" s="208" t="s">
        <v>2782</v>
      </c>
      <c r="C159" s="208" t="s">
        <v>2787</v>
      </c>
      <c r="D159" s="208" t="s">
        <v>2788</v>
      </c>
      <c r="E159" s="208" t="s">
        <v>2441</v>
      </c>
      <c r="F159" s="208" t="s">
        <v>2387</v>
      </c>
      <c r="G159" s="208" t="s">
        <v>2453</v>
      </c>
      <c r="H159" s="208"/>
      <c r="I159" s="204"/>
    </row>
    <row r="160" ht="19.5" customHeight="1">
      <c r="A160" s="208" t="s">
        <v>2781</v>
      </c>
      <c r="B160" s="208" t="s">
        <v>2789</v>
      </c>
      <c r="C160" s="208" t="s">
        <v>2790</v>
      </c>
      <c r="D160" s="208" t="s">
        <v>2791</v>
      </c>
      <c r="E160" s="208" t="s">
        <v>2441</v>
      </c>
      <c r="F160" s="208" t="s">
        <v>2414</v>
      </c>
      <c r="G160" s="208" t="s">
        <v>2378</v>
      </c>
      <c r="H160" s="208"/>
      <c r="I160" s="204"/>
    </row>
    <row r="161" ht="19.5" customHeight="1">
      <c r="A161" s="208" t="s">
        <v>2781</v>
      </c>
      <c r="B161" s="208" t="s">
        <v>2789</v>
      </c>
      <c r="C161" s="208" t="s">
        <v>2792</v>
      </c>
      <c r="D161" s="208" t="s">
        <v>2793</v>
      </c>
      <c r="E161" s="208" t="s">
        <v>2651</v>
      </c>
      <c r="F161" s="208" t="s">
        <v>2414</v>
      </c>
      <c r="G161" s="208" t="s">
        <v>2378</v>
      </c>
      <c r="H161" s="208"/>
      <c r="I161" s="204"/>
    </row>
    <row r="162" ht="19.5" customHeight="1">
      <c r="A162" s="208" t="s">
        <v>2781</v>
      </c>
      <c r="B162" s="208" t="s">
        <v>2794</v>
      </c>
      <c r="C162" s="208" t="s">
        <v>2795</v>
      </c>
      <c r="D162" s="208" t="s">
        <v>2796</v>
      </c>
      <c r="E162" s="208" t="s">
        <v>2441</v>
      </c>
      <c r="F162" s="208" t="s">
        <v>2421</v>
      </c>
      <c r="G162" s="208" t="s">
        <v>2378</v>
      </c>
      <c r="H162" s="208"/>
      <c r="I162" s="204"/>
    </row>
    <row r="163" ht="19.5" customHeight="1">
      <c r="A163" s="208" t="s">
        <v>2781</v>
      </c>
      <c r="B163" s="208" t="s">
        <v>2794</v>
      </c>
      <c r="C163" s="208" t="s">
        <v>2797</v>
      </c>
      <c r="D163" s="208" t="s">
        <v>2798</v>
      </c>
      <c r="E163" s="208" t="s">
        <v>2384</v>
      </c>
      <c r="F163" s="208" t="s">
        <v>2373</v>
      </c>
      <c r="G163" s="208" t="s">
        <v>2479</v>
      </c>
      <c r="H163" s="208"/>
      <c r="I163" s="204"/>
    </row>
    <row r="164" ht="19.5" customHeight="1">
      <c r="A164" s="208" t="s">
        <v>2781</v>
      </c>
      <c r="B164" s="208" t="s">
        <v>2794</v>
      </c>
      <c r="C164" s="208" t="s">
        <v>2799</v>
      </c>
      <c r="D164" s="208" t="s">
        <v>2800</v>
      </c>
      <c r="E164" s="208" t="s">
        <v>2372</v>
      </c>
      <c r="F164" s="208" t="s">
        <v>2387</v>
      </c>
      <c r="G164" s="208" t="s">
        <v>2404</v>
      </c>
      <c r="H164" s="208"/>
      <c r="I164" s="204"/>
    </row>
    <row r="165" ht="19.5" customHeight="1">
      <c r="A165" s="208" t="s">
        <v>2801</v>
      </c>
      <c r="B165" s="208" t="s">
        <v>2802</v>
      </c>
      <c r="C165" s="208" t="s">
        <v>2803</v>
      </c>
      <c r="D165" s="208" t="s">
        <v>2804</v>
      </c>
      <c r="E165" s="208" t="s">
        <v>2384</v>
      </c>
      <c r="F165" s="208" t="s">
        <v>2387</v>
      </c>
      <c r="G165" s="208" t="s">
        <v>2408</v>
      </c>
      <c r="H165" s="208"/>
      <c r="I165" s="204"/>
    </row>
    <row r="166" ht="19.5" customHeight="1">
      <c r="A166" s="208" t="s">
        <v>2801</v>
      </c>
      <c r="B166" s="208" t="s">
        <v>2802</v>
      </c>
      <c r="C166" s="208" t="s">
        <v>2805</v>
      </c>
      <c r="D166" s="208" t="s">
        <v>2806</v>
      </c>
      <c r="E166" s="208" t="s">
        <v>2372</v>
      </c>
      <c r="F166" s="208" t="s">
        <v>2373</v>
      </c>
      <c r="G166" s="208" t="s">
        <v>2408</v>
      </c>
      <c r="H166" s="208"/>
      <c r="I166" s="204"/>
    </row>
    <row r="167" ht="19.5" customHeight="1">
      <c r="A167" s="208" t="s">
        <v>2801</v>
      </c>
      <c r="B167" s="208" t="s">
        <v>2802</v>
      </c>
      <c r="C167" s="208" t="s">
        <v>2807</v>
      </c>
      <c r="D167" s="208" t="s">
        <v>2808</v>
      </c>
      <c r="E167" s="208" t="s">
        <v>2384</v>
      </c>
      <c r="F167" s="208" t="s">
        <v>2496</v>
      </c>
      <c r="G167" s="208" t="s">
        <v>41</v>
      </c>
      <c r="H167" s="208"/>
      <c r="I167" s="204"/>
    </row>
    <row r="168" ht="19.5" customHeight="1">
      <c r="A168" s="208" t="s">
        <v>2801</v>
      </c>
      <c r="B168" s="208" t="s">
        <v>2802</v>
      </c>
      <c r="C168" s="208" t="s">
        <v>2809</v>
      </c>
      <c r="D168" s="208" t="s">
        <v>2810</v>
      </c>
      <c r="E168" s="208" t="s">
        <v>2384</v>
      </c>
      <c r="F168" s="208" t="s">
        <v>2387</v>
      </c>
      <c r="G168" s="208" t="s">
        <v>2408</v>
      </c>
      <c r="H168" s="208"/>
      <c r="I168" s="204"/>
    </row>
    <row r="169" ht="19.5" customHeight="1">
      <c r="A169" s="208" t="s">
        <v>2801</v>
      </c>
      <c r="B169" s="208" t="s">
        <v>2811</v>
      </c>
      <c r="C169" s="208" t="s">
        <v>2812</v>
      </c>
      <c r="D169" s="208" t="s">
        <v>2813</v>
      </c>
      <c r="E169" s="208" t="s">
        <v>2384</v>
      </c>
      <c r="F169" s="208" t="s">
        <v>2421</v>
      </c>
      <c r="G169" s="208" t="s">
        <v>2408</v>
      </c>
      <c r="H169" s="208"/>
      <c r="I169" s="204"/>
    </row>
    <row r="170" ht="19.5" customHeight="1">
      <c r="A170" s="208" t="s">
        <v>2801</v>
      </c>
      <c r="B170" s="208" t="s">
        <v>2811</v>
      </c>
      <c r="C170" s="208" t="s">
        <v>2814</v>
      </c>
      <c r="D170" s="208" t="s">
        <v>2815</v>
      </c>
      <c r="E170" s="208" t="s">
        <v>2372</v>
      </c>
      <c r="F170" s="208" t="s">
        <v>2816</v>
      </c>
      <c r="G170" s="208" t="s">
        <v>2408</v>
      </c>
      <c r="H170" s="208"/>
      <c r="I170" s="204"/>
    </row>
    <row r="171" ht="19.5" customHeight="1">
      <c r="A171" s="208" t="s">
        <v>2817</v>
      </c>
      <c r="B171" s="208" t="s">
        <v>2818</v>
      </c>
      <c r="C171" s="208" t="s">
        <v>2819</v>
      </c>
      <c r="D171" s="208" t="s">
        <v>2820</v>
      </c>
      <c r="E171" s="208" t="s">
        <v>2384</v>
      </c>
      <c r="F171" s="208" t="s">
        <v>2387</v>
      </c>
      <c r="G171" s="208" t="s">
        <v>2453</v>
      </c>
      <c r="H171" s="208"/>
      <c r="I171" s="204"/>
    </row>
    <row r="172" ht="19.5" customHeight="1">
      <c r="A172" s="208" t="s">
        <v>2817</v>
      </c>
      <c r="B172" s="208" t="s">
        <v>2818</v>
      </c>
      <c r="C172" s="208" t="s">
        <v>2821</v>
      </c>
      <c r="D172" s="208" t="s">
        <v>2822</v>
      </c>
      <c r="E172" s="208" t="s">
        <v>2384</v>
      </c>
      <c r="F172" s="208" t="s">
        <v>2373</v>
      </c>
      <c r="G172" s="208" t="s">
        <v>2453</v>
      </c>
      <c r="H172" s="208"/>
      <c r="I172" s="204"/>
    </row>
    <row r="173" ht="19.5" customHeight="1">
      <c r="A173" s="208" t="s">
        <v>2817</v>
      </c>
      <c r="B173" s="208" t="s">
        <v>2818</v>
      </c>
      <c r="C173" s="208" t="s">
        <v>2823</v>
      </c>
      <c r="D173" s="208" t="s">
        <v>2824</v>
      </c>
      <c r="E173" s="208" t="s">
        <v>2372</v>
      </c>
      <c r="F173" s="208" t="s">
        <v>2496</v>
      </c>
      <c r="G173" s="208" t="s">
        <v>2453</v>
      </c>
      <c r="H173" s="208"/>
      <c r="I173" s="204"/>
    </row>
    <row r="174" ht="19.5" customHeight="1">
      <c r="A174" s="208" t="s">
        <v>2817</v>
      </c>
      <c r="B174" s="208" t="s">
        <v>2825</v>
      </c>
      <c r="C174" s="208" t="s">
        <v>2826</v>
      </c>
      <c r="D174" s="208" t="s">
        <v>2827</v>
      </c>
      <c r="E174" s="208" t="s">
        <v>2441</v>
      </c>
      <c r="F174" s="208" t="s">
        <v>2421</v>
      </c>
      <c r="G174" s="208" t="s">
        <v>2408</v>
      </c>
      <c r="H174" s="208"/>
      <c r="I174" s="204"/>
    </row>
    <row r="175" ht="19.5" customHeight="1">
      <c r="A175" s="208" t="s">
        <v>2817</v>
      </c>
      <c r="B175" s="208" t="s">
        <v>2825</v>
      </c>
      <c r="C175" s="208" t="s">
        <v>2828</v>
      </c>
      <c r="D175" s="208" t="s">
        <v>2829</v>
      </c>
      <c r="E175" s="208" t="s">
        <v>2384</v>
      </c>
      <c r="F175" s="208" t="s">
        <v>2487</v>
      </c>
      <c r="G175" s="208" t="s">
        <v>2453</v>
      </c>
      <c r="H175" s="208"/>
      <c r="I175" s="204"/>
    </row>
    <row r="176" ht="19.5" customHeight="1">
      <c r="A176" s="208" t="s">
        <v>2817</v>
      </c>
      <c r="B176" s="208" t="s">
        <v>2825</v>
      </c>
      <c r="C176" s="208" t="s">
        <v>2830</v>
      </c>
      <c r="D176" s="208" t="s">
        <v>2831</v>
      </c>
      <c r="E176" s="208" t="s">
        <v>2384</v>
      </c>
      <c r="F176" s="208" t="s">
        <v>2414</v>
      </c>
      <c r="G176" s="208" t="s">
        <v>2408</v>
      </c>
      <c r="H176" s="208"/>
      <c r="I176" s="204"/>
    </row>
    <row r="177" ht="19.5" customHeight="1">
      <c r="A177" s="208" t="s">
        <v>2817</v>
      </c>
      <c r="B177" s="208" t="s">
        <v>2832</v>
      </c>
      <c r="C177" s="208" t="s">
        <v>2833</v>
      </c>
      <c r="D177" s="208" t="s">
        <v>2834</v>
      </c>
      <c r="E177" s="208" t="s">
        <v>2372</v>
      </c>
      <c r="F177" s="208" t="s">
        <v>2373</v>
      </c>
      <c r="G177" s="208" t="s">
        <v>2453</v>
      </c>
      <c r="H177" s="208"/>
      <c r="I177" s="204"/>
    </row>
    <row r="178" ht="19.5" customHeight="1">
      <c r="A178" s="208" t="s">
        <v>2817</v>
      </c>
      <c r="B178" s="208" t="s">
        <v>2832</v>
      </c>
      <c r="C178" s="208" t="s">
        <v>2835</v>
      </c>
      <c r="D178" s="208" t="s">
        <v>2836</v>
      </c>
      <c r="E178" s="208" t="s">
        <v>2372</v>
      </c>
      <c r="F178" s="208" t="s">
        <v>2373</v>
      </c>
      <c r="G178" s="208" t="s">
        <v>2453</v>
      </c>
      <c r="H178" s="208"/>
      <c r="I178" s="204"/>
    </row>
    <row r="179" ht="19.5" customHeight="1">
      <c r="A179" s="208" t="s">
        <v>2817</v>
      </c>
      <c r="B179" s="208" t="s">
        <v>2832</v>
      </c>
      <c r="C179" s="208" t="s">
        <v>2837</v>
      </c>
      <c r="D179" s="208" t="s">
        <v>2838</v>
      </c>
      <c r="E179" s="208" t="s">
        <v>2384</v>
      </c>
      <c r="F179" s="208" t="s">
        <v>2387</v>
      </c>
      <c r="G179" s="208" t="s">
        <v>2453</v>
      </c>
      <c r="H179" s="208"/>
      <c r="I179" s="204"/>
    </row>
    <row r="180" ht="19.5" customHeight="1">
      <c r="A180" s="208" t="s">
        <v>2839</v>
      </c>
      <c r="B180" s="208" t="s">
        <v>2840</v>
      </c>
      <c r="C180" s="208" t="s">
        <v>2841</v>
      </c>
      <c r="D180" s="208" t="s">
        <v>2842</v>
      </c>
      <c r="E180" s="208" t="s">
        <v>2384</v>
      </c>
      <c r="F180" s="208" t="s">
        <v>2434</v>
      </c>
      <c r="G180" s="208" t="s">
        <v>2843</v>
      </c>
      <c r="H180" s="208"/>
      <c r="I180" s="204"/>
    </row>
    <row r="181" ht="19.5" customHeight="1">
      <c r="A181" s="208" t="s">
        <v>2839</v>
      </c>
      <c r="B181" s="208" t="s">
        <v>2840</v>
      </c>
      <c r="C181" s="208" t="s">
        <v>2844</v>
      </c>
      <c r="D181" s="208" t="s">
        <v>2845</v>
      </c>
      <c r="E181" s="208" t="s">
        <v>2441</v>
      </c>
      <c r="F181" s="208" t="s">
        <v>2434</v>
      </c>
      <c r="G181" s="208" t="s">
        <v>2408</v>
      </c>
      <c r="H181" s="208"/>
      <c r="I181" s="204"/>
    </row>
    <row r="182" ht="19.5" customHeight="1">
      <c r="A182" s="208" t="s">
        <v>2839</v>
      </c>
      <c r="B182" s="208" t="s">
        <v>2840</v>
      </c>
      <c r="C182" s="208" t="s">
        <v>2846</v>
      </c>
      <c r="D182" s="208" t="s">
        <v>2847</v>
      </c>
      <c r="E182" s="208" t="s">
        <v>2384</v>
      </c>
      <c r="F182" s="208" t="s">
        <v>2373</v>
      </c>
      <c r="G182" s="208" t="s">
        <v>2378</v>
      </c>
      <c r="H182" s="208"/>
      <c r="I182" s="204"/>
    </row>
    <row r="183" ht="19.5" customHeight="1">
      <c r="A183" s="208" t="s">
        <v>2839</v>
      </c>
      <c r="B183" s="208" t="s">
        <v>2848</v>
      </c>
      <c r="C183" s="208" t="s">
        <v>2849</v>
      </c>
      <c r="D183" s="208" t="s">
        <v>2850</v>
      </c>
      <c r="E183" s="208" t="s">
        <v>2441</v>
      </c>
      <c r="F183" s="208" t="s">
        <v>2373</v>
      </c>
      <c r="G183" s="208" t="s">
        <v>2442</v>
      </c>
      <c r="H183" s="208"/>
      <c r="I183" s="204"/>
    </row>
    <row r="184" ht="19.5" customHeight="1">
      <c r="A184" s="208" t="s">
        <v>2839</v>
      </c>
      <c r="B184" s="208" t="s">
        <v>2848</v>
      </c>
      <c r="C184" s="208" t="s">
        <v>2851</v>
      </c>
      <c r="D184" s="208" t="s">
        <v>2852</v>
      </c>
      <c r="E184" s="208" t="s">
        <v>2441</v>
      </c>
      <c r="F184" s="208" t="s">
        <v>2414</v>
      </c>
      <c r="G184" s="208" t="s">
        <v>2453</v>
      </c>
      <c r="H184" s="208"/>
      <c r="I184" s="204"/>
    </row>
    <row r="185" ht="19.5" customHeight="1">
      <c r="A185" s="208" t="s">
        <v>2839</v>
      </c>
      <c r="B185" s="208" t="s">
        <v>2853</v>
      </c>
      <c r="C185" s="208" t="s">
        <v>2854</v>
      </c>
      <c r="D185" s="208" t="s">
        <v>2855</v>
      </c>
      <c r="E185" s="208" t="s">
        <v>2372</v>
      </c>
      <c r="F185" s="208" t="s">
        <v>2391</v>
      </c>
      <c r="G185" s="208" t="s">
        <v>2378</v>
      </c>
      <c r="H185" s="208"/>
      <c r="I185" s="204"/>
    </row>
    <row r="186" ht="19.5" customHeight="1">
      <c r="A186" s="208" t="s">
        <v>2839</v>
      </c>
      <c r="B186" s="208" t="s">
        <v>2853</v>
      </c>
      <c r="C186" s="208" t="s">
        <v>2856</v>
      </c>
      <c r="D186" s="208" t="s">
        <v>2857</v>
      </c>
      <c r="E186" s="208" t="s">
        <v>2384</v>
      </c>
      <c r="F186" s="208" t="s">
        <v>2387</v>
      </c>
      <c r="G186" s="208" t="s">
        <v>2408</v>
      </c>
      <c r="H186" s="208"/>
      <c r="I186" s="204"/>
    </row>
    <row r="187" ht="19.5" customHeight="1">
      <c r="A187" s="208" t="s">
        <v>2858</v>
      </c>
      <c r="B187" s="208" t="s">
        <v>2859</v>
      </c>
      <c r="C187" s="208" t="s">
        <v>2860</v>
      </c>
      <c r="D187" s="208" t="s">
        <v>2861</v>
      </c>
      <c r="E187" s="208" t="s">
        <v>2441</v>
      </c>
      <c r="F187" s="208" t="s">
        <v>2387</v>
      </c>
      <c r="G187" s="208" t="s">
        <v>2374</v>
      </c>
      <c r="H187" s="208"/>
      <c r="I187" s="204"/>
    </row>
    <row r="188" ht="19.5" customHeight="1">
      <c r="A188" s="208" t="s">
        <v>2858</v>
      </c>
      <c r="B188" s="208" t="s">
        <v>2859</v>
      </c>
      <c r="C188" s="208" t="s">
        <v>2862</v>
      </c>
      <c r="D188" s="208" t="s">
        <v>2863</v>
      </c>
      <c r="E188" s="208" t="s">
        <v>2651</v>
      </c>
      <c r="F188" s="208" t="s">
        <v>2421</v>
      </c>
      <c r="G188" s="208" t="s">
        <v>1956</v>
      </c>
      <c r="H188" s="208"/>
      <c r="I188" s="204"/>
    </row>
    <row r="189" ht="19.5" customHeight="1">
      <c r="A189" s="208" t="s">
        <v>2858</v>
      </c>
      <c r="B189" s="208" t="s">
        <v>2859</v>
      </c>
      <c r="C189" s="208" t="s">
        <v>2864</v>
      </c>
      <c r="D189" s="208" t="s">
        <v>2865</v>
      </c>
      <c r="E189" s="208" t="s">
        <v>2441</v>
      </c>
      <c r="F189" s="208" t="s">
        <v>2414</v>
      </c>
      <c r="G189" s="208" t="s">
        <v>2374</v>
      </c>
      <c r="H189" s="208"/>
      <c r="I189" s="204"/>
    </row>
    <row r="190" ht="19.5" customHeight="1">
      <c r="A190" s="208" t="s">
        <v>2858</v>
      </c>
      <c r="B190" s="208" t="s">
        <v>2866</v>
      </c>
      <c r="C190" s="208" t="s">
        <v>2867</v>
      </c>
      <c r="D190" s="208" t="s">
        <v>2868</v>
      </c>
      <c r="E190" s="208" t="s">
        <v>2441</v>
      </c>
      <c r="F190" s="208" t="s">
        <v>2373</v>
      </c>
      <c r="G190" s="208" t="s">
        <v>2843</v>
      </c>
      <c r="H190" s="208"/>
      <c r="I190" s="204"/>
    </row>
    <row r="191" ht="19.5" customHeight="1">
      <c r="A191" s="208" t="s">
        <v>2858</v>
      </c>
      <c r="B191" s="208" t="s">
        <v>2866</v>
      </c>
      <c r="C191" s="208" t="s">
        <v>2869</v>
      </c>
      <c r="D191" s="208" t="s">
        <v>2870</v>
      </c>
      <c r="E191" s="208" t="s">
        <v>2651</v>
      </c>
      <c r="F191" s="208" t="s">
        <v>2414</v>
      </c>
      <c r="G191" s="208" t="s">
        <v>1956</v>
      </c>
      <c r="H191" s="208"/>
      <c r="I191" s="204"/>
    </row>
    <row r="192" ht="19.5" customHeight="1">
      <c r="A192" s="208" t="s">
        <v>2858</v>
      </c>
      <c r="B192" s="208" t="s">
        <v>2871</v>
      </c>
      <c r="C192" s="208" t="s">
        <v>2872</v>
      </c>
      <c r="D192" s="208" t="s">
        <v>2873</v>
      </c>
      <c r="E192" s="208" t="s">
        <v>2651</v>
      </c>
      <c r="F192" s="208" t="s">
        <v>2414</v>
      </c>
      <c r="G192" s="208" t="s">
        <v>2378</v>
      </c>
      <c r="H192" s="208"/>
      <c r="I192" s="204"/>
    </row>
    <row r="193" ht="19.5" customHeight="1">
      <c r="A193" s="208" t="s">
        <v>2858</v>
      </c>
      <c r="B193" s="208" t="s">
        <v>2871</v>
      </c>
      <c r="C193" s="208" t="s">
        <v>2874</v>
      </c>
      <c r="D193" s="208" t="s">
        <v>2875</v>
      </c>
      <c r="E193" s="208" t="s">
        <v>2384</v>
      </c>
      <c r="F193" s="208" t="s">
        <v>2387</v>
      </c>
      <c r="G193" s="208" t="s">
        <v>2479</v>
      </c>
      <c r="H193" s="208"/>
      <c r="I193" s="204"/>
    </row>
    <row r="194">
      <c r="H194" s="180"/>
      <c r="I194" s="115"/>
    </row>
    <row r="195">
      <c r="H195" s="180"/>
      <c r="I195" s="115"/>
    </row>
  </sheetData>
  <mergeCells count="2">
    <mergeCell ref="A1:I1"/>
    <mergeCell ref="A2:I2"/>
  </mergeCells>
  <dataValidations>
    <dataValidation type="list" allowBlank="1" showErrorMessage="1" sqref="I5:I195">
      <formula1>"完了,進行中,未完了"</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09" t="s">
        <v>2876</v>
      </c>
      <c r="B1" s="209" t="s">
        <v>2877</v>
      </c>
      <c r="C1" s="209" t="s">
        <v>2878</v>
      </c>
      <c r="D1" s="210" t="s">
        <v>2879</v>
      </c>
    </row>
    <row r="2">
      <c r="A2" s="209" t="s">
        <v>2880</v>
      </c>
      <c r="B2" s="211">
        <v>6.0</v>
      </c>
      <c r="C2" s="211">
        <v>6.0</v>
      </c>
      <c r="D2" s="212">
        <f t="shared" ref="D2:D13" si="1">B2/30</f>
        <v>0.2</v>
      </c>
    </row>
    <row r="3">
      <c r="A3" s="209" t="s">
        <v>2881</v>
      </c>
      <c r="B3" s="211">
        <v>9.0</v>
      </c>
      <c r="C3" s="211">
        <v>15.0</v>
      </c>
      <c r="D3" s="212">
        <f t="shared" si="1"/>
        <v>0.3</v>
      </c>
    </row>
    <row r="4">
      <c r="A4" s="209" t="s">
        <v>2882</v>
      </c>
      <c r="B4" s="211">
        <v>12.0</v>
      </c>
      <c r="C4" s="211">
        <v>27.0</v>
      </c>
      <c r="D4" s="212">
        <f t="shared" si="1"/>
        <v>0.4</v>
      </c>
    </row>
    <row r="5">
      <c r="A5" s="209" t="s">
        <v>2883</v>
      </c>
      <c r="B5" s="211">
        <v>15.0</v>
      </c>
      <c r="C5" s="211">
        <v>42.0</v>
      </c>
      <c r="D5" s="212">
        <f t="shared" si="1"/>
        <v>0.5</v>
      </c>
    </row>
    <row r="6">
      <c r="A6" s="209" t="s">
        <v>2884</v>
      </c>
      <c r="B6" s="211">
        <v>18.0</v>
      </c>
      <c r="C6" s="211">
        <v>60.0</v>
      </c>
      <c r="D6" s="212">
        <f t="shared" si="1"/>
        <v>0.6</v>
      </c>
    </row>
    <row r="7">
      <c r="A7" s="209" t="s">
        <v>2885</v>
      </c>
      <c r="B7" s="211">
        <v>23.0</v>
      </c>
      <c r="C7" s="211">
        <v>83.0</v>
      </c>
      <c r="D7" s="212">
        <f t="shared" si="1"/>
        <v>0.7666666667</v>
      </c>
    </row>
    <row r="8">
      <c r="A8" s="209" t="s">
        <v>2886</v>
      </c>
      <c r="B8" s="211">
        <v>29.0</v>
      </c>
      <c r="C8" s="211">
        <v>112.0</v>
      </c>
      <c r="D8" s="212">
        <f t="shared" si="1"/>
        <v>0.9666666667</v>
      </c>
    </row>
    <row r="9">
      <c r="A9" s="209" t="s">
        <v>2887</v>
      </c>
      <c r="B9" s="211">
        <v>36.0</v>
      </c>
      <c r="C9" s="211">
        <v>148.0</v>
      </c>
      <c r="D9" s="212">
        <f t="shared" si="1"/>
        <v>1.2</v>
      </c>
    </row>
    <row r="10">
      <c r="A10" s="209" t="s">
        <v>2888</v>
      </c>
      <c r="B10" s="211">
        <v>46.0</v>
      </c>
      <c r="C10" s="211">
        <v>194.0</v>
      </c>
      <c r="D10" s="212">
        <f t="shared" si="1"/>
        <v>1.533333333</v>
      </c>
    </row>
    <row r="11">
      <c r="A11" s="209" t="s">
        <v>2889</v>
      </c>
      <c r="B11" s="211">
        <v>56.0</v>
      </c>
      <c r="C11" s="211">
        <v>250.0</v>
      </c>
      <c r="D11" s="212">
        <f t="shared" si="1"/>
        <v>1.866666667</v>
      </c>
    </row>
    <row r="12">
      <c r="A12" s="209" t="s">
        <v>2890</v>
      </c>
      <c r="B12" s="211">
        <v>64.0</v>
      </c>
      <c r="C12" s="211">
        <v>314.0</v>
      </c>
      <c r="D12" s="212">
        <f t="shared" si="1"/>
        <v>2.133333333</v>
      </c>
    </row>
    <row r="13">
      <c r="A13" s="209" t="s">
        <v>2891</v>
      </c>
      <c r="B13" s="211">
        <v>106.0</v>
      </c>
      <c r="C13" s="211">
        <v>420.0</v>
      </c>
      <c r="D13" s="212">
        <f t="shared" si="1"/>
        <v>3.533333333</v>
      </c>
    </row>
    <row r="14">
      <c r="A14" s="213"/>
      <c r="B14" s="213"/>
      <c r="C14" s="213"/>
      <c r="D14" s="212"/>
    </row>
    <row r="15">
      <c r="D15" s="212"/>
    </row>
    <row r="16">
      <c r="D16" s="212"/>
    </row>
    <row r="17">
      <c r="D17" s="212"/>
    </row>
    <row r="18">
      <c r="D18" s="212"/>
    </row>
    <row r="19">
      <c r="D19" s="212"/>
    </row>
    <row r="20">
      <c r="D20" s="212"/>
    </row>
    <row r="21">
      <c r="D21" s="212"/>
    </row>
    <row r="22">
      <c r="D22" s="212"/>
    </row>
    <row r="23">
      <c r="D23" s="212"/>
    </row>
    <row r="24">
      <c r="D24" s="212"/>
    </row>
    <row r="25">
      <c r="D25" s="212"/>
    </row>
    <row r="26">
      <c r="D26" s="212"/>
    </row>
    <row r="27">
      <c r="D27" s="212"/>
    </row>
    <row r="28">
      <c r="D28" s="212"/>
    </row>
    <row r="29">
      <c r="D29" s="212"/>
    </row>
    <row r="30">
      <c r="D30" s="212"/>
    </row>
    <row r="31">
      <c r="D31" s="212"/>
    </row>
    <row r="32">
      <c r="D32" s="212"/>
    </row>
    <row r="33">
      <c r="D33" s="212"/>
    </row>
    <row r="34">
      <c r="D34" s="212"/>
    </row>
    <row r="35">
      <c r="D35" s="212"/>
    </row>
    <row r="36">
      <c r="D36" s="212"/>
    </row>
    <row r="37">
      <c r="D37" s="212"/>
    </row>
    <row r="38">
      <c r="D38" s="212"/>
    </row>
    <row r="39">
      <c r="D39" s="212"/>
    </row>
    <row r="40">
      <c r="D40" s="212"/>
    </row>
    <row r="41">
      <c r="D41" s="212"/>
    </row>
    <row r="42">
      <c r="D42" s="212"/>
    </row>
    <row r="43">
      <c r="D43" s="212"/>
    </row>
    <row r="44">
      <c r="D44" s="212"/>
    </row>
    <row r="45">
      <c r="D45" s="212"/>
    </row>
    <row r="46">
      <c r="D46" s="212"/>
    </row>
    <row r="47">
      <c r="D47" s="212"/>
    </row>
    <row r="48">
      <c r="D48" s="212"/>
    </row>
    <row r="49">
      <c r="D49" s="212"/>
    </row>
    <row r="50">
      <c r="D50" s="212"/>
    </row>
    <row r="51">
      <c r="D51" s="212"/>
    </row>
    <row r="52">
      <c r="D52" s="212"/>
    </row>
    <row r="53">
      <c r="D53" s="212"/>
    </row>
    <row r="54">
      <c r="D54" s="212"/>
    </row>
    <row r="55">
      <c r="D55" s="212"/>
    </row>
    <row r="56">
      <c r="D56" s="212"/>
    </row>
    <row r="57">
      <c r="D57" s="212"/>
    </row>
    <row r="58">
      <c r="D58" s="212"/>
    </row>
    <row r="59">
      <c r="D59" s="212"/>
    </row>
    <row r="60">
      <c r="D60" s="212"/>
    </row>
    <row r="61">
      <c r="D61" s="212"/>
    </row>
    <row r="62">
      <c r="D62" s="212"/>
    </row>
    <row r="63">
      <c r="D63" s="212"/>
    </row>
    <row r="64">
      <c r="D64" s="212"/>
    </row>
    <row r="65">
      <c r="D65" s="212"/>
    </row>
    <row r="66">
      <c r="D66" s="212"/>
    </row>
    <row r="67">
      <c r="D67" s="212"/>
    </row>
    <row r="68">
      <c r="D68" s="212"/>
    </row>
    <row r="69">
      <c r="D69" s="212"/>
    </row>
    <row r="70">
      <c r="D70" s="212"/>
    </row>
    <row r="71">
      <c r="D71" s="212"/>
    </row>
    <row r="72">
      <c r="D72" s="212"/>
    </row>
    <row r="73">
      <c r="D73" s="212"/>
    </row>
    <row r="74">
      <c r="D74" s="212"/>
    </row>
    <row r="75">
      <c r="D75" s="212"/>
    </row>
    <row r="76">
      <c r="D76" s="212"/>
    </row>
    <row r="77">
      <c r="D77" s="212"/>
    </row>
    <row r="78">
      <c r="D78" s="212"/>
    </row>
    <row r="79">
      <c r="D79" s="212"/>
    </row>
    <row r="80">
      <c r="D80" s="212"/>
    </row>
    <row r="81">
      <c r="D81" s="212"/>
    </row>
    <row r="82">
      <c r="D82" s="212"/>
    </row>
    <row r="83">
      <c r="D83" s="212"/>
    </row>
    <row r="84">
      <c r="D84" s="212"/>
    </row>
    <row r="85">
      <c r="D85" s="212"/>
    </row>
    <row r="86">
      <c r="D86" s="212"/>
    </row>
    <row r="87">
      <c r="D87" s="212"/>
    </row>
    <row r="88">
      <c r="D88" s="212"/>
    </row>
    <row r="89">
      <c r="D89" s="212"/>
    </row>
    <row r="90">
      <c r="D90" s="212"/>
    </row>
    <row r="91">
      <c r="D91" s="212"/>
    </row>
    <row r="92">
      <c r="D92" s="212"/>
    </row>
    <row r="93">
      <c r="D93" s="212"/>
    </row>
    <row r="94">
      <c r="D94" s="212"/>
    </row>
    <row r="95">
      <c r="D95" s="212"/>
    </row>
    <row r="96">
      <c r="D96" s="212"/>
    </row>
    <row r="97">
      <c r="D97" s="212"/>
    </row>
    <row r="98">
      <c r="D98" s="212"/>
    </row>
    <row r="99">
      <c r="D99" s="212"/>
    </row>
    <row r="100">
      <c r="D100" s="212"/>
    </row>
    <row r="101">
      <c r="D101" s="212"/>
    </row>
    <row r="102">
      <c r="D102" s="212"/>
    </row>
    <row r="103">
      <c r="D103" s="212"/>
    </row>
    <row r="104">
      <c r="D104" s="212"/>
    </row>
    <row r="105">
      <c r="D105" s="212"/>
    </row>
    <row r="106">
      <c r="D106" s="212"/>
    </row>
    <row r="107">
      <c r="D107" s="212"/>
    </row>
    <row r="108">
      <c r="D108" s="212"/>
    </row>
    <row r="109">
      <c r="D109" s="212"/>
    </row>
    <row r="110">
      <c r="D110" s="212"/>
    </row>
    <row r="111">
      <c r="D111" s="212"/>
    </row>
    <row r="112">
      <c r="D112" s="212"/>
    </row>
    <row r="113">
      <c r="D113" s="212"/>
    </row>
    <row r="114">
      <c r="D114" s="212"/>
    </row>
    <row r="115">
      <c r="D115" s="212"/>
    </row>
    <row r="116">
      <c r="D116" s="212"/>
    </row>
    <row r="117">
      <c r="D117" s="212"/>
    </row>
    <row r="118">
      <c r="D118" s="212"/>
    </row>
    <row r="119">
      <c r="D119" s="212"/>
    </row>
    <row r="120">
      <c r="D120" s="212"/>
    </row>
    <row r="121">
      <c r="D121" s="212"/>
    </row>
    <row r="122">
      <c r="D122" s="212"/>
    </row>
    <row r="123">
      <c r="D123" s="212"/>
    </row>
    <row r="124">
      <c r="D124" s="212"/>
    </row>
    <row r="125">
      <c r="D125" s="212"/>
    </row>
    <row r="126">
      <c r="D126" s="212"/>
    </row>
    <row r="127">
      <c r="D127" s="212"/>
    </row>
    <row r="128">
      <c r="D128" s="212"/>
    </row>
    <row r="129">
      <c r="D129" s="212"/>
    </row>
    <row r="130">
      <c r="D130" s="212"/>
    </row>
    <row r="131">
      <c r="D131" s="212"/>
    </row>
    <row r="132">
      <c r="D132" s="212"/>
    </row>
    <row r="133">
      <c r="D133" s="212"/>
    </row>
    <row r="134">
      <c r="D134" s="212"/>
    </row>
    <row r="135">
      <c r="D135" s="212"/>
    </row>
    <row r="136">
      <c r="D136" s="212"/>
    </row>
    <row r="137">
      <c r="D137" s="212"/>
    </row>
    <row r="138">
      <c r="D138" s="212"/>
    </row>
    <row r="139">
      <c r="D139" s="212"/>
    </row>
    <row r="140">
      <c r="D140" s="212"/>
    </row>
    <row r="141">
      <c r="D141" s="212"/>
    </row>
    <row r="142">
      <c r="D142" s="212"/>
    </row>
    <row r="143">
      <c r="D143" s="212"/>
    </row>
    <row r="144">
      <c r="D144" s="212"/>
    </row>
    <row r="145">
      <c r="D145" s="212"/>
    </row>
    <row r="146">
      <c r="D146" s="212"/>
    </row>
    <row r="147">
      <c r="D147" s="212"/>
    </row>
    <row r="148">
      <c r="D148" s="212"/>
    </row>
    <row r="149">
      <c r="D149" s="212"/>
    </row>
    <row r="150">
      <c r="D150" s="212"/>
    </row>
    <row r="151">
      <c r="D151" s="212"/>
    </row>
    <row r="152">
      <c r="D152" s="212"/>
    </row>
    <row r="153">
      <c r="D153" s="212"/>
    </row>
    <row r="154">
      <c r="D154" s="212"/>
    </row>
    <row r="155">
      <c r="D155" s="212"/>
    </row>
    <row r="156">
      <c r="D156" s="212"/>
    </row>
    <row r="157">
      <c r="D157" s="212"/>
    </row>
    <row r="158">
      <c r="D158" s="212"/>
    </row>
    <row r="159">
      <c r="D159" s="212"/>
    </row>
    <row r="160">
      <c r="D160" s="212"/>
    </row>
    <row r="161">
      <c r="D161" s="212"/>
    </row>
    <row r="162">
      <c r="D162" s="212"/>
    </row>
    <row r="163">
      <c r="D163" s="212"/>
    </row>
    <row r="164">
      <c r="D164" s="212"/>
    </row>
    <row r="165">
      <c r="D165" s="212"/>
    </row>
    <row r="166">
      <c r="D166" s="212"/>
    </row>
    <row r="167">
      <c r="D167" s="212"/>
    </row>
    <row r="168">
      <c r="D168" s="212"/>
    </row>
    <row r="169">
      <c r="D169" s="212"/>
    </row>
    <row r="170">
      <c r="D170" s="212"/>
    </row>
    <row r="171">
      <c r="D171" s="212"/>
    </row>
    <row r="172">
      <c r="D172" s="212"/>
    </row>
    <row r="173">
      <c r="D173" s="212"/>
    </row>
    <row r="174">
      <c r="D174" s="212"/>
    </row>
    <row r="175">
      <c r="D175" s="212"/>
    </row>
    <row r="176">
      <c r="D176" s="212"/>
    </row>
    <row r="177">
      <c r="D177" s="212"/>
    </row>
    <row r="178">
      <c r="D178" s="212"/>
    </row>
    <row r="179">
      <c r="D179" s="212"/>
    </row>
    <row r="180">
      <c r="D180" s="212"/>
    </row>
    <row r="181">
      <c r="D181" s="212"/>
    </row>
    <row r="182">
      <c r="D182" s="212"/>
    </row>
    <row r="183">
      <c r="D183" s="212"/>
    </row>
    <row r="184">
      <c r="D184" s="212"/>
    </row>
    <row r="185">
      <c r="D185" s="212"/>
    </row>
    <row r="186">
      <c r="D186" s="212"/>
    </row>
    <row r="187">
      <c r="D187" s="212"/>
    </row>
    <row r="188">
      <c r="D188" s="212"/>
    </row>
    <row r="189">
      <c r="D189" s="212"/>
    </row>
    <row r="190">
      <c r="D190" s="212"/>
    </row>
    <row r="191">
      <c r="D191" s="212"/>
    </row>
    <row r="192">
      <c r="D192" s="212"/>
    </row>
    <row r="193">
      <c r="D193" s="212"/>
    </row>
    <row r="194">
      <c r="D194" s="212"/>
    </row>
    <row r="195">
      <c r="D195" s="212"/>
    </row>
    <row r="196">
      <c r="D196" s="212"/>
    </row>
    <row r="197">
      <c r="D197" s="212"/>
    </row>
    <row r="198">
      <c r="D198" s="212"/>
    </row>
    <row r="199">
      <c r="D199" s="212"/>
    </row>
    <row r="200">
      <c r="D200" s="212"/>
    </row>
    <row r="201">
      <c r="D201" s="212"/>
    </row>
    <row r="202">
      <c r="D202" s="212"/>
    </row>
    <row r="203">
      <c r="D203" s="212"/>
    </row>
    <row r="204">
      <c r="D204" s="212"/>
    </row>
    <row r="205">
      <c r="D205" s="212"/>
    </row>
    <row r="206">
      <c r="D206" s="212"/>
    </row>
    <row r="207">
      <c r="D207" s="212"/>
    </row>
    <row r="208">
      <c r="D208" s="212"/>
    </row>
    <row r="209">
      <c r="D209" s="212"/>
    </row>
    <row r="210">
      <c r="D210" s="212"/>
    </row>
    <row r="211">
      <c r="D211" s="212"/>
    </row>
    <row r="212">
      <c r="D212" s="212"/>
    </row>
    <row r="213">
      <c r="D213" s="212"/>
    </row>
    <row r="214">
      <c r="D214" s="212"/>
    </row>
    <row r="215">
      <c r="D215" s="212"/>
    </row>
    <row r="216">
      <c r="D216" s="212"/>
    </row>
    <row r="217">
      <c r="D217" s="212"/>
    </row>
    <row r="218">
      <c r="D218" s="212"/>
    </row>
    <row r="219">
      <c r="D219" s="212"/>
    </row>
    <row r="220">
      <c r="D220" s="212"/>
    </row>
    <row r="221">
      <c r="D221" s="212"/>
    </row>
    <row r="222">
      <c r="D222" s="212"/>
    </row>
    <row r="223">
      <c r="D223" s="212"/>
    </row>
    <row r="224">
      <c r="D224" s="212"/>
    </row>
    <row r="225">
      <c r="D225" s="212"/>
    </row>
    <row r="226">
      <c r="D226" s="212"/>
    </row>
    <row r="227">
      <c r="D227" s="212"/>
    </row>
    <row r="228">
      <c r="D228" s="212"/>
    </row>
    <row r="229">
      <c r="D229" s="212"/>
    </row>
    <row r="230">
      <c r="D230" s="212"/>
    </row>
    <row r="231">
      <c r="D231" s="212"/>
    </row>
    <row r="232">
      <c r="D232" s="212"/>
    </row>
    <row r="233">
      <c r="D233" s="212"/>
    </row>
    <row r="234">
      <c r="D234" s="212"/>
    </row>
    <row r="235">
      <c r="D235" s="212"/>
    </row>
    <row r="236">
      <c r="D236" s="212"/>
    </row>
    <row r="237">
      <c r="D237" s="212"/>
    </row>
    <row r="238">
      <c r="D238" s="212"/>
    </row>
    <row r="239">
      <c r="D239" s="212"/>
    </row>
    <row r="240">
      <c r="D240" s="212"/>
    </row>
    <row r="241">
      <c r="D241" s="212"/>
    </row>
    <row r="242">
      <c r="D242" s="212"/>
    </row>
    <row r="243">
      <c r="D243" s="212"/>
    </row>
    <row r="244">
      <c r="D244" s="212"/>
    </row>
    <row r="245">
      <c r="D245" s="212"/>
    </row>
    <row r="246">
      <c r="D246" s="212"/>
    </row>
    <row r="247">
      <c r="D247" s="212"/>
    </row>
    <row r="248">
      <c r="D248" s="212"/>
    </row>
    <row r="249">
      <c r="D249" s="212"/>
    </row>
    <row r="250">
      <c r="D250" s="212"/>
    </row>
    <row r="251">
      <c r="D251" s="212"/>
    </row>
    <row r="252">
      <c r="D252" s="212"/>
    </row>
    <row r="253">
      <c r="D253" s="212"/>
    </row>
    <row r="254">
      <c r="D254" s="212"/>
    </row>
    <row r="255">
      <c r="D255" s="212"/>
    </row>
    <row r="256">
      <c r="D256" s="212"/>
    </row>
    <row r="257">
      <c r="D257" s="212"/>
    </row>
    <row r="258">
      <c r="D258" s="212"/>
    </row>
    <row r="259">
      <c r="D259" s="212"/>
    </row>
    <row r="260">
      <c r="D260" s="212"/>
    </row>
    <row r="261">
      <c r="D261" s="212"/>
    </row>
    <row r="262">
      <c r="D262" s="212"/>
    </row>
    <row r="263">
      <c r="D263" s="212"/>
    </row>
    <row r="264">
      <c r="D264" s="212"/>
    </row>
    <row r="265">
      <c r="D265" s="212"/>
    </row>
    <row r="266">
      <c r="D266" s="212"/>
    </row>
    <row r="267">
      <c r="D267" s="212"/>
    </row>
    <row r="268">
      <c r="D268" s="212"/>
    </row>
    <row r="269">
      <c r="D269" s="212"/>
    </row>
    <row r="270">
      <c r="D270" s="212"/>
    </row>
    <row r="271">
      <c r="D271" s="212"/>
    </row>
    <row r="272">
      <c r="D272" s="212"/>
    </row>
    <row r="273">
      <c r="D273" s="212"/>
    </row>
    <row r="274">
      <c r="D274" s="212"/>
    </row>
    <row r="275">
      <c r="D275" s="212"/>
    </row>
    <row r="276">
      <c r="D276" s="212"/>
    </row>
    <row r="277">
      <c r="D277" s="212"/>
    </row>
    <row r="278">
      <c r="D278" s="212"/>
    </row>
    <row r="279">
      <c r="D279" s="212"/>
    </row>
    <row r="280">
      <c r="D280" s="212"/>
    </row>
    <row r="281">
      <c r="D281" s="212"/>
    </row>
    <row r="282">
      <c r="D282" s="212"/>
    </row>
    <row r="283">
      <c r="D283" s="212"/>
    </row>
    <row r="284">
      <c r="D284" s="212"/>
    </row>
    <row r="285">
      <c r="D285" s="212"/>
    </row>
    <row r="286">
      <c r="D286" s="212"/>
    </row>
    <row r="287">
      <c r="D287" s="212"/>
    </row>
    <row r="288">
      <c r="D288" s="212"/>
    </row>
    <row r="289">
      <c r="D289" s="212"/>
    </row>
    <row r="290">
      <c r="D290" s="212"/>
    </row>
    <row r="291">
      <c r="D291" s="212"/>
    </row>
    <row r="292">
      <c r="D292" s="212"/>
    </row>
    <row r="293">
      <c r="D293" s="212"/>
    </row>
    <row r="294">
      <c r="D294" s="212"/>
    </row>
    <row r="295">
      <c r="D295" s="212"/>
    </row>
    <row r="296">
      <c r="D296" s="212"/>
    </row>
    <row r="297">
      <c r="D297" s="212"/>
    </row>
    <row r="298">
      <c r="D298" s="212"/>
    </row>
    <row r="299">
      <c r="D299" s="212"/>
    </row>
    <row r="300">
      <c r="D300" s="212"/>
    </row>
    <row r="301">
      <c r="D301" s="212"/>
    </row>
    <row r="302">
      <c r="D302" s="212"/>
    </row>
    <row r="303">
      <c r="D303" s="212"/>
    </row>
    <row r="304">
      <c r="D304" s="212"/>
    </row>
    <row r="305">
      <c r="D305" s="212"/>
    </row>
    <row r="306">
      <c r="D306" s="212"/>
    </row>
    <row r="307">
      <c r="D307" s="212"/>
    </row>
    <row r="308">
      <c r="D308" s="212"/>
    </row>
    <row r="309">
      <c r="D309" s="212"/>
    </row>
    <row r="310">
      <c r="D310" s="212"/>
    </row>
    <row r="311">
      <c r="D311" s="212"/>
    </row>
    <row r="312">
      <c r="D312" s="212"/>
    </row>
    <row r="313">
      <c r="D313" s="212"/>
    </row>
    <row r="314">
      <c r="D314" s="212"/>
    </row>
    <row r="315">
      <c r="D315" s="212"/>
    </row>
    <row r="316">
      <c r="D316" s="212"/>
    </row>
    <row r="317">
      <c r="D317" s="212"/>
    </row>
    <row r="318">
      <c r="D318" s="212"/>
    </row>
    <row r="319">
      <c r="D319" s="212"/>
    </row>
    <row r="320">
      <c r="D320" s="212"/>
    </row>
    <row r="321">
      <c r="D321" s="212"/>
    </row>
    <row r="322">
      <c r="D322" s="212"/>
    </row>
    <row r="323">
      <c r="D323" s="212"/>
    </row>
    <row r="324">
      <c r="D324" s="212"/>
    </row>
    <row r="325">
      <c r="D325" s="212"/>
    </row>
    <row r="326">
      <c r="D326" s="212"/>
    </row>
    <row r="327">
      <c r="D327" s="212"/>
    </row>
    <row r="328">
      <c r="D328" s="212"/>
    </row>
    <row r="329">
      <c r="D329" s="212"/>
    </row>
    <row r="330">
      <c r="D330" s="212"/>
    </row>
    <row r="331">
      <c r="D331" s="212"/>
    </row>
    <row r="332">
      <c r="D332" s="212"/>
    </row>
    <row r="333">
      <c r="D333" s="212"/>
    </row>
    <row r="334">
      <c r="D334" s="212"/>
    </row>
    <row r="335">
      <c r="D335" s="212"/>
    </row>
    <row r="336">
      <c r="D336" s="212"/>
    </row>
    <row r="337">
      <c r="D337" s="212"/>
    </row>
    <row r="338">
      <c r="D338" s="212"/>
    </row>
    <row r="339">
      <c r="D339" s="212"/>
    </row>
    <row r="340">
      <c r="D340" s="212"/>
    </row>
    <row r="341">
      <c r="D341" s="212"/>
    </row>
    <row r="342">
      <c r="D342" s="212"/>
    </row>
    <row r="343">
      <c r="D343" s="212"/>
    </row>
    <row r="344">
      <c r="D344" s="212"/>
    </row>
    <row r="345">
      <c r="D345" s="212"/>
    </row>
    <row r="346">
      <c r="D346" s="212"/>
    </row>
    <row r="347">
      <c r="D347" s="212"/>
    </row>
    <row r="348">
      <c r="D348" s="212"/>
    </row>
    <row r="349">
      <c r="D349" s="212"/>
    </row>
    <row r="350">
      <c r="D350" s="212"/>
    </row>
    <row r="351">
      <c r="D351" s="212"/>
    </row>
    <row r="352">
      <c r="D352" s="212"/>
    </row>
    <row r="353">
      <c r="D353" s="212"/>
    </row>
    <row r="354">
      <c r="D354" s="212"/>
    </row>
    <row r="355">
      <c r="D355" s="212"/>
    </row>
    <row r="356">
      <c r="D356" s="212"/>
    </row>
    <row r="357">
      <c r="D357" s="212"/>
    </row>
    <row r="358">
      <c r="D358" s="212"/>
    </row>
    <row r="359">
      <c r="D359" s="212"/>
    </row>
    <row r="360">
      <c r="D360" s="212"/>
    </row>
    <row r="361">
      <c r="D361" s="212"/>
    </row>
    <row r="362">
      <c r="D362" s="212"/>
    </row>
    <row r="363">
      <c r="D363" s="212"/>
    </row>
    <row r="364">
      <c r="D364" s="212"/>
    </row>
    <row r="365">
      <c r="D365" s="212"/>
    </row>
    <row r="366">
      <c r="D366" s="212"/>
    </row>
    <row r="367">
      <c r="D367" s="212"/>
    </row>
    <row r="368">
      <c r="D368" s="212"/>
    </row>
    <row r="369">
      <c r="D369" s="212"/>
    </row>
    <row r="370">
      <c r="D370" s="212"/>
    </row>
    <row r="371">
      <c r="D371" s="212"/>
    </row>
    <row r="372">
      <c r="D372" s="212"/>
    </row>
    <row r="373">
      <c r="D373" s="212"/>
    </row>
    <row r="374">
      <c r="D374" s="212"/>
    </row>
    <row r="375">
      <c r="D375" s="212"/>
    </row>
    <row r="376">
      <c r="D376" s="212"/>
    </row>
    <row r="377">
      <c r="D377" s="212"/>
    </row>
    <row r="378">
      <c r="D378" s="212"/>
    </row>
    <row r="379">
      <c r="D379" s="212"/>
    </row>
    <row r="380">
      <c r="D380" s="212"/>
    </row>
    <row r="381">
      <c r="D381" s="212"/>
    </row>
    <row r="382">
      <c r="D382" s="212"/>
    </row>
    <row r="383">
      <c r="D383" s="212"/>
    </row>
    <row r="384">
      <c r="D384" s="212"/>
    </row>
    <row r="385">
      <c r="D385" s="212"/>
    </row>
    <row r="386">
      <c r="D386" s="212"/>
    </row>
    <row r="387">
      <c r="D387" s="212"/>
    </row>
    <row r="388">
      <c r="D388" s="212"/>
    </row>
    <row r="389">
      <c r="D389" s="212"/>
    </row>
    <row r="390">
      <c r="D390" s="212"/>
    </row>
    <row r="391">
      <c r="D391" s="212"/>
    </row>
    <row r="392">
      <c r="D392" s="212"/>
    </row>
    <row r="393">
      <c r="D393" s="212"/>
    </row>
    <row r="394">
      <c r="D394" s="212"/>
    </row>
    <row r="395">
      <c r="D395" s="212"/>
    </row>
    <row r="396">
      <c r="D396" s="212"/>
    </row>
    <row r="397">
      <c r="D397" s="212"/>
    </row>
    <row r="398">
      <c r="D398" s="212"/>
    </row>
    <row r="399">
      <c r="D399" s="212"/>
    </row>
    <row r="400">
      <c r="D400" s="212"/>
    </row>
    <row r="401">
      <c r="D401" s="212"/>
    </row>
    <row r="402">
      <c r="D402" s="212"/>
    </row>
    <row r="403">
      <c r="D403" s="212"/>
    </row>
    <row r="404">
      <c r="D404" s="212"/>
    </row>
    <row r="405">
      <c r="D405" s="212"/>
    </row>
    <row r="406">
      <c r="D406" s="212"/>
    </row>
    <row r="407">
      <c r="D407" s="212"/>
    </row>
    <row r="408">
      <c r="D408" s="212"/>
    </row>
    <row r="409">
      <c r="D409" s="212"/>
    </row>
    <row r="410">
      <c r="D410" s="212"/>
    </row>
    <row r="411">
      <c r="D411" s="212"/>
    </row>
    <row r="412">
      <c r="D412" s="212"/>
    </row>
    <row r="413">
      <c r="D413" s="212"/>
    </row>
    <row r="414">
      <c r="D414" s="212"/>
    </row>
    <row r="415">
      <c r="D415" s="212"/>
    </row>
    <row r="416">
      <c r="D416" s="212"/>
    </row>
    <row r="417">
      <c r="D417" s="212"/>
    </row>
    <row r="418">
      <c r="D418" s="212"/>
    </row>
    <row r="419">
      <c r="D419" s="212"/>
    </row>
    <row r="420">
      <c r="D420" s="212"/>
    </row>
    <row r="421">
      <c r="D421" s="212"/>
    </row>
    <row r="422">
      <c r="D422" s="212"/>
    </row>
    <row r="423">
      <c r="D423" s="212"/>
    </row>
    <row r="424">
      <c r="D424" s="212"/>
    </row>
    <row r="425">
      <c r="D425" s="212"/>
    </row>
    <row r="426">
      <c r="D426" s="212"/>
    </row>
    <row r="427">
      <c r="D427" s="212"/>
    </row>
    <row r="428">
      <c r="D428" s="212"/>
    </row>
    <row r="429">
      <c r="D429" s="212"/>
    </row>
    <row r="430">
      <c r="D430" s="212"/>
    </row>
    <row r="431">
      <c r="D431" s="212"/>
    </row>
    <row r="432">
      <c r="D432" s="212"/>
    </row>
    <row r="433">
      <c r="D433" s="212"/>
    </row>
    <row r="434">
      <c r="D434" s="212"/>
    </row>
    <row r="435">
      <c r="D435" s="212"/>
    </row>
    <row r="436">
      <c r="D436" s="212"/>
    </row>
    <row r="437">
      <c r="D437" s="212"/>
    </row>
    <row r="438">
      <c r="D438" s="212"/>
    </row>
    <row r="439">
      <c r="D439" s="212"/>
    </row>
    <row r="440">
      <c r="D440" s="212"/>
    </row>
    <row r="441">
      <c r="D441" s="212"/>
    </row>
    <row r="442">
      <c r="D442" s="212"/>
    </row>
    <row r="443">
      <c r="D443" s="212"/>
    </row>
    <row r="444">
      <c r="D444" s="212"/>
    </row>
    <row r="445">
      <c r="D445" s="212"/>
    </row>
    <row r="446">
      <c r="D446" s="212"/>
    </row>
    <row r="447">
      <c r="D447" s="212"/>
    </row>
    <row r="448">
      <c r="D448" s="212"/>
    </row>
    <row r="449">
      <c r="D449" s="212"/>
    </row>
    <row r="450">
      <c r="D450" s="212"/>
    </row>
    <row r="451">
      <c r="D451" s="212"/>
    </row>
    <row r="452">
      <c r="D452" s="212"/>
    </row>
    <row r="453">
      <c r="D453" s="212"/>
    </row>
    <row r="454">
      <c r="D454" s="212"/>
    </row>
    <row r="455">
      <c r="D455" s="212"/>
    </row>
    <row r="456">
      <c r="D456" s="212"/>
    </row>
    <row r="457">
      <c r="D457" s="212"/>
    </row>
    <row r="458">
      <c r="D458" s="212"/>
    </row>
    <row r="459">
      <c r="D459" s="212"/>
    </row>
    <row r="460">
      <c r="D460" s="212"/>
    </row>
    <row r="461">
      <c r="D461" s="212"/>
    </row>
    <row r="462">
      <c r="D462" s="212"/>
    </row>
    <row r="463">
      <c r="D463" s="212"/>
    </row>
    <row r="464">
      <c r="D464" s="212"/>
    </row>
    <row r="465">
      <c r="D465" s="212"/>
    </row>
    <row r="466">
      <c r="D466" s="212"/>
    </row>
    <row r="467">
      <c r="D467" s="212"/>
    </row>
    <row r="468">
      <c r="D468" s="212"/>
    </row>
    <row r="469">
      <c r="D469" s="212"/>
    </row>
    <row r="470">
      <c r="D470" s="212"/>
    </row>
    <row r="471">
      <c r="D471" s="212"/>
    </row>
    <row r="472">
      <c r="D472" s="212"/>
    </row>
    <row r="473">
      <c r="D473" s="212"/>
    </row>
    <row r="474">
      <c r="D474" s="212"/>
    </row>
    <row r="475">
      <c r="D475" s="212"/>
    </row>
    <row r="476">
      <c r="D476" s="212"/>
    </row>
    <row r="477">
      <c r="D477" s="212"/>
    </row>
    <row r="478">
      <c r="D478" s="212"/>
    </row>
    <row r="479">
      <c r="D479" s="212"/>
    </row>
    <row r="480">
      <c r="D480" s="212"/>
    </row>
    <row r="481">
      <c r="D481" s="212"/>
    </row>
    <row r="482">
      <c r="D482" s="212"/>
    </row>
    <row r="483">
      <c r="D483" s="212"/>
    </row>
    <row r="484">
      <c r="D484" s="212"/>
    </row>
    <row r="485">
      <c r="D485" s="212"/>
    </row>
    <row r="486">
      <c r="D486" s="212"/>
    </row>
    <row r="487">
      <c r="D487" s="212"/>
    </row>
    <row r="488">
      <c r="D488" s="212"/>
    </row>
    <row r="489">
      <c r="D489" s="212"/>
    </row>
    <row r="490">
      <c r="D490" s="212"/>
    </row>
    <row r="491">
      <c r="D491" s="212"/>
    </row>
    <row r="492">
      <c r="D492" s="212"/>
    </row>
    <row r="493">
      <c r="D493" s="212"/>
    </row>
    <row r="494">
      <c r="D494" s="212"/>
    </row>
    <row r="495">
      <c r="D495" s="212"/>
    </row>
    <row r="496">
      <c r="D496" s="212"/>
    </row>
    <row r="497">
      <c r="D497" s="212"/>
    </row>
    <row r="498">
      <c r="D498" s="212"/>
    </row>
    <row r="499">
      <c r="D499" s="212"/>
    </row>
    <row r="500">
      <c r="D500" s="212"/>
    </row>
    <row r="501">
      <c r="D501" s="212"/>
    </row>
    <row r="502">
      <c r="D502" s="212"/>
    </row>
    <row r="503">
      <c r="D503" s="212"/>
    </row>
    <row r="504">
      <c r="D504" s="212"/>
    </row>
    <row r="505">
      <c r="D505" s="212"/>
    </row>
    <row r="506">
      <c r="D506" s="212"/>
    </row>
    <row r="507">
      <c r="D507" s="212"/>
    </row>
    <row r="508">
      <c r="D508" s="212"/>
    </row>
    <row r="509">
      <c r="D509" s="212"/>
    </row>
    <row r="510">
      <c r="D510" s="212"/>
    </row>
    <row r="511">
      <c r="D511" s="212"/>
    </row>
    <row r="512">
      <c r="D512" s="212"/>
    </row>
    <row r="513">
      <c r="D513" s="212"/>
    </row>
    <row r="514">
      <c r="D514" s="212"/>
    </row>
    <row r="515">
      <c r="D515" s="212"/>
    </row>
    <row r="516">
      <c r="D516" s="212"/>
    </row>
    <row r="517">
      <c r="D517" s="212"/>
    </row>
    <row r="518">
      <c r="D518" s="212"/>
    </row>
    <row r="519">
      <c r="D519" s="212"/>
    </row>
    <row r="520">
      <c r="D520" s="212"/>
    </row>
    <row r="521">
      <c r="D521" s="212"/>
    </row>
    <row r="522">
      <c r="D522" s="212"/>
    </row>
    <row r="523">
      <c r="D523" s="212"/>
    </row>
    <row r="524">
      <c r="D524" s="212"/>
    </row>
    <row r="525">
      <c r="D525" s="212"/>
    </row>
    <row r="526">
      <c r="D526" s="212"/>
    </row>
    <row r="527">
      <c r="D527" s="212"/>
    </row>
    <row r="528">
      <c r="D528" s="212"/>
    </row>
    <row r="529">
      <c r="D529" s="212"/>
    </row>
    <row r="530">
      <c r="D530" s="212"/>
    </row>
    <row r="531">
      <c r="D531" s="212"/>
    </row>
    <row r="532">
      <c r="D532" s="212"/>
    </row>
    <row r="533">
      <c r="D533" s="212"/>
    </row>
    <row r="534">
      <c r="D534" s="212"/>
    </row>
    <row r="535">
      <c r="D535" s="212"/>
    </row>
    <row r="536">
      <c r="D536" s="212"/>
    </row>
    <row r="537">
      <c r="D537" s="212"/>
    </row>
    <row r="538">
      <c r="D538" s="212"/>
    </row>
    <row r="539">
      <c r="D539" s="212"/>
    </row>
    <row r="540">
      <c r="D540" s="212"/>
    </row>
    <row r="541">
      <c r="D541" s="212"/>
    </row>
    <row r="542">
      <c r="D542" s="212"/>
    </row>
    <row r="543">
      <c r="D543" s="212"/>
    </row>
    <row r="544">
      <c r="D544" s="212"/>
    </row>
    <row r="545">
      <c r="D545" s="212"/>
    </row>
    <row r="546">
      <c r="D546" s="212"/>
    </row>
    <row r="547">
      <c r="D547" s="212"/>
    </row>
    <row r="548">
      <c r="D548" s="212"/>
    </row>
    <row r="549">
      <c r="D549" s="212"/>
    </row>
    <row r="550">
      <c r="D550" s="212"/>
    </row>
    <row r="551">
      <c r="D551" s="212"/>
    </row>
    <row r="552">
      <c r="D552" s="212"/>
    </row>
    <row r="553">
      <c r="D553" s="212"/>
    </row>
    <row r="554">
      <c r="D554" s="212"/>
    </row>
    <row r="555">
      <c r="D555" s="212"/>
    </row>
    <row r="556">
      <c r="D556" s="212"/>
    </row>
    <row r="557">
      <c r="D557" s="212"/>
    </row>
    <row r="558">
      <c r="D558" s="212"/>
    </row>
    <row r="559">
      <c r="D559" s="212"/>
    </row>
    <row r="560">
      <c r="D560" s="212"/>
    </row>
    <row r="561">
      <c r="D561" s="212"/>
    </row>
    <row r="562">
      <c r="D562" s="212"/>
    </row>
    <row r="563">
      <c r="D563" s="212"/>
    </row>
    <row r="564">
      <c r="D564" s="212"/>
    </row>
    <row r="565">
      <c r="D565" s="212"/>
    </row>
    <row r="566">
      <c r="D566" s="212"/>
    </row>
    <row r="567">
      <c r="D567" s="212"/>
    </row>
    <row r="568">
      <c r="D568" s="212"/>
    </row>
    <row r="569">
      <c r="D569" s="212"/>
    </row>
    <row r="570">
      <c r="D570" s="212"/>
    </row>
    <row r="571">
      <c r="D571" s="212"/>
    </row>
    <row r="572">
      <c r="D572" s="212"/>
    </row>
    <row r="573">
      <c r="D573" s="212"/>
    </row>
    <row r="574">
      <c r="D574" s="212"/>
    </row>
    <row r="575">
      <c r="D575" s="212"/>
    </row>
    <row r="576">
      <c r="D576" s="212"/>
    </row>
    <row r="577">
      <c r="D577" s="212"/>
    </row>
    <row r="578">
      <c r="D578" s="212"/>
    </row>
    <row r="579">
      <c r="D579" s="212"/>
    </row>
    <row r="580">
      <c r="D580" s="212"/>
    </row>
    <row r="581">
      <c r="D581" s="212"/>
    </row>
    <row r="582">
      <c r="D582" s="212"/>
    </row>
    <row r="583">
      <c r="D583" s="212"/>
    </row>
    <row r="584">
      <c r="D584" s="212"/>
    </row>
    <row r="585">
      <c r="D585" s="212"/>
    </row>
    <row r="586">
      <c r="D586" s="212"/>
    </row>
    <row r="587">
      <c r="D587" s="212"/>
    </row>
    <row r="588">
      <c r="D588" s="212"/>
    </row>
    <row r="589">
      <c r="D589" s="212"/>
    </row>
    <row r="590">
      <c r="D590" s="212"/>
    </row>
    <row r="591">
      <c r="D591" s="212"/>
    </row>
    <row r="592">
      <c r="D592" s="212"/>
    </row>
    <row r="593">
      <c r="D593" s="212"/>
    </row>
    <row r="594">
      <c r="D594" s="212"/>
    </row>
    <row r="595">
      <c r="D595" s="212"/>
    </row>
    <row r="596">
      <c r="D596" s="212"/>
    </row>
    <row r="597">
      <c r="D597" s="212"/>
    </row>
    <row r="598">
      <c r="D598" s="212"/>
    </row>
    <row r="599">
      <c r="D599" s="212"/>
    </row>
    <row r="600">
      <c r="D600" s="212"/>
    </row>
    <row r="601">
      <c r="D601" s="212"/>
    </row>
    <row r="602">
      <c r="D602" s="212"/>
    </row>
    <row r="603">
      <c r="D603" s="212"/>
    </row>
    <row r="604">
      <c r="D604" s="212"/>
    </row>
    <row r="605">
      <c r="D605" s="212"/>
    </row>
    <row r="606">
      <c r="D606" s="212"/>
    </row>
    <row r="607">
      <c r="D607" s="212"/>
    </row>
    <row r="608">
      <c r="D608" s="212"/>
    </row>
    <row r="609">
      <c r="D609" s="212"/>
    </row>
    <row r="610">
      <c r="D610" s="212"/>
    </row>
    <row r="611">
      <c r="D611" s="212"/>
    </row>
    <row r="612">
      <c r="D612" s="212"/>
    </row>
    <row r="613">
      <c r="D613" s="212"/>
    </row>
    <row r="614">
      <c r="D614" s="212"/>
    </row>
    <row r="615">
      <c r="D615" s="212"/>
    </row>
    <row r="616">
      <c r="D616" s="212"/>
    </row>
    <row r="617">
      <c r="D617" s="212"/>
    </row>
    <row r="618">
      <c r="D618" s="212"/>
    </row>
    <row r="619">
      <c r="D619" s="212"/>
    </row>
    <row r="620">
      <c r="D620" s="212"/>
    </row>
    <row r="621">
      <c r="D621" s="212"/>
    </row>
    <row r="622">
      <c r="D622" s="212"/>
    </row>
    <row r="623">
      <c r="D623" s="212"/>
    </row>
    <row r="624">
      <c r="D624" s="212"/>
    </row>
    <row r="625">
      <c r="D625" s="212"/>
    </row>
    <row r="626">
      <c r="D626" s="212"/>
    </row>
    <row r="627">
      <c r="D627" s="212"/>
    </row>
    <row r="628">
      <c r="D628" s="212"/>
    </row>
    <row r="629">
      <c r="D629" s="212"/>
    </row>
    <row r="630">
      <c r="D630" s="212"/>
    </row>
    <row r="631">
      <c r="D631" s="212"/>
    </row>
    <row r="632">
      <c r="D632" s="212"/>
    </row>
    <row r="633">
      <c r="D633" s="212"/>
    </row>
    <row r="634">
      <c r="D634" s="212"/>
    </row>
    <row r="635">
      <c r="D635" s="212"/>
    </row>
    <row r="636">
      <c r="D636" s="212"/>
    </row>
    <row r="637">
      <c r="D637" s="212"/>
    </row>
    <row r="638">
      <c r="D638" s="212"/>
    </row>
    <row r="639">
      <c r="D639" s="212"/>
    </row>
    <row r="640">
      <c r="D640" s="212"/>
    </row>
    <row r="641">
      <c r="D641" s="212"/>
    </row>
    <row r="642">
      <c r="D642" s="212"/>
    </row>
    <row r="643">
      <c r="D643" s="212"/>
    </row>
    <row r="644">
      <c r="D644" s="212"/>
    </row>
    <row r="645">
      <c r="D645" s="212"/>
    </row>
    <row r="646">
      <c r="D646" s="212"/>
    </row>
    <row r="647">
      <c r="D647" s="212"/>
    </row>
    <row r="648">
      <c r="D648" s="212"/>
    </row>
    <row r="649">
      <c r="D649" s="212"/>
    </row>
    <row r="650">
      <c r="D650" s="212"/>
    </row>
    <row r="651">
      <c r="D651" s="212"/>
    </row>
    <row r="652">
      <c r="D652" s="212"/>
    </row>
    <row r="653">
      <c r="D653" s="212"/>
    </row>
    <row r="654">
      <c r="D654" s="212"/>
    </row>
    <row r="655">
      <c r="D655" s="212"/>
    </row>
    <row r="656">
      <c r="D656" s="212"/>
    </row>
    <row r="657">
      <c r="D657" s="212"/>
    </row>
    <row r="658">
      <c r="D658" s="212"/>
    </row>
    <row r="659">
      <c r="D659" s="212"/>
    </row>
    <row r="660">
      <c r="D660" s="212"/>
    </row>
    <row r="661">
      <c r="D661" s="212"/>
    </row>
    <row r="662">
      <c r="D662" s="212"/>
    </row>
    <row r="663">
      <c r="D663" s="212"/>
    </row>
    <row r="664">
      <c r="D664" s="212"/>
    </row>
    <row r="665">
      <c r="D665" s="212"/>
    </row>
    <row r="666">
      <c r="D666" s="212"/>
    </row>
    <row r="667">
      <c r="D667" s="212"/>
    </row>
    <row r="668">
      <c r="D668" s="212"/>
    </row>
    <row r="669">
      <c r="D669" s="212"/>
    </row>
    <row r="670">
      <c r="D670" s="212"/>
    </row>
    <row r="671">
      <c r="D671" s="212"/>
    </row>
    <row r="672">
      <c r="D672" s="212"/>
    </row>
    <row r="673">
      <c r="D673" s="212"/>
    </row>
    <row r="674">
      <c r="D674" s="212"/>
    </row>
    <row r="675">
      <c r="D675" s="212"/>
    </row>
    <row r="676">
      <c r="D676" s="212"/>
    </row>
    <row r="677">
      <c r="D677" s="212"/>
    </row>
    <row r="678">
      <c r="D678" s="212"/>
    </row>
    <row r="679">
      <c r="D679" s="212"/>
    </row>
    <row r="680">
      <c r="D680" s="212"/>
    </row>
    <row r="681">
      <c r="D681" s="212"/>
    </row>
    <row r="682">
      <c r="D682" s="212"/>
    </row>
    <row r="683">
      <c r="D683" s="212"/>
    </row>
    <row r="684">
      <c r="D684" s="212"/>
    </row>
    <row r="685">
      <c r="D685" s="212"/>
    </row>
    <row r="686">
      <c r="D686" s="212"/>
    </row>
    <row r="687">
      <c r="D687" s="212"/>
    </row>
    <row r="688">
      <c r="D688" s="212"/>
    </row>
    <row r="689">
      <c r="D689" s="212"/>
    </row>
    <row r="690">
      <c r="D690" s="212"/>
    </row>
    <row r="691">
      <c r="D691" s="212"/>
    </row>
    <row r="692">
      <c r="D692" s="212"/>
    </row>
    <row r="693">
      <c r="D693" s="212"/>
    </row>
    <row r="694">
      <c r="D694" s="212"/>
    </row>
    <row r="695">
      <c r="D695" s="212"/>
    </row>
    <row r="696">
      <c r="D696" s="212"/>
    </row>
    <row r="697">
      <c r="D697" s="212"/>
    </row>
    <row r="698">
      <c r="D698" s="212"/>
    </row>
    <row r="699">
      <c r="D699" s="212"/>
    </row>
    <row r="700">
      <c r="D700" s="212"/>
    </row>
    <row r="701">
      <c r="D701" s="212"/>
    </row>
    <row r="702">
      <c r="D702" s="212"/>
    </row>
    <row r="703">
      <c r="D703" s="212"/>
    </row>
    <row r="704">
      <c r="D704" s="212"/>
    </row>
    <row r="705">
      <c r="D705" s="212"/>
    </row>
    <row r="706">
      <c r="D706" s="212"/>
    </row>
    <row r="707">
      <c r="D707" s="212"/>
    </row>
    <row r="708">
      <c r="D708" s="212"/>
    </row>
    <row r="709">
      <c r="D709" s="212"/>
    </row>
    <row r="710">
      <c r="D710" s="212"/>
    </row>
    <row r="711">
      <c r="D711" s="212"/>
    </row>
    <row r="712">
      <c r="D712" s="212"/>
    </row>
    <row r="713">
      <c r="D713" s="212"/>
    </row>
    <row r="714">
      <c r="D714" s="212"/>
    </row>
    <row r="715">
      <c r="D715" s="212"/>
    </row>
    <row r="716">
      <c r="D716" s="212"/>
    </row>
    <row r="717">
      <c r="D717" s="212"/>
    </row>
    <row r="718">
      <c r="D718" s="212"/>
    </row>
    <row r="719">
      <c r="D719" s="212"/>
    </row>
    <row r="720">
      <c r="D720" s="212"/>
    </row>
    <row r="721">
      <c r="D721" s="212"/>
    </row>
    <row r="722">
      <c r="D722" s="212"/>
    </row>
    <row r="723">
      <c r="D723" s="212"/>
    </row>
    <row r="724">
      <c r="D724" s="212"/>
    </row>
    <row r="725">
      <c r="D725" s="212"/>
    </row>
    <row r="726">
      <c r="D726" s="212"/>
    </row>
    <row r="727">
      <c r="D727" s="212"/>
    </row>
    <row r="728">
      <c r="D728" s="212"/>
    </row>
    <row r="729">
      <c r="D729" s="212"/>
    </row>
    <row r="730">
      <c r="D730" s="212"/>
    </row>
    <row r="731">
      <c r="D731" s="212"/>
    </row>
    <row r="732">
      <c r="D732" s="212"/>
    </row>
    <row r="733">
      <c r="D733" s="212"/>
    </row>
    <row r="734">
      <c r="D734" s="212"/>
    </row>
    <row r="735">
      <c r="D735" s="212"/>
    </row>
    <row r="736">
      <c r="D736" s="212"/>
    </row>
    <row r="737">
      <c r="D737" s="212"/>
    </row>
    <row r="738">
      <c r="D738" s="212"/>
    </row>
    <row r="739">
      <c r="D739" s="212"/>
    </row>
    <row r="740">
      <c r="D740" s="212"/>
    </row>
    <row r="741">
      <c r="D741" s="212"/>
    </row>
    <row r="742">
      <c r="D742" s="212"/>
    </row>
    <row r="743">
      <c r="D743" s="212"/>
    </row>
    <row r="744">
      <c r="D744" s="212"/>
    </row>
    <row r="745">
      <c r="D745" s="212"/>
    </row>
    <row r="746">
      <c r="D746" s="212"/>
    </row>
    <row r="747">
      <c r="D747" s="212"/>
    </row>
    <row r="748">
      <c r="D748" s="212"/>
    </row>
    <row r="749">
      <c r="D749" s="212"/>
    </row>
    <row r="750">
      <c r="D750" s="212"/>
    </row>
    <row r="751">
      <c r="D751" s="212"/>
    </row>
    <row r="752">
      <c r="D752" s="212"/>
    </row>
    <row r="753">
      <c r="D753" s="212"/>
    </row>
    <row r="754">
      <c r="D754" s="212"/>
    </row>
    <row r="755">
      <c r="D755" s="212"/>
    </row>
    <row r="756">
      <c r="D756" s="212"/>
    </row>
    <row r="757">
      <c r="D757" s="212"/>
    </row>
    <row r="758">
      <c r="D758" s="212"/>
    </row>
    <row r="759">
      <c r="D759" s="212"/>
    </row>
    <row r="760">
      <c r="D760" s="212"/>
    </row>
    <row r="761">
      <c r="D761" s="212"/>
    </row>
    <row r="762">
      <c r="D762" s="212"/>
    </row>
    <row r="763">
      <c r="D763" s="212"/>
    </row>
    <row r="764">
      <c r="D764" s="212"/>
    </row>
    <row r="765">
      <c r="D765" s="212"/>
    </row>
    <row r="766">
      <c r="D766" s="212"/>
    </row>
    <row r="767">
      <c r="D767" s="212"/>
    </row>
    <row r="768">
      <c r="D768" s="212"/>
    </row>
    <row r="769">
      <c r="D769" s="212"/>
    </row>
    <row r="770">
      <c r="D770" s="212"/>
    </row>
    <row r="771">
      <c r="D771" s="212"/>
    </row>
    <row r="772">
      <c r="D772" s="212"/>
    </row>
    <row r="773">
      <c r="D773" s="212"/>
    </row>
    <row r="774">
      <c r="D774" s="212"/>
    </row>
    <row r="775">
      <c r="D775" s="212"/>
    </row>
    <row r="776">
      <c r="D776" s="212"/>
    </row>
    <row r="777">
      <c r="D777" s="212"/>
    </row>
    <row r="778">
      <c r="D778" s="212"/>
    </row>
    <row r="779">
      <c r="D779" s="212"/>
    </row>
    <row r="780">
      <c r="D780" s="212"/>
    </row>
    <row r="781">
      <c r="D781" s="212"/>
    </row>
    <row r="782">
      <c r="D782" s="212"/>
    </row>
    <row r="783">
      <c r="D783" s="212"/>
    </row>
    <row r="784">
      <c r="D784" s="212"/>
    </row>
    <row r="785">
      <c r="D785" s="212"/>
    </row>
    <row r="786">
      <c r="D786" s="212"/>
    </row>
    <row r="787">
      <c r="D787" s="212"/>
    </row>
    <row r="788">
      <c r="D788" s="212"/>
    </row>
    <row r="789">
      <c r="D789" s="212"/>
    </row>
    <row r="790">
      <c r="D790" s="212"/>
    </row>
    <row r="791">
      <c r="D791" s="212"/>
    </row>
    <row r="792">
      <c r="D792" s="212"/>
    </row>
    <row r="793">
      <c r="D793" s="212"/>
    </row>
    <row r="794">
      <c r="D794" s="212"/>
    </row>
    <row r="795">
      <c r="D795" s="212"/>
    </row>
    <row r="796">
      <c r="D796" s="212"/>
    </row>
    <row r="797">
      <c r="D797" s="212"/>
    </row>
    <row r="798">
      <c r="D798" s="212"/>
    </row>
    <row r="799">
      <c r="D799" s="212"/>
    </row>
    <row r="800">
      <c r="D800" s="212"/>
    </row>
    <row r="801">
      <c r="D801" s="212"/>
    </row>
    <row r="802">
      <c r="D802" s="212"/>
    </row>
    <row r="803">
      <c r="D803" s="212"/>
    </row>
    <row r="804">
      <c r="D804" s="212"/>
    </row>
    <row r="805">
      <c r="D805" s="212"/>
    </row>
    <row r="806">
      <c r="D806" s="212"/>
    </row>
    <row r="807">
      <c r="D807" s="212"/>
    </row>
    <row r="808">
      <c r="D808" s="212"/>
    </row>
    <row r="809">
      <c r="D809" s="212"/>
    </row>
    <row r="810">
      <c r="D810" s="212"/>
    </row>
    <row r="811">
      <c r="D811" s="212"/>
    </row>
    <row r="812">
      <c r="D812" s="212"/>
    </row>
    <row r="813">
      <c r="D813" s="212"/>
    </row>
    <row r="814">
      <c r="D814" s="212"/>
    </row>
    <row r="815">
      <c r="D815" s="212"/>
    </row>
    <row r="816">
      <c r="D816" s="212"/>
    </row>
    <row r="817">
      <c r="D817" s="212"/>
    </row>
    <row r="818">
      <c r="D818" s="212"/>
    </row>
    <row r="819">
      <c r="D819" s="212"/>
    </row>
    <row r="820">
      <c r="D820" s="212"/>
    </row>
    <row r="821">
      <c r="D821" s="212"/>
    </row>
    <row r="822">
      <c r="D822" s="212"/>
    </row>
    <row r="823">
      <c r="D823" s="212"/>
    </row>
    <row r="824">
      <c r="D824" s="212"/>
    </row>
    <row r="825">
      <c r="D825" s="212"/>
    </row>
    <row r="826">
      <c r="D826" s="212"/>
    </row>
    <row r="827">
      <c r="D827" s="212"/>
    </row>
    <row r="828">
      <c r="D828" s="212"/>
    </row>
    <row r="829">
      <c r="D829" s="212"/>
    </row>
    <row r="830">
      <c r="D830" s="212"/>
    </row>
    <row r="831">
      <c r="D831" s="212"/>
    </row>
    <row r="832">
      <c r="D832" s="212"/>
    </row>
    <row r="833">
      <c r="D833" s="212"/>
    </row>
    <row r="834">
      <c r="D834" s="212"/>
    </row>
    <row r="835">
      <c r="D835" s="212"/>
    </row>
    <row r="836">
      <c r="D836" s="212"/>
    </row>
    <row r="837">
      <c r="D837" s="212"/>
    </row>
    <row r="838">
      <c r="D838" s="212"/>
    </row>
    <row r="839">
      <c r="D839" s="212"/>
    </row>
    <row r="840">
      <c r="D840" s="212"/>
    </row>
    <row r="841">
      <c r="D841" s="212"/>
    </row>
    <row r="842">
      <c r="D842" s="212"/>
    </row>
    <row r="843">
      <c r="D843" s="212"/>
    </row>
    <row r="844">
      <c r="D844" s="212"/>
    </row>
    <row r="845">
      <c r="D845" s="212"/>
    </row>
    <row r="846">
      <c r="D846" s="212"/>
    </row>
    <row r="847">
      <c r="D847" s="212"/>
    </row>
    <row r="848">
      <c r="D848" s="212"/>
    </row>
    <row r="849">
      <c r="D849" s="212"/>
    </row>
    <row r="850">
      <c r="D850" s="212"/>
    </row>
    <row r="851">
      <c r="D851" s="212"/>
    </row>
    <row r="852">
      <c r="D852" s="212"/>
    </row>
    <row r="853">
      <c r="D853" s="212"/>
    </row>
    <row r="854">
      <c r="D854" s="212"/>
    </row>
    <row r="855">
      <c r="D855" s="212"/>
    </row>
    <row r="856">
      <c r="D856" s="212"/>
    </row>
    <row r="857">
      <c r="D857" s="212"/>
    </row>
    <row r="858">
      <c r="D858" s="212"/>
    </row>
    <row r="859">
      <c r="D859" s="212"/>
    </row>
    <row r="860">
      <c r="D860" s="212"/>
    </row>
    <row r="861">
      <c r="D861" s="212"/>
    </row>
    <row r="862">
      <c r="D862" s="212"/>
    </row>
    <row r="863">
      <c r="D863" s="212"/>
    </row>
    <row r="864">
      <c r="D864" s="212"/>
    </row>
    <row r="865">
      <c r="D865" s="212"/>
    </row>
    <row r="866">
      <c r="D866" s="212"/>
    </row>
    <row r="867">
      <c r="D867" s="212"/>
    </row>
    <row r="868">
      <c r="D868" s="212"/>
    </row>
    <row r="869">
      <c r="D869" s="212"/>
    </row>
    <row r="870">
      <c r="D870" s="212"/>
    </row>
    <row r="871">
      <c r="D871" s="212"/>
    </row>
    <row r="872">
      <c r="D872" s="212"/>
    </row>
    <row r="873">
      <c r="D873" s="212"/>
    </row>
    <row r="874">
      <c r="D874" s="212"/>
    </row>
    <row r="875">
      <c r="D875" s="212"/>
    </row>
    <row r="876">
      <c r="D876" s="212"/>
    </row>
    <row r="877">
      <c r="D877" s="212"/>
    </row>
    <row r="878">
      <c r="D878" s="212"/>
    </row>
    <row r="879">
      <c r="D879" s="212"/>
    </row>
    <row r="880">
      <c r="D880" s="212"/>
    </row>
    <row r="881">
      <c r="D881" s="212"/>
    </row>
    <row r="882">
      <c r="D882" s="212"/>
    </row>
    <row r="883">
      <c r="D883" s="212"/>
    </row>
    <row r="884">
      <c r="D884" s="212"/>
    </row>
    <row r="885">
      <c r="D885" s="212"/>
    </row>
    <row r="886">
      <c r="D886" s="212"/>
    </row>
    <row r="887">
      <c r="D887" s="212"/>
    </row>
    <row r="888">
      <c r="D888" s="212"/>
    </row>
    <row r="889">
      <c r="D889" s="212"/>
    </row>
    <row r="890">
      <c r="D890" s="212"/>
    </row>
    <row r="891">
      <c r="D891" s="212"/>
    </row>
    <row r="892">
      <c r="D892" s="212"/>
    </row>
    <row r="893">
      <c r="D893" s="212"/>
    </row>
    <row r="894">
      <c r="D894" s="212"/>
    </row>
    <row r="895">
      <c r="D895" s="212"/>
    </row>
    <row r="896">
      <c r="D896" s="212"/>
    </row>
    <row r="897">
      <c r="D897" s="212"/>
    </row>
    <row r="898">
      <c r="D898" s="212"/>
    </row>
    <row r="899">
      <c r="D899" s="212"/>
    </row>
    <row r="900">
      <c r="D900" s="212"/>
    </row>
    <row r="901">
      <c r="D901" s="212"/>
    </row>
    <row r="902">
      <c r="D902" s="212"/>
    </row>
    <row r="903">
      <c r="D903" s="212"/>
    </row>
    <row r="904">
      <c r="D904" s="212"/>
    </row>
    <row r="905">
      <c r="D905" s="212"/>
    </row>
    <row r="906">
      <c r="D906" s="212"/>
    </row>
    <row r="907">
      <c r="D907" s="212"/>
    </row>
    <row r="908">
      <c r="D908" s="212"/>
    </row>
    <row r="909">
      <c r="D909" s="212"/>
    </row>
    <row r="910">
      <c r="D910" s="212"/>
    </row>
    <row r="911">
      <c r="D911" s="212"/>
    </row>
    <row r="912">
      <c r="D912" s="212"/>
    </row>
    <row r="913">
      <c r="D913" s="212"/>
    </row>
    <row r="914">
      <c r="D914" s="212"/>
    </row>
    <row r="915">
      <c r="D915" s="212"/>
    </row>
    <row r="916">
      <c r="D916" s="212"/>
    </row>
    <row r="917">
      <c r="D917" s="212"/>
    </row>
    <row r="918">
      <c r="D918" s="212"/>
    </row>
    <row r="919">
      <c r="D919" s="212"/>
    </row>
    <row r="920">
      <c r="D920" s="212"/>
    </row>
    <row r="921">
      <c r="D921" s="212"/>
    </row>
    <row r="922">
      <c r="D922" s="212"/>
    </row>
    <row r="923">
      <c r="D923" s="212"/>
    </row>
    <row r="924">
      <c r="D924" s="212"/>
    </row>
    <row r="925">
      <c r="D925" s="212"/>
    </row>
    <row r="926">
      <c r="D926" s="212"/>
    </row>
    <row r="927">
      <c r="D927" s="212"/>
    </row>
    <row r="928">
      <c r="D928" s="212"/>
    </row>
    <row r="929">
      <c r="D929" s="212"/>
    </row>
    <row r="930">
      <c r="D930" s="212"/>
    </row>
    <row r="931">
      <c r="D931" s="212"/>
    </row>
    <row r="932">
      <c r="D932" s="212"/>
    </row>
    <row r="933">
      <c r="D933" s="212"/>
    </row>
    <row r="934">
      <c r="D934" s="212"/>
    </row>
    <row r="935">
      <c r="D935" s="212"/>
    </row>
    <row r="936">
      <c r="D936" s="212"/>
    </row>
    <row r="937">
      <c r="D937" s="212"/>
    </row>
    <row r="938">
      <c r="D938" s="212"/>
    </row>
    <row r="939">
      <c r="D939" s="212"/>
    </row>
    <row r="940">
      <c r="D940" s="212"/>
    </row>
    <row r="941">
      <c r="D941" s="212"/>
    </row>
    <row r="942">
      <c r="D942" s="212"/>
    </row>
    <row r="943">
      <c r="D943" s="212"/>
    </row>
    <row r="944">
      <c r="D944" s="212"/>
    </row>
    <row r="945">
      <c r="D945" s="212"/>
    </row>
    <row r="946">
      <c r="D946" s="212"/>
    </row>
    <row r="947">
      <c r="D947" s="212"/>
    </row>
    <row r="948">
      <c r="D948" s="212"/>
    </row>
    <row r="949">
      <c r="D949" s="212"/>
    </row>
    <row r="950">
      <c r="D950" s="212"/>
    </row>
    <row r="951">
      <c r="D951" s="212"/>
    </row>
    <row r="952">
      <c r="D952" s="212"/>
    </row>
    <row r="953">
      <c r="D953" s="212"/>
    </row>
    <row r="954">
      <c r="D954" s="212"/>
    </row>
    <row r="955">
      <c r="D955" s="212"/>
    </row>
    <row r="956">
      <c r="D956" s="212"/>
    </row>
    <row r="957">
      <c r="D957" s="212"/>
    </row>
    <row r="958">
      <c r="D958" s="212"/>
    </row>
    <row r="959">
      <c r="D959" s="212"/>
    </row>
    <row r="960">
      <c r="D960" s="212"/>
    </row>
    <row r="961">
      <c r="D961" s="212"/>
    </row>
    <row r="962">
      <c r="D962" s="212"/>
    </row>
    <row r="963">
      <c r="D963" s="212"/>
    </row>
    <row r="964">
      <c r="D964" s="212"/>
    </row>
    <row r="965">
      <c r="D965" s="212"/>
    </row>
    <row r="966">
      <c r="D966" s="212"/>
    </row>
    <row r="967">
      <c r="D967" s="212"/>
    </row>
    <row r="968">
      <c r="D968" s="212"/>
    </row>
    <row r="969">
      <c r="D969" s="212"/>
    </row>
    <row r="970">
      <c r="D970" s="212"/>
    </row>
    <row r="971">
      <c r="D971" s="212"/>
    </row>
    <row r="972">
      <c r="D972" s="212"/>
    </row>
    <row r="973">
      <c r="D973" s="212"/>
    </row>
    <row r="974">
      <c r="D974" s="212"/>
    </row>
    <row r="975">
      <c r="D975" s="212"/>
    </row>
    <row r="976">
      <c r="D976" s="212"/>
    </row>
    <row r="977">
      <c r="D977" s="212"/>
    </row>
    <row r="978">
      <c r="D978" s="212"/>
    </row>
    <row r="979">
      <c r="D979" s="212"/>
    </row>
    <row r="980">
      <c r="D980" s="212"/>
    </row>
    <row r="981">
      <c r="D981" s="212"/>
    </row>
    <row r="982">
      <c r="D982" s="212"/>
    </row>
    <row r="983">
      <c r="D983" s="212"/>
    </row>
    <row r="984">
      <c r="D984" s="212"/>
    </row>
    <row r="985">
      <c r="D985" s="212"/>
    </row>
    <row r="986">
      <c r="D986" s="212"/>
    </row>
    <row r="987">
      <c r="D987" s="212"/>
    </row>
    <row r="988">
      <c r="D988" s="212"/>
    </row>
    <row r="989">
      <c r="D989" s="212"/>
    </row>
    <row r="990">
      <c r="D990" s="212"/>
    </row>
    <row r="991">
      <c r="D991" s="212"/>
    </row>
    <row r="992">
      <c r="D992" s="212"/>
    </row>
    <row r="993">
      <c r="D993" s="212"/>
    </row>
    <row r="994">
      <c r="D994" s="212"/>
    </row>
    <row r="995">
      <c r="D995" s="212"/>
    </row>
    <row r="996">
      <c r="D996" s="212"/>
    </row>
    <row r="997">
      <c r="D997" s="212"/>
    </row>
    <row r="998">
      <c r="D998" s="212"/>
    </row>
    <row r="999">
      <c r="D999" s="212"/>
    </row>
    <row r="1000">
      <c r="D1000" s="21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8.0"/>
  </cols>
  <sheetData>
    <row r="1">
      <c r="A1" s="17" t="s">
        <v>2892</v>
      </c>
    </row>
    <row r="2">
      <c r="A2" s="17" t="s">
        <v>2893</v>
      </c>
    </row>
    <row r="3">
      <c r="A3" s="17" t="s">
        <v>2894</v>
      </c>
    </row>
    <row r="4">
      <c r="A4" s="17" t="s">
        <v>2895</v>
      </c>
    </row>
    <row r="5">
      <c r="A5" s="17" t="s">
        <v>2896</v>
      </c>
    </row>
    <row r="6">
      <c r="A6" s="17" t="s">
        <v>2897</v>
      </c>
    </row>
    <row r="7">
      <c r="A7" s="17" t="s">
        <v>2898</v>
      </c>
    </row>
    <row r="8">
      <c r="A8" s="17" t="s">
        <v>2899</v>
      </c>
    </row>
    <row r="9">
      <c r="A9" s="17" t="s">
        <v>2900</v>
      </c>
    </row>
    <row r="10">
      <c r="A10" s="17" t="s">
        <v>2901</v>
      </c>
    </row>
    <row r="11">
      <c r="A11" s="17" t="s">
        <v>2902</v>
      </c>
    </row>
    <row r="12">
      <c r="A12" s="17" t="s">
        <v>2903</v>
      </c>
    </row>
    <row r="13">
      <c r="A13" s="17" t="s">
        <v>2904</v>
      </c>
    </row>
    <row r="14">
      <c r="A14" s="17" t="s">
        <v>2905</v>
      </c>
    </row>
    <row r="15">
      <c r="A15" s="17" t="s">
        <v>2906</v>
      </c>
    </row>
    <row r="16">
      <c r="A16" s="17" t="s">
        <v>2907</v>
      </c>
    </row>
    <row r="17">
      <c r="A17" s="17" t="s">
        <v>2908</v>
      </c>
    </row>
    <row r="18">
      <c r="A18" s="17" t="s">
        <v>2909</v>
      </c>
    </row>
    <row r="19">
      <c r="A19" s="17" t="s">
        <v>2910</v>
      </c>
    </row>
    <row r="20">
      <c r="A20" s="17" t="s">
        <v>2911</v>
      </c>
    </row>
    <row r="21">
      <c r="A21" s="17" t="s">
        <v>2912</v>
      </c>
    </row>
    <row r="22">
      <c r="A22" s="17" t="s">
        <v>2913</v>
      </c>
    </row>
    <row r="23">
      <c r="A23" s="17" t="s">
        <v>2914</v>
      </c>
    </row>
    <row r="24">
      <c r="A24" s="17" t="s">
        <v>2915</v>
      </c>
    </row>
    <row r="25">
      <c r="A25" s="17" t="s">
        <v>2916</v>
      </c>
    </row>
    <row r="26">
      <c r="A26" s="17" t="s">
        <v>2917</v>
      </c>
    </row>
    <row r="27">
      <c r="A27" s="17" t="s">
        <v>2918</v>
      </c>
    </row>
    <row r="28">
      <c r="A28" s="17" t="s">
        <v>2919</v>
      </c>
    </row>
    <row r="29">
      <c r="A29" s="17" t="s">
        <v>2920</v>
      </c>
    </row>
    <row r="30">
      <c r="A30" s="17" t="s">
        <v>2921</v>
      </c>
    </row>
    <row r="31">
      <c r="A31" s="17" t="s">
        <v>2922</v>
      </c>
    </row>
    <row r="32">
      <c r="A32" s="17" t="s">
        <v>2923</v>
      </c>
    </row>
    <row r="33">
      <c r="A33" s="17" t="s">
        <v>2924</v>
      </c>
    </row>
    <row r="34">
      <c r="A34" s="17" t="s">
        <v>2925</v>
      </c>
    </row>
    <row r="35">
      <c r="A35" s="17" t="s">
        <v>2926</v>
      </c>
    </row>
    <row r="36">
      <c r="A36" s="17" t="s">
        <v>2927</v>
      </c>
    </row>
    <row r="37">
      <c r="A37" s="17" t="s">
        <v>2928</v>
      </c>
    </row>
    <row r="38">
      <c r="A38" s="17" t="s">
        <v>2929</v>
      </c>
    </row>
    <row r="39">
      <c r="A39" s="17" t="s">
        <v>2930</v>
      </c>
    </row>
    <row r="40">
      <c r="A40" s="17" t="s">
        <v>2931</v>
      </c>
    </row>
    <row r="41">
      <c r="A41" s="17" t="s">
        <v>2932</v>
      </c>
    </row>
    <row r="42">
      <c r="A42" s="17" t="s">
        <v>2933</v>
      </c>
    </row>
    <row r="43">
      <c r="A43" s="17" t="s">
        <v>2934</v>
      </c>
    </row>
    <row r="44">
      <c r="A44" s="17" t="s">
        <v>2935</v>
      </c>
    </row>
    <row r="45">
      <c r="A45" s="17" t="s">
        <v>2936</v>
      </c>
    </row>
    <row r="46">
      <c r="A46" s="17" t="s">
        <v>2937</v>
      </c>
    </row>
    <row r="47">
      <c r="A47" s="17" t="s">
        <v>2938</v>
      </c>
    </row>
    <row r="48">
      <c r="A48" s="17" t="s">
        <v>2939</v>
      </c>
    </row>
    <row r="49">
      <c r="A49" s="17" t="s">
        <v>2940</v>
      </c>
    </row>
    <row r="50">
      <c r="A50" s="17" t="s">
        <v>2941</v>
      </c>
    </row>
    <row r="51">
      <c r="A51" s="17" t="s">
        <v>2942</v>
      </c>
    </row>
    <row r="52">
      <c r="A52" s="17" t="s">
        <v>2943</v>
      </c>
    </row>
    <row r="53">
      <c r="A53" s="17" t="s">
        <v>2944</v>
      </c>
    </row>
    <row r="54">
      <c r="A54" s="17" t="s">
        <v>2945</v>
      </c>
    </row>
    <row r="55">
      <c r="A55" s="17" t="s">
        <v>2946</v>
      </c>
    </row>
    <row r="56">
      <c r="A56" s="17" t="s">
        <v>2947</v>
      </c>
    </row>
    <row r="57">
      <c r="A57" s="17" t="s">
        <v>2948</v>
      </c>
    </row>
    <row r="58">
      <c r="A58" s="17" t="s">
        <v>2949</v>
      </c>
    </row>
    <row r="59">
      <c r="A59" s="17" t="s">
        <v>2950</v>
      </c>
    </row>
    <row r="60">
      <c r="A60" s="17" t="s">
        <v>2951</v>
      </c>
    </row>
    <row r="61">
      <c r="A61" s="17" t="s">
        <v>2952</v>
      </c>
    </row>
    <row r="62">
      <c r="A62" s="17" t="s">
        <v>2953</v>
      </c>
    </row>
    <row r="63">
      <c r="A63" s="17" t="s">
        <v>2954</v>
      </c>
    </row>
    <row r="64">
      <c r="A64" s="17" t="s">
        <v>2955</v>
      </c>
    </row>
    <row r="65">
      <c r="A65" s="17" t="s">
        <v>2956</v>
      </c>
    </row>
    <row r="66">
      <c r="A66" s="17" t="s">
        <v>2957</v>
      </c>
    </row>
    <row r="67">
      <c r="A67" s="17" t="s">
        <v>2958</v>
      </c>
    </row>
    <row r="68">
      <c r="A68" s="17" t="s">
        <v>2959</v>
      </c>
    </row>
    <row r="69">
      <c r="A69" s="17" t="s">
        <v>2960</v>
      </c>
    </row>
    <row r="70">
      <c r="A70" s="17" t="s">
        <v>2961</v>
      </c>
    </row>
    <row r="71">
      <c r="A71" s="17" t="s">
        <v>2962</v>
      </c>
    </row>
    <row r="72">
      <c r="A72" s="17" t="s">
        <v>2963</v>
      </c>
    </row>
    <row r="73">
      <c r="A73" s="17" t="s">
        <v>2964</v>
      </c>
    </row>
    <row r="74">
      <c r="A74" s="17" t="s">
        <v>2965</v>
      </c>
    </row>
    <row r="75">
      <c r="A75" s="17" t="s">
        <v>2966</v>
      </c>
    </row>
    <row r="76">
      <c r="A76" s="17" t="s">
        <v>2967</v>
      </c>
    </row>
    <row r="77">
      <c r="A77" s="17" t="s">
        <v>2968</v>
      </c>
    </row>
    <row r="78">
      <c r="A78" s="17" t="s">
        <v>2969</v>
      </c>
    </row>
    <row r="79">
      <c r="A79" s="17" t="s">
        <v>2970</v>
      </c>
    </row>
    <row r="80">
      <c r="A80" s="17" t="s">
        <v>2971</v>
      </c>
    </row>
    <row r="81">
      <c r="A81" s="17" t="s">
        <v>2972</v>
      </c>
    </row>
    <row r="82">
      <c r="A82" s="17" t="s">
        <v>2973</v>
      </c>
    </row>
    <row r="83">
      <c r="A83" s="17" t="s">
        <v>2974</v>
      </c>
    </row>
    <row r="84">
      <c r="A84" s="17" t="s">
        <v>2975</v>
      </c>
    </row>
    <row r="85">
      <c r="A85" s="214" t="s">
        <v>2976</v>
      </c>
    </row>
    <row r="86">
      <c r="A86" s="17" t="s">
        <v>2977</v>
      </c>
    </row>
    <row r="87">
      <c r="A87" s="17" t="s">
        <v>2978</v>
      </c>
    </row>
    <row r="88">
      <c r="A88" s="17" t="s">
        <v>2979</v>
      </c>
    </row>
    <row r="89">
      <c r="A89" s="17" t="s">
        <v>2930</v>
      </c>
    </row>
    <row r="90">
      <c r="A90" s="17" t="s">
        <v>2980</v>
      </c>
    </row>
    <row r="91">
      <c r="A91" s="17" t="s">
        <v>2981</v>
      </c>
    </row>
    <row r="92">
      <c r="A92" s="17" t="s">
        <v>2982</v>
      </c>
    </row>
    <row r="93">
      <c r="A93" s="17" t="s">
        <v>2983</v>
      </c>
    </row>
  </sheetData>
  <hyperlinks>
    <hyperlink r:id="rId1" ref="A85"/>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41.0"/>
    <col customWidth="1" min="3" max="3" width="39.86"/>
    <col customWidth="1" min="4" max="4" width="25.0"/>
    <col customWidth="1" min="5" max="5" width="20.0"/>
    <col customWidth="1" min="6" max="6" width="15.0"/>
    <col customWidth="1" min="7" max="7" width="8.71"/>
  </cols>
  <sheetData>
    <row r="1" ht="49.5" customHeight="1">
      <c r="A1" s="215" t="s">
        <v>2984</v>
      </c>
      <c r="B1" s="183"/>
      <c r="C1" s="183"/>
      <c r="D1" s="183"/>
      <c r="E1" s="183"/>
      <c r="F1" s="184"/>
    </row>
    <row r="2" ht="24.75" customHeight="1">
      <c r="A2" s="216" t="s">
        <v>2985</v>
      </c>
    </row>
    <row r="3">
      <c r="A3" s="115" t="s">
        <v>2986</v>
      </c>
    </row>
    <row r="4">
      <c r="A4" s="115" t="s">
        <v>2987</v>
      </c>
    </row>
    <row r="5">
      <c r="A5" s="115" t="s">
        <v>2988</v>
      </c>
    </row>
    <row r="6">
      <c r="A6" s="115" t="s">
        <v>2989</v>
      </c>
    </row>
    <row r="7">
      <c r="A7" s="115" t="s">
        <v>2990</v>
      </c>
    </row>
    <row r="8">
      <c r="A8" s="115" t="s">
        <v>2991</v>
      </c>
    </row>
    <row r="9">
      <c r="A9" s="217"/>
      <c r="B9" s="217"/>
      <c r="C9" s="217"/>
      <c r="D9" s="217"/>
    </row>
    <row r="10">
      <c r="A10" s="218"/>
      <c r="B10" s="219"/>
      <c r="C10" s="218"/>
      <c r="D10" s="218"/>
    </row>
    <row r="11">
      <c r="A11" s="218" t="s">
        <v>0</v>
      </c>
      <c r="B11" s="219" t="s">
        <v>2992</v>
      </c>
      <c r="C11" s="218" t="s">
        <v>2993</v>
      </c>
      <c r="D11" s="218" t="s">
        <v>2994</v>
      </c>
    </row>
    <row r="12">
      <c r="A12" s="218" t="s">
        <v>2995</v>
      </c>
      <c r="B12" s="219" t="s">
        <v>2996</v>
      </c>
      <c r="C12" s="218" t="s">
        <v>2997</v>
      </c>
      <c r="D12" s="218" t="s">
        <v>2843</v>
      </c>
    </row>
    <row r="13">
      <c r="A13" s="218" t="s">
        <v>2998</v>
      </c>
      <c r="B13" s="219" t="s">
        <v>2999</v>
      </c>
      <c r="C13" s="218" t="s">
        <v>3000</v>
      </c>
      <c r="D13" s="218" t="s">
        <v>3001</v>
      </c>
    </row>
    <row r="14">
      <c r="A14" s="218" t="s">
        <v>3002</v>
      </c>
      <c r="B14" s="219" t="s">
        <v>3003</v>
      </c>
      <c r="C14" s="218" t="s">
        <v>3004</v>
      </c>
      <c r="D14" s="218" t="s">
        <v>3001</v>
      </c>
    </row>
    <row r="15">
      <c r="A15" s="218" t="s">
        <v>3005</v>
      </c>
      <c r="B15" s="219" t="s">
        <v>3006</v>
      </c>
      <c r="C15" s="218" t="s">
        <v>3007</v>
      </c>
      <c r="D15" s="218" t="s">
        <v>3008</v>
      </c>
    </row>
    <row r="16">
      <c r="A16" s="218" t="s">
        <v>3009</v>
      </c>
      <c r="B16" s="219" t="s">
        <v>3010</v>
      </c>
      <c r="C16" s="218" t="s">
        <v>3011</v>
      </c>
      <c r="D16" s="218" t="s">
        <v>3012</v>
      </c>
    </row>
    <row r="17">
      <c r="A17" s="218" t="s">
        <v>3013</v>
      </c>
      <c r="B17" s="219" t="s">
        <v>3014</v>
      </c>
      <c r="C17" s="218" t="s">
        <v>3015</v>
      </c>
      <c r="D17" s="218" t="s">
        <v>2453</v>
      </c>
    </row>
    <row r="18">
      <c r="A18" s="218" t="s">
        <v>3016</v>
      </c>
      <c r="B18" s="219" t="s">
        <v>3017</v>
      </c>
      <c r="C18" s="218" t="s">
        <v>3018</v>
      </c>
      <c r="D18" s="218" t="s">
        <v>3019</v>
      </c>
    </row>
    <row r="19" ht="15.75" customHeight="1">
      <c r="A19" s="115" t="s">
        <v>3020</v>
      </c>
      <c r="B19" s="115" t="s">
        <v>3021</v>
      </c>
      <c r="C19" s="115" t="s">
        <v>3022</v>
      </c>
      <c r="D19" s="115" t="s">
        <v>3023</v>
      </c>
    </row>
    <row r="20" ht="15.75" customHeight="1">
      <c r="A20" s="115" t="s">
        <v>3024</v>
      </c>
      <c r="B20" s="115" t="s">
        <v>3025</v>
      </c>
      <c r="C20" s="115" t="s">
        <v>3026</v>
      </c>
      <c r="D20" s="115" t="s">
        <v>2843</v>
      </c>
    </row>
    <row r="21" ht="15.75" customHeight="1"/>
    <row r="22" ht="15.75" customHeight="1">
      <c r="A22" s="115" t="s">
        <v>3027</v>
      </c>
    </row>
    <row r="23" ht="15.75" customHeight="1">
      <c r="A23" s="115" t="s">
        <v>3028</v>
      </c>
      <c r="B23" s="115" t="s">
        <v>3029</v>
      </c>
      <c r="C23" s="115" t="s">
        <v>3030</v>
      </c>
    </row>
    <row r="24" ht="15.75" customHeight="1">
      <c r="A24" s="115" t="s">
        <v>3031</v>
      </c>
      <c r="B24" s="115" t="s">
        <v>3032</v>
      </c>
      <c r="C24" s="115" t="s">
        <v>3033</v>
      </c>
    </row>
    <row r="25" ht="15.75" customHeight="1">
      <c r="A25" s="115" t="s">
        <v>3034</v>
      </c>
      <c r="B25" s="115" t="s">
        <v>3035</v>
      </c>
      <c r="C25" s="115" t="s">
        <v>3036</v>
      </c>
    </row>
    <row r="26" ht="15.75" customHeight="1">
      <c r="A26" s="115" t="s">
        <v>3037</v>
      </c>
      <c r="B26" s="115" t="s">
        <v>3038</v>
      </c>
      <c r="C26" s="115" t="s">
        <v>3039</v>
      </c>
    </row>
    <row r="27" ht="15.75" customHeight="1">
      <c r="A27" s="115" t="s">
        <v>3040</v>
      </c>
      <c r="B27" s="115" t="s">
        <v>3041</v>
      </c>
      <c r="C27" s="115" t="s">
        <v>3042</v>
      </c>
    </row>
    <row r="28" ht="15.75" customHeight="1"/>
    <row r="29" ht="15.75" customHeight="1">
      <c r="A29" s="115" t="s">
        <v>3043</v>
      </c>
    </row>
    <row r="30" ht="15.75" customHeight="1"/>
    <row r="31" ht="15.75" customHeight="1">
      <c r="A31" s="115" t="s">
        <v>2107</v>
      </c>
      <c r="B31" s="115" t="s">
        <v>3044</v>
      </c>
    </row>
    <row r="32" ht="15.75" customHeight="1">
      <c r="A32" s="115" t="s">
        <v>2107</v>
      </c>
      <c r="B32" s="115" t="s">
        <v>3045</v>
      </c>
    </row>
    <row r="33" ht="15.75" customHeight="1">
      <c r="A33" s="115" t="s">
        <v>2107</v>
      </c>
      <c r="B33" s="115" t="s">
        <v>3046</v>
      </c>
    </row>
    <row r="34" ht="15.75" customHeight="1">
      <c r="A34" s="115" t="s">
        <v>2107</v>
      </c>
      <c r="B34" s="115" t="s">
        <v>3047</v>
      </c>
    </row>
    <row r="35" ht="15.75" customHeight="1">
      <c r="A35" s="115" t="s">
        <v>2107</v>
      </c>
      <c r="B35" s="115" t="s">
        <v>3048</v>
      </c>
    </row>
    <row r="36" ht="15.75" customHeight="1"/>
  </sheetData>
  <mergeCells count="2">
    <mergeCell ref="A1:F1"/>
    <mergeCell ref="A2:F2"/>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43"/>
    <col customWidth="1" min="2" max="2" width="40.0"/>
    <col customWidth="1" min="3" max="3" width="52.14"/>
    <col customWidth="1" min="4" max="4" width="25.0"/>
    <col customWidth="1" min="5" max="5" width="20.0"/>
    <col customWidth="1" min="6" max="8" width="15.0"/>
    <col customWidth="1" min="9" max="9" width="8.71"/>
  </cols>
  <sheetData>
    <row r="1" ht="49.5" customHeight="1">
      <c r="A1" s="215" t="s">
        <v>3049</v>
      </c>
      <c r="B1" s="183"/>
      <c r="C1" s="183"/>
      <c r="D1" s="183"/>
      <c r="E1" s="183"/>
      <c r="F1" s="183"/>
      <c r="G1" s="183"/>
      <c r="H1" s="184"/>
    </row>
    <row r="2">
      <c r="A2" s="216" t="s">
        <v>3050</v>
      </c>
    </row>
    <row r="3">
      <c r="A3" s="115" t="s">
        <v>3051</v>
      </c>
    </row>
    <row r="4" ht="24.75" customHeight="1">
      <c r="A4" s="220" t="s">
        <v>3052</v>
      </c>
      <c r="B4" s="183"/>
      <c r="C4" s="183"/>
      <c r="D4" s="183"/>
      <c r="E4" s="183"/>
      <c r="F4" s="183"/>
      <c r="G4" s="183"/>
      <c r="H4" s="184"/>
    </row>
    <row r="5">
      <c r="A5" s="221" t="s">
        <v>3053</v>
      </c>
    </row>
    <row r="6" ht="24.75" customHeight="1">
      <c r="A6" s="220" t="s">
        <v>3052</v>
      </c>
      <c r="B6" s="183"/>
      <c r="C6" s="183"/>
      <c r="D6" s="183"/>
      <c r="E6" s="183"/>
      <c r="F6" s="183"/>
      <c r="G6" s="183"/>
      <c r="H6" s="184"/>
    </row>
    <row r="7">
      <c r="A7" s="222" t="s">
        <v>3054</v>
      </c>
    </row>
    <row r="8">
      <c r="A8" s="115" t="s">
        <v>3055</v>
      </c>
      <c r="B8" s="115" t="s">
        <v>3056</v>
      </c>
      <c r="C8" s="115" t="s">
        <v>3057</v>
      </c>
      <c r="D8" s="115" t="s">
        <v>3058</v>
      </c>
    </row>
    <row r="9">
      <c r="A9" s="115" t="s">
        <v>3059</v>
      </c>
      <c r="B9" s="115" t="s">
        <v>3060</v>
      </c>
      <c r="C9" s="115" t="s">
        <v>3061</v>
      </c>
      <c r="D9" s="115" t="s">
        <v>3058</v>
      </c>
    </row>
    <row r="10">
      <c r="A10" s="115" t="s">
        <v>3062</v>
      </c>
      <c r="B10" s="115" t="s">
        <v>3063</v>
      </c>
      <c r="C10" s="115" t="s">
        <v>3064</v>
      </c>
      <c r="D10" s="115" t="s">
        <v>3058</v>
      </c>
    </row>
    <row r="11">
      <c r="A11" s="222" t="s">
        <v>3065</v>
      </c>
    </row>
    <row r="12">
      <c r="A12" s="115" t="s">
        <v>3066</v>
      </c>
      <c r="B12" s="115" t="s">
        <v>3067</v>
      </c>
      <c r="C12" s="115" t="s">
        <v>3068</v>
      </c>
    </row>
    <row r="13">
      <c r="A13" s="115" t="s">
        <v>3069</v>
      </c>
      <c r="B13" s="115" t="s">
        <v>3070</v>
      </c>
      <c r="C13" s="115" t="s">
        <v>3071</v>
      </c>
    </row>
    <row r="14">
      <c r="A14" s="115" t="s">
        <v>3072</v>
      </c>
      <c r="B14" s="11" t="s">
        <v>3073</v>
      </c>
      <c r="C14" s="115" t="s">
        <v>3074</v>
      </c>
    </row>
    <row r="15">
      <c r="A15" s="115" t="s">
        <v>3075</v>
      </c>
    </row>
    <row r="16" ht="24.75" customHeight="1">
      <c r="A16" s="220" t="s">
        <v>3052</v>
      </c>
      <c r="B16" s="183"/>
      <c r="C16" s="183"/>
      <c r="D16" s="183"/>
      <c r="E16" s="183"/>
      <c r="F16" s="183"/>
      <c r="G16" s="183"/>
      <c r="H16" s="184"/>
    </row>
    <row r="17">
      <c r="A17" s="221" t="s">
        <v>3076</v>
      </c>
    </row>
    <row r="18" ht="24.75" customHeight="1">
      <c r="A18" s="220" t="s">
        <v>3052</v>
      </c>
      <c r="B18" s="183"/>
      <c r="C18" s="183"/>
      <c r="D18" s="183"/>
      <c r="E18" s="183"/>
      <c r="F18" s="183"/>
      <c r="G18" s="183"/>
      <c r="H18" s="184"/>
    </row>
    <row r="19">
      <c r="A19" s="222" t="s">
        <v>3077</v>
      </c>
    </row>
    <row r="20">
      <c r="A20" s="115" t="s">
        <v>3078</v>
      </c>
      <c r="B20" s="115" t="s">
        <v>2993</v>
      </c>
      <c r="C20" s="115" t="s">
        <v>2081</v>
      </c>
      <c r="D20" s="115" t="s">
        <v>3079</v>
      </c>
      <c r="E20" s="115" t="s">
        <v>3080</v>
      </c>
      <c r="F20" s="115" t="s">
        <v>3081</v>
      </c>
    </row>
    <row r="21" ht="15.75" customHeight="1">
      <c r="A21" s="115" t="s">
        <v>3082</v>
      </c>
      <c r="B21" s="115" t="s">
        <v>3083</v>
      </c>
      <c r="C21" s="115" t="s">
        <v>3084</v>
      </c>
      <c r="D21" s="115" t="s">
        <v>3085</v>
      </c>
      <c r="E21" s="115" t="s">
        <v>3086</v>
      </c>
      <c r="F21" s="115" t="s">
        <v>3087</v>
      </c>
    </row>
    <row r="22" ht="15.75" customHeight="1">
      <c r="A22" s="115" t="s">
        <v>3088</v>
      </c>
      <c r="B22" s="115" t="s">
        <v>3089</v>
      </c>
      <c r="C22" s="115" t="s">
        <v>3090</v>
      </c>
      <c r="D22" s="115" t="s">
        <v>3091</v>
      </c>
      <c r="E22" s="115" t="s">
        <v>3086</v>
      </c>
      <c r="F22" s="115" t="s">
        <v>3092</v>
      </c>
    </row>
    <row r="23" ht="15.75" customHeight="1">
      <c r="A23" s="115" t="s">
        <v>3093</v>
      </c>
      <c r="B23" s="115" t="s">
        <v>2537</v>
      </c>
      <c r="C23" s="115" t="s">
        <v>3094</v>
      </c>
      <c r="D23" s="115" t="s">
        <v>2482</v>
      </c>
      <c r="E23" s="115" t="s">
        <v>3095</v>
      </c>
      <c r="F23" s="115" t="s">
        <v>3087</v>
      </c>
    </row>
    <row r="24" ht="15.75" customHeight="1">
      <c r="A24" s="115" t="s">
        <v>3096</v>
      </c>
      <c r="B24" s="115" t="s">
        <v>3097</v>
      </c>
      <c r="C24" s="115" t="s">
        <v>3098</v>
      </c>
      <c r="D24" s="115" t="s">
        <v>2496</v>
      </c>
      <c r="E24" s="115" t="s">
        <v>2496</v>
      </c>
      <c r="F24" s="115" t="s">
        <v>3092</v>
      </c>
    </row>
    <row r="25" ht="15.75" customHeight="1">
      <c r="A25" s="115" t="s">
        <v>3099</v>
      </c>
      <c r="B25" s="115" t="s">
        <v>3100</v>
      </c>
      <c r="C25" s="115" t="s">
        <v>3101</v>
      </c>
      <c r="D25" s="115" t="s">
        <v>3102</v>
      </c>
      <c r="E25" s="115" t="s">
        <v>2496</v>
      </c>
      <c r="F25" s="115" t="s">
        <v>3087</v>
      </c>
    </row>
    <row r="26" ht="15.75" customHeight="1">
      <c r="A26" s="115" t="s">
        <v>3103</v>
      </c>
      <c r="B26" s="115" t="s">
        <v>3104</v>
      </c>
      <c r="C26" s="115" t="s">
        <v>3105</v>
      </c>
      <c r="D26" s="115" t="s">
        <v>2695</v>
      </c>
      <c r="E26" s="115" t="s">
        <v>2496</v>
      </c>
      <c r="F26" s="115" t="s">
        <v>3092</v>
      </c>
    </row>
    <row r="27" ht="15.75" customHeight="1">
      <c r="A27" s="115" t="s">
        <v>3106</v>
      </c>
      <c r="B27" s="115" t="s">
        <v>3107</v>
      </c>
      <c r="C27" s="115" t="s">
        <v>3108</v>
      </c>
      <c r="D27" s="115" t="s">
        <v>2496</v>
      </c>
      <c r="E27" s="115" t="s">
        <v>2496</v>
      </c>
      <c r="F27" s="115" t="s">
        <v>3109</v>
      </c>
    </row>
    <row r="28" ht="15.75" customHeight="1">
      <c r="A28" s="222" t="s">
        <v>3110</v>
      </c>
    </row>
    <row r="29" ht="15.75" customHeight="1">
      <c r="A29" s="115" t="s">
        <v>3111</v>
      </c>
      <c r="B29" s="115" t="s">
        <v>3085</v>
      </c>
      <c r="C29" s="115" t="s">
        <v>3112</v>
      </c>
      <c r="D29" s="115" t="s">
        <v>3113</v>
      </c>
    </row>
    <row r="30" ht="15.75" customHeight="1">
      <c r="A30" s="115" t="s">
        <v>3114</v>
      </c>
      <c r="B30" s="115" t="s">
        <v>3115</v>
      </c>
      <c r="C30" s="115" t="s">
        <v>3116</v>
      </c>
      <c r="D30" s="115" t="s">
        <v>3117</v>
      </c>
    </row>
    <row r="31" ht="15.75" customHeight="1">
      <c r="A31" s="115" t="s">
        <v>3118</v>
      </c>
      <c r="B31" s="115" t="s">
        <v>3119</v>
      </c>
      <c r="C31" s="115" t="s">
        <v>3120</v>
      </c>
      <c r="D31" s="115" t="s">
        <v>3121</v>
      </c>
    </row>
    <row r="32" ht="15.75" customHeight="1">
      <c r="A32" s="115" t="s">
        <v>3122</v>
      </c>
      <c r="B32" s="115" t="s">
        <v>3123</v>
      </c>
      <c r="C32" s="115" t="s">
        <v>3124</v>
      </c>
      <c r="D32" s="115" t="s">
        <v>3125</v>
      </c>
    </row>
    <row r="33" ht="15.75" customHeight="1">
      <c r="A33" s="115" t="s">
        <v>3126</v>
      </c>
    </row>
    <row r="34" ht="24.75" customHeight="1">
      <c r="A34" s="220" t="s">
        <v>3052</v>
      </c>
      <c r="B34" s="183"/>
      <c r="C34" s="183"/>
      <c r="D34" s="183"/>
      <c r="E34" s="183"/>
      <c r="F34" s="183"/>
      <c r="G34" s="183"/>
      <c r="H34" s="184"/>
    </row>
    <row r="35" ht="15.75" customHeight="1">
      <c r="A35" s="221" t="s">
        <v>3127</v>
      </c>
    </row>
    <row r="36" ht="24.75" customHeight="1">
      <c r="A36" s="220" t="s">
        <v>3052</v>
      </c>
      <c r="B36" s="183"/>
      <c r="C36" s="183"/>
      <c r="D36" s="183"/>
      <c r="E36" s="183"/>
      <c r="F36" s="183"/>
      <c r="G36" s="183"/>
      <c r="H36" s="184"/>
    </row>
    <row r="37" ht="15.75" customHeight="1">
      <c r="A37" s="222" t="s">
        <v>3128</v>
      </c>
    </row>
    <row r="38" ht="15.75" customHeight="1">
      <c r="A38" s="115" t="s">
        <v>3129</v>
      </c>
      <c r="B38" s="115" t="s">
        <v>3130</v>
      </c>
      <c r="C38" s="115" t="s">
        <v>3131</v>
      </c>
      <c r="D38" s="115" t="s">
        <v>1805</v>
      </c>
    </row>
    <row r="39" ht="15.75" customHeight="1">
      <c r="A39" s="115" t="s">
        <v>3132</v>
      </c>
      <c r="B39" s="115" t="s">
        <v>3133</v>
      </c>
      <c r="C39" s="115" t="s">
        <v>3134</v>
      </c>
      <c r="D39" s="115" t="s">
        <v>3135</v>
      </c>
    </row>
    <row r="40" ht="15.75" customHeight="1">
      <c r="A40" s="115" t="s">
        <v>3136</v>
      </c>
      <c r="B40" s="115" t="s">
        <v>3137</v>
      </c>
      <c r="C40" s="115" t="s">
        <v>3138</v>
      </c>
      <c r="D40" s="115" t="s">
        <v>3139</v>
      </c>
    </row>
    <row r="41" ht="15.75" customHeight="1">
      <c r="A41" s="115" t="s">
        <v>3140</v>
      </c>
      <c r="B41" s="115" t="s">
        <v>3141</v>
      </c>
      <c r="C41" s="115" t="s">
        <v>3142</v>
      </c>
      <c r="D41" s="115" t="s">
        <v>3143</v>
      </c>
    </row>
    <row r="42" ht="15.75" customHeight="1">
      <c r="A42" s="115" t="s">
        <v>3144</v>
      </c>
      <c r="B42" s="115" t="s">
        <v>3145</v>
      </c>
      <c r="C42" s="115" t="s">
        <v>3146</v>
      </c>
      <c r="D42" s="115" t="s">
        <v>3147</v>
      </c>
    </row>
    <row r="43" ht="15.75" customHeight="1">
      <c r="A43" s="115" t="s">
        <v>3148</v>
      </c>
      <c r="B43" s="115" t="s">
        <v>3149</v>
      </c>
      <c r="C43" s="115" t="s">
        <v>3150</v>
      </c>
      <c r="D43" s="115" t="s">
        <v>3151</v>
      </c>
    </row>
    <row r="44" ht="15.75" customHeight="1">
      <c r="A44" s="115" t="s">
        <v>3152</v>
      </c>
      <c r="B44" s="115" t="s">
        <v>3153</v>
      </c>
      <c r="C44" s="115" t="s">
        <v>3154</v>
      </c>
      <c r="D44" s="115" t="s">
        <v>3155</v>
      </c>
    </row>
    <row r="45" ht="15.75" customHeight="1">
      <c r="A45" s="217" t="s">
        <v>3156</v>
      </c>
    </row>
    <row r="46" ht="15.75" customHeight="1">
      <c r="A46" s="217" t="s">
        <v>3157</v>
      </c>
      <c r="B46" s="218"/>
      <c r="C46" s="218"/>
      <c r="D46" s="218"/>
      <c r="E46" s="218"/>
      <c r="F46" s="218"/>
      <c r="G46" s="218"/>
      <c r="H46" s="218"/>
    </row>
    <row r="47" ht="15.75" customHeight="1">
      <c r="A47" s="218" t="s">
        <v>3158</v>
      </c>
      <c r="B47" s="218"/>
      <c r="C47" s="218"/>
      <c r="D47" s="218"/>
      <c r="E47" s="218"/>
      <c r="F47" s="218"/>
      <c r="G47" s="218"/>
      <c r="H47" s="218"/>
    </row>
    <row r="48" ht="15.75" customHeight="1">
      <c r="A48" s="218" t="s">
        <v>3159</v>
      </c>
      <c r="B48" s="218"/>
      <c r="C48" s="218"/>
      <c r="D48" s="218"/>
      <c r="E48" s="218"/>
      <c r="F48" s="218"/>
      <c r="G48" s="218"/>
      <c r="H48" s="218"/>
    </row>
    <row r="49" ht="15.75" customHeight="1">
      <c r="A49" s="218" t="s">
        <v>3160</v>
      </c>
      <c r="B49" s="218"/>
      <c r="C49" s="218"/>
      <c r="D49" s="218"/>
      <c r="E49" s="218"/>
      <c r="F49" s="218"/>
      <c r="G49" s="218"/>
      <c r="H49" s="218"/>
    </row>
    <row r="50" ht="15.75" customHeight="1">
      <c r="A50" s="217" t="s">
        <v>3161</v>
      </c>
      <c r="B50" s="218"/>
      <c r="C50" s="218"/>
      <c r="D50" s="218"/>
      <c r="E50" s="218"/>
      <c r="F50" s="218"/>
      <c r="G50" s="218"/>
      <c r="H50" s="218"/>
    </row>
    <row r="51" ht="15.75" customHeight="1">
      <c r="A51" s="218" t="s">
        <v>3162</v>
      </c>
      <c r="B51" s="218"/>
      <c r="C51" s="218"/>
      <c r="D51" s="218"/>
      <c r="E51" s="218"/>
      <c r="F51" s="218"/>
      <c r="G51" s="218"/>
      <c r="H51" s="218"/>
    </row>
    <row r="52" ht="15.75" customHeight="1">
      <c r="A52" s="218" t="s">
        <v>3163</v>
      </c>
      <c r="B52" s="218"/>
      <c r="C52" s="218"/>
      <c r="D52" s="218"/>
      <c r="E52" s="218"/>
      <c r="F52" s="218"/>
      <c r="G52" s="218"/>
      <c r="H52" s="218"/>
    </row>
    <row r="53" ht="15.75" customHeight="1">
      <c r="A53" s="218" t="s">
        <v>3164</v>
      </c>
      <c r="B53" s="218"/>
      <c r="C53" s="218"/>
      <c r="D53" s="218"/>
      <c r="E53" s="218"/>
      <c r="F53" s="218"/>
      <c r="G53" s="218"/>
      <c r="H53" s="218"/>
    </row>
    <row r="54" ht="15.75" customHeight="1">
      <c r="A54" s="217" t="s">
        <v>3165</v>
      </c>
      <c r="B54" s="218"/>
      <c r="C54" s="218"/>
      <c r="D54" s="218"/>
      <c r="E54" s="218"/>
      <c r="F54" s="218"/>
      <c r="G54" s="218"/>
      <c r="H54" s="218"/>
    </row>
    <row r="55" ht="15.75" customHeight="1">
      <c r="A55" s="218" t="s">
        <v>3166</v>
      </c>
      <c r="B55" s="218"/>
      <c r="C55" s="218"/>
      <c r="D55" s="218"/>
      <c r="E55" s="218"/>
      <c r="F55" s="218"/>
      <c r="G55" s="218"/>
      <c r="H55" s="218"/>
    </row>
    <row r="56" ht="15.75" customHeight="1">
      <c r="A56" s="218" t="s">
        <v>3167</v>
      </c>
      <c r="B56" s="218"/>
      <c r="C56" s="218"/>
      <c r="D56" s="218"/>
      <c r="E56" s="218"/>
      <c r="F56" s="218"/>
      <c r="G56" s="218"/>
      <c r="H56" s="218"/>
    </row>
    <row r="57" ht="15.75" customHeight="1">
      <c r="A57" s="218" t="s">
        <v>3168</v>
      </c>
      <c r="B57" s="218"/>
      <c r="C57" s="218"/>
      <c r="D57" s="218"/>
      <c r="E57" s="218"/>
      <c r="F57" s="218"/>
      <c r="G57" s="218"/>
      <c r="H57" s="218"/>
    </row>
    <row r="58" ht="15.75" customHeight="1">
      <c r="A58" s="217" t="s">
        <v>3169</v>
      </c>
      <c r="B58" s="218"/>
      <c r="C58" s="218"/>
      <c r="D58" s="218"/>
      <c r="E58" s="218"/>
      <c r="F58" s="218"/>
      <c r="G58" s="218"/>
      <c r="H58" s="218"/>
    </row>
    <row r="59" ht="24.75" customHeight="1">
      <c r="A59" s="223" t="s">
        <v>3052</v>
      </c>
      <c r="B59" s="224"/>
      <c r="C59" s="224"/>
      <c r="D59" s="224"/>
      <c r="E59" s="224"/>
      <c r="F59" s="224"/>
      <c r="G59" s="224"/>
      <c r="H59" s="225"/>
    </row>
    <row r="60" ht="15.75" customHeight="1">
      <c r="A60" s="226" t="s">
        <v>3170</v>
      </c>
      <c r="B60" s="218"/>
      <c r="C60" s="218"/>
      <c r="D60" s="218"/>
      <c r="E60" s="218"/>
      <c r="F60" s="218"/>
      <c r="G60" s="218"/>
      <c r="H60" s="218"/>
    </row>
    <row r="61" ht="24.75" customHeight="1">
      <c r="A61" s="223" t="s">
        <v>3052</v>
      </c>
      <c r="B61" s="224"/>
      <c r="C61" s="224"/>
      <c r="D61" s="224"/>
      <c r="E61" s="224"/>
      <c r="F61" s="224"/>
      <c r="G61" s="224"/>
      <c r="H61" s="225"/>
    </row>
    <row r="62" ht="15.75" customHeight="1">
      <c r="A62" s="227" t="s">
        <v>3171</v>
      </c>
      <c r="B62" s="218"/>
      <c r="C62" s="218"/>
      <c r="D62" s="218"/>
      <c r="E62" s="218"/>
      <c r="F62" s="218"/>
      <c r="G62" s="218"/>
      <c r="H62" s="218"/>
    </row>
    <row r="63" ht="15.75" customHeight="1">
      <c r="A63" s="217" t="s">
        <v>3172</v>
      </c>
      <c r="B63" s="217" t="s">
        <v>3173</v>
      </c>
      <c r="C63" s="217" t="s">
        <v>3174</v>
      </c>
      <c r="D63" s="218"/>
      <c r="E63" s="218"/>
      <c r="F63" s="218"/>
      <c r="G63" s="218"/>
      <c r="H63" s="218"/>
    </row>
    <row r="64" ht="15.75" customHeight="1">
      <c r="A64" s="217" t="s">
        <v>3175</v>
      </c>
      <c r="B64" s="217" t="s">
        <v>3176</v>
      </c>
      <c r="C64" s="217" t="s">
        <v>3177</v>
      </c>
      <c r="D64" s="218"/>
      <c r="E64" s="218"/>
      <c r="F64" s="218"/>
      <c r="G64" s="218"/>
      <c r="H64" s="218"/>
    </row>
    <row r="65" ht="15.75" customHeight="1">
      <c r="A65" s="217" t="s">
        <v>3178</v>
      </c>
      <c r="B65" s="217" t="s">
        <v>3179</v>
      </c>
      <c r="C65" s="217" t="s">
        <v>3180</v>
      </c>
      <c r="D65" s="218"/>
      <c r="E65" s="218"/>
      <c r="F65" s="218"/>
      <c r="G65" s="218"/>
      <c r="H65" s="218"/>
    </row>
    <row r="66" ht="15.75" customHeight="1">
      <c r="A66" s="217" t="s">
        <v>3181</v>
      </c>
      <c r="B66" s="218"/>
      <c r="C66" s="218"/>
      <c r="D66" s="218"/>
      <c r="E66" s="218"/>
      <c r="F66" s="218"/>
      <c r="G66" s="218"/>
      <c r="H66" s="218"/>
    </row>
    <row r="67" ht="15.75" customHeight="1">
      <c r="A67" s="217" t="s">
        <v>3182</v>
      </c>
      <c r="B67" s="217" t="s">
        <v>3183</v>
      </c>
      <c r="C67" s="217" t="s">
        <v>3184</v>
      </c>
      <c r="D67" s="217" t="s">
        <v>2100</v>
      </c>
      <c r="E67" s="218"/>
      <c r="F67" s="218"/>
      <c r="G67" s="218"/>
      <c r="H67" s="218"/>
    </row>
    <row r="68" ht="15.75" customHeight="1">
      <c r="A68" s="218" t="s">
        <v>3185</v>
      </c>
      <c r="B68" s="218" t="s">
        <v>3186</v>
      </c>
      <c r="C68" s="218" t="s">
        <v>3187</v>
      </c>
      <c r="D68" s="218" t="s">
        <v>3058</v>
      </c>
      <c r="E68" s="218"/>
      <c r="F68" s="218"/>
      <c r="G68" s="218"/>
      <c r="H68" s="218"/>
    </row>
    <row r="69" ht="15.75" customHeight="1">
      <c r="A69" s="218" t="s">
        <v>3188</v>
      </c>
      <c r="B69" s="218" t="s">
        <v>3189</v>
      </c>
      <c r="C69" s="218" t="s">
        <v>3190</v>
      </c>
      <c r="D69" s="218" t="s">
        <v>3058</v>
      </c>
      <c r="E69" s="218"/>
      <c r="F69" s="218"/>
      <c r="G69" s="218"/>
      <c r="H69" s="218"/>
    </row>
    <row r="70" ht="15.75" customHeight="1">
      <c r="A70" s="218" t="s">
        <v>3191</v>
      </c>
      <c r="B70" s="218" t="s">
        <v>3192</v>
      </c>
      <c r="C70" s="218" t="s">
        <v>3193</v>
      </c>
      <c r="D70" s="218" t="s">
        <v>3058</v>
      </c>
      <c r="E70" s="218"/>
      <c r="F70" s="218"/>
      <c r="G70" s="218"/>
      <c r="H70" s="218"/>
    </row>
    <row r="71" ht="15.75" customHeight="1">
      <c r="A71" s="218" t="s">
        <v>3194</v>
      </c>
      <c r="B71" s="218" t="s">
        <v>3195</v>
      </c>
      <c r="C71" s="218" t="s">
        <v>3196</v>
      </c>
      <c r="D71" s="218" t="s">
        <v>3197</v>
      </c>
      <c r="E71" s="218"/>
      <c r="F71" s="218"/>
      <c r="G71" s="218"/>
      <c r="H71" s="218"/>
    </row>
    <row r="72" ht="15.75" customHeight="1">
      <c r="A72" s="218" t="s">
        <v>3198</v>
      </c>
      <c r="B72" s="218" t="s">
        <v>3199</v>
      </c>
      <c r="C72" s="218" t="s">
        <v>3200</v>
      </c>
      <c r="D72" s="218" t="s">
        <v>3058</v>
      </c>
      <c r="E72" s="218"/>
      <c r="F72" s="218"/>
      <c r="G72" s="218"/>
      <c r="H72" s="218"/>
    </row>
    <row r="73" ht="24.75" customHeight="1">
      <c r="A73" s="223" t="s">
        <v>3052</v>
      </c>
      <c r="B73" s="224"/>
      <c r="C73" s="224"/>
      <c r="D73" s="224"/>
      <c r="E73" s="224"/>
      <c r="F73" s="224"/>
      <c r="G73" s="224"/>
      <c r="H73" s="225"/>
    </row>
    <row r="74" ht="15.75" customHeight="1">
      <c r="A74" s="226" t="s">
        <v>3201</v>
      </c>
      <c r="B74" s="218"/>
      <c r="C74" s="218"/>
      <c r="D74" s="218"/>
      <c r="E74" s="218"/>
      <c r="F74" s="218"/>
      <c r="G74" s="218"/>
      <c r="H74" s="218"/>
    </row>
    <row r="75" ht="24.75" customHeight="1">
      <c r="A75" s="223" t="s">
        <v>3052</v>
      </c>
      <c r="B75" s="224"/>
      <c r="C75" s="224"/>
      <c r="D75" s="224"/>
      <c r="E75" s="224"/>
      <c r="F75" s="224"/>
      <c r="G75" s="224"/>
      <c r="H75" s="225"/>
    </row>
    <row r="76" ht="15.75" customHeight="1">
      <c r="A76" s="227" t="s">
        <v>3202</v>
      </c>
      <c r="B76" s="218"/>
      <c r="C76" s="218"/>
      <c r="D76" s="218"/>
      <c r="E76" s="218"/>
      <c r="F76" s="218"/>
      <c r="G76" s="218"/>
      <c r="H76" s="218"/>
    </row>
    <row r="77" ht="15.75" customHeight="1">
      <c r="A77" s="218" t="s">
        <v>3203</v>
      </c>
      <c r="B77" s="218" t="s">
        <v>3204</v>
      </c>
      <c r="C77" s="218"/>
      <c r="D77" s="218"/>
      <c r="E77" s="218"/>
      <c r="F77" s="218"/>
      <c r="G77" s="218"/>
      <c r="H77" s="218"/>
    </row>
    <row r="78" ht="15.75" customHeight="1">
      <c r="A78" s="218" t="s">
        <v>3205</v>
      </c>
      <c r="B78" s="218" t="s">
        <v>3206</v>
      </c>
      <c r="C78" s="218"/>
      <c r="D78" s="218"/>
      <c r="E78" s="218"/>
      <c r="F78" s="218"/>
      <c r="G78" s="218"/>
      <c r="H78" s="218"/>
    </row>
    <row r="79" ht="15.75" customHeight="1">
      <c r="A79" s="218" t="s">
        <v>3207</v>
      </c>
      <c r="B79" s="218" t="s">
        <v>3208</v>
      </c>
      <c r="C79" s="218"/>
      <c r="D79" s="218"/>
      <c r="E79" s="218"/>
      <c r="F79" s="218"/>
      <c r="G79" s="218"/>
      <c r="H79" s="218"/>
    </row>
    <row r="80" ht="15.75" customHeight="1">
      <c r="A80" s="227" t="s">
        <v>3209</v>
      </c>
      <c r="B80" s="218"/>
      <c r="C80" s="218"/>
      <c r="D80" s="218"/>
      <c r="E80" s="218"/>
      <c r="F80" s="218"/>
      <c r="G80" s="218"/>
      <c r="H80" s="218"/>
    </row>
    <row r="81" ht="15.75" customHeight="1">
      <c r="A81" s="217" t="s">
        <v>3210</v>
      </c>
      <c r="B81" s="217" t="s">
        <v>3211</v>
      </c>
      <c r="C81" s="217" t="s">
        <v>1805</v>
      </c>
      <c r="D81" s="217" t="s">
        <v>2993</v>
      </c>
      <c r="E81" s="217" t="s">
        <v>3212</v>
      </c>
      <c r="F81" s="218"/>
      <c r="G81" s="218"/>
      <c r="H81" s="218"/>
    </row>
    <row r="82" ht="15.75" customHeight="1">
      <c r="A82" s="217" t="s">
        <v>3213</v>
      </c>
      <c r="B82" s="217" t="s">
        <v>3136</v>
      </c>
      <c r="C82" s="217" t="s">
        <v>3214</v>
      </c>
      <c r="D82" s="217" t="s">
        <v>3215</v>
      </c>
      <c r="E82" s="217" t="s">
        <v>3216</v>
      </c>
      <c r="F82" s="218"/>
      <c r="G82" s="218"/>
      <c r="H82" s="218"/>
    </row>
    <row r="83" ht="15.75" customHeight="1">
      <c r="A83" s="217" t="s">
        <v>3217</v>
      </c>
      <c r="B83" s="217" t="s">
        <v>3140</v>
      </c>
      <c r="C83" s="217" t="s">
        <v>3218</v>
      </c>
      <c r="D83" s="217" t="s">
        <v>3219</v>
      </c>
      <c r="E83" s="217" t="s">
        <v>3220</v>
      </c>
      <c r="F83" s="218"/>
      <c r="G83" s="218"/>
      <c r="H83" s="218"/>
    </row>
    <row r="84" ht="15.75" customHeight="1">
      <c r="A84" s="217" t="s">
        <v>3221</v>
      </c>
      <c r="B84" s="217" t="s">
        <v>3144</v>
      </c>
      <c r="C84" s="217" t="s">
        <v>3222</v>
      </c>
      <c r="D84" s="217" t="s">
        <v>3146</v>
      </c>
      <c r="E84" s="217" t="s">
        <v>3223</v>
      </c>
      <c r="F84" s="218"/>
      <c r="G84" s="218"/>
      <c r="H84" s="218"/>
    </row>
    <row r="85" ht="15.75" customHeight="1">
      <c r="A85" s="227" t="s">
        <v>3224</v>
      </c>
      <c r="B85" s="218"/>
      <c r="C85" s="218"/>
      <c r="D85" s="218"/>
      <c r="E85" s="218"/>
      <c r="F85" s="218"/>
      <c r="G85" s="218"/>
      <c r="H85" s="218"/>
    </row>
    <row r="86" ht="15.75" customHeight="1">
      <c r="A86" s="218" t="s">
        <v>3225</v>
      </c>
      <c r="B86" s="218" t="s">
        <v>2993</v>
      </c>
      <c r="C86" s="218" t="s">
        <v>3226</v>
      </c>
      <c r="D86" s="218" t="s">
        <v>13</v>
      </c>
      <c r="E86" s="218"/>
      <c r="F86" s="218"/>
      <c r="G86" s="218"/>
      <c r="H86" s="218"/>
    </row>
    <row r="87" ht="15.75" customHeight="1">
      <c r="A87" s="218" t="s">
        <v>3082</v>
      </c>
      <c r="B87" s="218" t="s">
        <v>3227</v>
      </c>
      <c r="C87" s="218" t="s">
        <v>3228</v>
      </c>
      <c r="D87" s="218" t="s">
        <v>3229</v>
      </c>
      <c r="E87" s="218"/>
      <c r="F87" s="218"/>
      <c r="G87" s="218"/>
      <c r="H87" s="218"/>
    </row>
    <row r="88" ht="15.75" customHeight="1">
      <c r="A88" s="218" t="s">
        <v>3230</v>
      </c>
      <c r="B88" s="218" t="s">
        <v>3089</v>
      </c>
      <c r="C88" s="218" t="s">
        <v>3231</v>
      </c>
      <c r="D88" s="218" t="s">
        <v>3232</v>
      </c>
      <c r="E88" s="218"/>
      <c r="F88" s="218"/>
      <c r="G88" s="218"/>
      <c r="H88" s="218"/>
    </row>
    <row r="89" ht="15.75" customHeight="1">
      <c r="A89" s="218" t="s">
        <v>3093</v>
      </c>
      <c r="B89" s="218" t="s">
        <v>2537</v>
      </c>
      <c r="C89" s="218" t="s">
        <v>3233</v>
      </c>
      <c r="D89" s="218" t="s">
        <v>3234</v>
      </c>
      <c r="E89" s="218"/>
      <c r="F89" s="218"/>
      <c r="G89" s="218"/>
      <c r="H89" s="218"/>
    </row>
    <row r="90" ht="15.75" customHeight="1">
      <c r="A90" s="218" t="s">
        <v>3096</v>
      </c>
      <c r="B90" s="218" t="s">
        <v>3097</v>
      </c>
      <c r="C90" s="218" t="s">
        <v>3235</v>
      </c>
      <c r="D90" s="218" t="s">
        <v>2496</v>
      </c>
      <c r="E90" s="218"/>
      <c r="F90" s="218"/>
      <c r="G90" s="218"/>
      <c r="H90" s="218"/>
    </row>
    <row r="91" ht="15.75" customHeight="1">
      <c r="A91" s="218" t="s">
        <v>3099</v>
      </c>
      <c r="B91" s="218" t="s">
        <v>3100</v>
      </c>
      <c r="C91" s="218" t="s">
        <v>3101</v>
      </c>
      <c r="D91" s="218" t="s">
        <v>3236</v>
      </c>
      <c r="E91" s="218"/>
      <c r="F91" s="218"/>
      <c r="G91" s="218"/>
      <c r="H91" s="218"/>
    </row>
    <row r="92" ht="15.75" customHeight="1">
      <c r="A92" s="218" t="s">
        <v>3103</v>
      </c>
      <c r="B92" s="218" t="s">
        <v>3104</v>
      </c>
      <c r="C92" s="218" t="s">
        <v>3237</v>
      </c>
      <c r="D92" s="218" t="s">
        <v>3238</v>
      </c>
      <c r="E92" s="218"/>
      <c r="F92" s="218"/>
      <c r="G92" s="218"/>
      <c r="H92" s="218"/>
    </row>
    <row r="93" ht="15.75" customHeight="1">
      <c r="A93" s="218" t="s">
        <v>3106</v>
      </c>
      <c r="B93" s="218" t="s">
        <v>3239</v>
      </c>
      <c r="C93" s="218" t="s">
        <v>3108</v>
      </c>
      <c r="D93" s="218" t="s">
        <v>3240</v>
      </c>
      <c r="E93" s="218"/>
      <c r="F93" s="218"/>
      <c r="G93" s="218"/>
      <c r="H93" s="218"/>
    </row>
    <row r="94" ht="15.75" customHeight="1">
      <c r="A94" s="218" t="s">
        <v>3241</v>
      </c>
      <c r="B94" s="218"/>
      <c r="C94" s="218"/>
      <c r="D94" s="218"/>
      <c r="E94" s="218"/>
      <c r="F94" s="218"/>
      <c r="G94" s="218"/>
      <c r="H94" s="218"/>
    </row>
    <row r="95" ht="15.75" customHeight="1">
      <c r="A95" s="218" t="s">
        <v>3242</v>
      </c>
      <c r="B95" s="218"/>
      <c r="C95" s="218"/>
      <c r="D95" s="218"/>
      <c r="E95" s="218"/>
      <c r="F95" s="218"/>
      <c r="G95" s="218"/>
      <c r="H95" s="218"/>
    </row>
    <row r="96" ht="24.75" customHeight="1">
      <c r="A96" s="223" t="s">
        <v>3052</v>
      </c>
      <c r="B96" s="224"/>
      <c r="C96" s="224"/>
      <c r="D96" s="224"/>
      <c r="E96" s="224"/>
      <c r="F96" s="224"/>
      <c r="G96" s="224"/>
      <c r="H96" s="225"/>
    </row>
    <row r="97" ht="15.75" customHeight="1">
      <c r="A97" s="226" t="s">
        <v>3243</v>
      </c>
      <c r="B97" s="218"/>
      <c r="C97" s="218"/>
      <c r="D97" s="218"/>
      <c r="E97" s="218"/>
      <c r="F97" s="218"/>
      <c r="G97" s="218"/>
      <c r="H97" s="218"/>
    </row>
    <row r="98" ht="24.75" customHeight="1">
      <c r="A98" s="223" t="s">
        <v>3052</v>
      </c>
      <c r="B98" s="224"/>
      <c r="C98" s="224"/>
      <c r="D98" s="224"/>
      <c r="E98" s="224"/>
      <c r="F98" s="224"/>
      <c r="G98" s="224"/>
      <c r="H98" s="225"/>
    </row>
    <row r="99" ht="15.75" customHeight="1">
      <c r="A99" s="217" t="s">
        <v>3182</v>
      </c>
      <c r="B99" s="217" t="s">
        <v>2364</v>
      </c>
      <c r="C99" s="217" t="s">
        <v>3244</v>
      </c>
      <c r="D99" s="217" t="s">
        <v>3245</v>
      </c>
      <c r="E99" s="217" t="s">
        <v>3</v>
      </c>
      <c r="F99" s="218"/>
      <c r="G99" s="218"/>
      <c r="H99" s="218"/>
    </row>
    <row r="100" ht="15.75" customHeight="1">
      <c r="A100" s="218" t="s">
        <v>3246</v>
      </c>
      <c r="B100" s="218" t="s">
        <v>3247</v>
      </c>
      <c r="C100" s="218" t="s">
        <v>3248</v>
      </c>
      <c r="D100" s="218" t="s">
        <v>3249</v>
      </c>
      <c r="E100" s="218" t="s">
        <v>2107</v>
      </c>
      <c r="F100" s="218"/>
      <c r="G100" s="218"/>
      <c r="H100" s="218"/>
    </row>
    <row r="101" ht="15.75" customHeight="1">
      <c r="A101" s="218" t="s">
        <v>3246</v>
      </c>
      <c r="B101" s="218" t="s">
        <v>3247</v>
      </c>
      <c r="C101" s="218" t="s">
        <v>3250</v>
      </c>
      <c r="D101" s="218" t="s">
        <v>3249</v>
      </c>
      <c r="E101" s="218" t="s">
        <v>2107</v>
      </c>
      <c r="F101" s="218"/>
      <c r="G101" s="218"/>
      <c r="H101" s="218"/>
    </row>
    <row r="102" ht="15.75" customHeight="1">
      <c r="A102" s="218" t="s">
        <v>3246</v>
      </c>
      <c r="B102" s="218" t="s">
        <v>3109</v>
      </c>
      <c r="C102" s="218" t="s">
        <v>3251</v>
      </c>
      <c r="D102" s="218" t="s">
        <v>3249</v>
      </c>
      <c r="E102" s="218" t="s">
        <v>2107</v>
      </c>
      <c r="F102" s="218"/>
      <c r="G102" s="218"/>
      <c r="H102" s="218"/>
    </row>
    <row r="103" ht="15.75" customHeight="1">
      <c r="A103" s="218" t="s">
        <v>41</v>
      </c>
      <c r="B103" s="218" t="s">
        <v>3247</v>
      </c>
      <c r="C103" s="218" t="s">
        <v>3252</v>
      </c>
      <c r="D103" s="218" t="s">
        <v>3249</v>
      </c>
      <c r="E103" s="218" t="s">
        <v>2107</v>
      </c>
      <c r="F103" s="218"/>
      <c r="G103" s="218"/>
      <c r="H103" s="218"/>
    </row>
    <row r="104" ht="15.75" customHeight="1">
      <c r="A104" s="218" t="s">
        <v>41</v>
      </c>
      <c r="B104" s="218" t="s">
        <v>3247</v>
      </c>
      <c r="C104" s="218" t="s">
        <v>3253</v>
      </c>
      <c r="D104" s="218" t="s">
        <v>3249</v>
      </c>
      <c r="E104" s="218" t="s">
        <v>2107</v>
      </c>
      <c r="F104" s="218"/>
      <c r="G104" s="218"/>
      <c r="H104" s="218"/>
    </row>
    <row r="105" ht="15.75" customHeight="1">
      <c r="A105" s="218" t="s">
        <v>41</v>
      </c>
      <c r="B105" s="218" t="s">
        <v>3109</v>
      </c>
      <c r="C105" s="218" t="s">
        <v>3254</v>
      </c>
      <c r="D105" s="218" t="s">
        <v>3249</v>
      </c>
      <c r="E105" s="218" t="s">
        <v>2107</v>
      </c>
      <c r="F105" s="218"/>
      <c r="G105" s="218"/>
      <c r="H105" s="218"/>
    </row>
    <row r="106" ht="15.75" customHeight="1">
      <c r="A106" s="218" t="s">
        <v>2453</v>
      </c>
      <c r="B106" s="218" t="s">
        <v>3247</v>
      </c>
      <c r="C106" s="218" t="s">
        <v>3255</v>
      </c>
      <c r="D106" s="218" t="s">
        <v>3249</v>
      </c>
      <c r="E106" s="218" t="s">
        <v>2107</v>
      </c>
      <c r="F106" s="218"/>
      <c r="G106" s="218"/>
      <c r="H106" s="218"/>
    </row>
    <row r="107" ht="15.75" customHeight="1">
      <c r="A107" s="218" t="s">
        <v>2453</v>
      </c>
      <c r="B107" s="218" t="s">
        <v>3109</v>
      </c>
      <c r="C107" s="218" t="s">
        <v>3256</v>
      </c>
      <c r="D107" s="218" t="s">
        <v>3249</v>
      </c>
      <c r="E107" s="218" t="s">
        <v>2107</v>
      </c>
      <c r="F107" s="218"/>
      <c r="G107" s="218"/>
      <c r="H107" s="218"/>
    </row>
    <row r="108" ht="15.75" customHeight="1">
      <c r="A108" s="218" t="s">
        <v>2453</v>
      </c>
      <c r="B108" s="218" t="s">
        <v>3109</v>
      </c>
      <c r="C108" s="218" t="s">
        <v>3257</v>
      </c>
      <c r="D108" s="218" t="s">
        <v>3249</v>
      </c>
      <c r="E108" s="218" t="s">
        <v>2107</v>
      </c>
      <c r="F108" s="218"/>
      <c r="G108" s="218"/>
      <c r="H108" s="218"/>
    </row>
    <row r="109" ht="24.75" customHeight="1">
      <c r="A109" s="223" t="s">
        <v>3052</v>
      </c>
      <c r="B109" s="224"/>
      <c r="C109" s="224"/>
      <c r="D109" s="224"/>
      <c r="E109" s="224"/>
      <c r="F109" s="224"/>
      <c r="G109" s="224"/>
      <c r="H109" s="225"/>
    </row>
    <row r="110" ht="15.75" customHeight="1">
      <c r="A110" s="217" t="s">
        <v>3258</v>
      </c>
      <c r="B110" s="218"/>
      <c r="C110" s="218"/>
      <c r="D110" s="218"/>
      <c r="E110" s="218"/>
      <c r="F110" s="218"/>
      <c r="G110" s="218"/>
      <c r="H110" s="218"/>
    </row>
    <row r="111" ht="24.75" customHeight="1">
      <c r="A111" s="223" t="s">
        <v>3052</v>
      </c>
      <c r="B111" s="224"/>
      <c r="C111" s="224"/>
      <c r="D111" s="224"/>
      <c r="E111" s="224"/>
      <c r="F111" s="224"/>
      <c r="G111" s="224"/>
      <c r="H111" s="225"/>
    </row>
    <row r="112" ht="15.75" customHeight="1">
      <c r="A112" s="217" t="s">
        <v>3259</v>
      </c>
      <c r="B112" s="218"/>
      <c r="C112" s="218"/>
      <c r="D112" s="218"/>
      <c r="E112" s="218"/>
      <c r="F112" s="218"/>
      <c r="G112" s="218"/>
      <c r="H112" s="218"/>
    </row>
    <row r="113" ht="15.75" customHeight="1">
      <c r="A113" s="217" t="s">
        <v>3260</v>
      </c>
      <c r="B113" s="217" t="s">
        <v>3261</v>
      </c>
      <c r="C113" s="217" t="s">
        <v>3262</v>
      </c>
      <c r="D113" s="217" t="s">
        <v>3263</v>
      </c>
      <c r="E113" s="217" t="s">
        <v>3264</v>
      </c>
      <c r="F113" s="218"/>
      <c r="G113" s="218"/>
      <c r="H113" s="218"/>
    </row>
    <row r="114" ht="15.75" customHeight="1">
      <c r="A114" s="218" t="s">
        <v>3265</v>
      </c>
      <c r="B114" s="218" t="s">
        <v>3266</v>
      </c>
      <c r="C114" s="218" t="s">
        <v>3267</v>
      </c>
      <c r="D114" s="218" t="s">
        <v>3218</v>
      </c>
      <c r="E114" s="218" t="s">
        <v>3222</v>
      </c>
      <c r="F114" s="218"/>
      <c r="G114" s="218"/>
      <c r="H114" s="218"/>
    </row>
    <row r="115" ht="15.75" customHeight="1">
      <c r="A115" s="218" t="s">
        <v>3268</v>
      </c>
      <c r="B115" s="218" t="s">
        <v>3269</v>
      </c>
      <c r="C115" s="218" t="s">
        <v>3270</v>
      </c>
      <c r="D115" s="218" t="s">
        <v>3271</v>
      </c>
      <c r="E115" s="218" t="s">
        <v>3272</v>
      </c>
      <c r="F115" s="218"/>
      <c r="G115" s="218"/>
      <c r="H115" s="218"/>
    </row>
    <row r="116" ht="15.75" customHeight="1">
      <c r="A116" s="218" t="s">
        <v>3273</v>
      </c>
      <c r="B116" s="218" t="s">
        <v>3269</v>
      </c>
      <c r="C116" s="218" t="s">
        <v>3274</v>
      </c>
      <c r="D116" s="218" t="s">
        <v>3115</v>
      </c>
      <c r="E116" s="218" t="s">
        <v>3275</v>
      </c>
      <c r="F116" s="218"/>
      <c r="G116" s="218"/>
      <c r="H116" s="218"/>
    </row>
    <row r="117" ht="15.75" customHeight="1">
      <c r="A117" s="217" t="s">
        <v>3276</v>
      </c>
      <c r="B117" s="218"/>
      <c r="C117" s="218"/>
      <c r="D117" s="218"/>
      <c r="E117" s="218"/>
      <c r="F117" s="218"/>
      <c r="G117" s="218"/>
      <c r="H117" s="218"/>
    </row>
    <row r="118" ht="15.75" customHeight="1">
      <c r="A118" s="217" t="s">
        <v>3260</v>
      </c>
      <c r="B118" s="217" t="s">
        <v>3261</v>
      </c>
      <c r="C118" s="217" t="s">
        <v>1805</v>
      </c>
      <c r="D118" s="218"/>
      <c r="E118" s="218"/>
      <c r="F118" s="218"/>
      <c r="G118" s="218"/>
      <c r="H118" s="218"/>
    </row>
    <row r="119" ht="15.75" customHeight="1">
      <c r="A119" s="218" t="s">
        <v>3277</v>
      </c>
      <c r="B119" s="218" t="s">
        <v>3278</v>
      </c>
      <c r="C119" s="218" t="s">
        <v>3279</v>
      </c>
      <c r="D119" s="218"/>
      <c r="E119" s="218"/>
      <c r="F119" s="218"/>
      <c r="G119" s="218"/>
      <c r="H119" s="218"/>
    </row>
    <row r="120" ht="15.75" customHeight="1">
      <c r="A120" s="218" t="s">
        <v>3280</v>
      </c>
      <c r="B120" s="218" t="s">
        <v>3281</v>
      </c>
      <c r="C120" s="218" t="s">
        <v>3282</v>
      </c>
      <c r="D120" s="218"/>
      <c r="E120" s="218"/>
      <c r="F120" s="218"/>
      <c r="G120" s="218"/>
      <c r="H120" s="218"/>
    </row>
    <row r="121" ht="15.75" customHeight="1">
      <c r="A121" s="218" t="s">
        <v>3283</v>
      </c>
      <c r="B121" s="218" t="s">
        <v>3269</v>
      </c>
      <c r="C121" s="218" t="s">
        <v>3284</v>
      </c>
      <c r="D121" s="218"/>
      <c r="E121" s="218"/>
      <c r="F121" s="218"/>
      <c r="G121" s="218"/>
      <c r="H121" s="218"/>
    </row>
    <row r="122" ht="15.75" customHeight="1">
      <c r="A122" s="217" t="s">
        <v>3285</v>
      </c>
      <c r="B122" s="218"/>
      <c r="C122" s="218"/>
      <c r="D122" s="218"/>
      <c r="E122" s="218"/>
      <c r="F122" s="218"/>
      <c r="G122" s="218"/>
      <c r="H122" s="218"/>
    </row>
    <row r="123" ht="15.75" customHeight="1">
      <c r="A123" s="217" t="s">
        <v>3260</v>
      </c>
      <c r="B123" s="217" t="s">
        <v>3261</v>
      </c>
      <c r="C123" s="217" t="s">
        <v>1805</v>
      </c>
      <c r="D123" s="218"/>
      <c r="E123" s="218"/>
      <c r="F123" s="218"/>
      <c r="G123" s="218"/>
      <c r="H123" s="218"/>
    </row>
    <row r="124" ht="15.75" customHeight="1">
      <c r="A124" s="218" t="s">
        <v>3286</v>
      </c>
      <c r="B124" s="218" t="s">
        <v>3287</v>
      </c>
      <c r="C124" s="218" t="s">
        <v>3288</v>
      </c>
      <c r="D124" s="218"/>
      <c r="E124" s="218"/>
      <c r="F124" s="218"/>
      <c r="G124" s="218"/>
      <c r="H124" s="218"/>
    </row>
    <row r="125" ht="15.75" customHeight="1">
      <c r="A125" s="218" t="s">
        <v>3289</v>
      </c>
      <c r="B125" s="218" t="s">
        <v>3287</v>
      </c>
      <c r="C125" s="218" t="s">
        <v>3290</v>
      </c>
      <c r="D125" s="218"/>
      <c r="E125" s="218"/>
      <c r="F125" s="218"/>
      <c r="G125" s="218"/>
      <c r="H125" s="218"/>
    </row>
    <row r="126" ht="15.75" customHeight="1">
      <c r="A126" s="218" t="s">
        <v>3291</v>
      </c>
      <c r="B126" s="218" t="s">
        <v>3287</v>
      </c>
      <c r="C126" s="218" t="s">
        <v>3292</v>
      </c>
      <c r="D126" s="218"/>
      <c r="E126" s="218"/>
      <c r="F126" s="218"/>
      <c r="G126" s="218"/>
      <c r="H126" s="218"/>
    </row>
    <row r="127" ht="24.75" customHeight="1">
      <c r="A127" s="223" t="s">
        <v>3052</v>
      </c>
      <c r="B127" s="224"/>
      <c r="C127" s="224"/>
      <c r="D127" s="224"/>
      <c r="E127" s="224"/>
      <c r="F127" s="224"/>
      <c r="G127" s="224"/>
      <c r="H127" s="225"/>
    </row>
    <row r="128" ht="15.75" customHeight="1">
      <c r="A128" s="226" t="s">
        <v>3293</v>
      </c>
      <c r="B128" s="218"/>
      <c r="C128" s="218"/>
      <c r="D128" s="218"/>
      <c r="E128" s="218"/>
      <c r="F128" s="218"/>
      <c r="G128" s="218"/>
      <c r="H128" s="218"/>
    </row>
    <row r="129" ht="24.75" customHeight="1">
      <c r="A129" s="223" t="s">
        <v>3052</v>
      </c>
      <c r="B129" s="224"/>
      <c r="C129" s="224"/>
      <c r="D129" s="224"/>
      <c r="E129" s="224"/>
      <c r="F129" s="224"/>
      <c r="G129" s="224"/>
      <c r="H129" s="225"/>
    </row>
    <row r="130" ht="15.75" customHeight="1">
      <c r="A130" s="218" t="s">
        <v>3294</v>
      </c>
      <c r="B130" s="218"/>
      <c r="C130" s="218"/>
      <c r="D130" s="218"/>
      <c r="E130" s="218"/>
      <c r="F130" s="218"/>
      <c r="G130" s="218"/>
      <c r="H130" s="218"/>
    </row>
    <row r="131" ht="15.75" customHeight="1">
      <c r="A131" s="228" t="s">
        <v>3295</v>
      </c>
      <c r="B131" s="218" t="s">
        <v>3296</v>
      </c>
      <c r="C131" s="218" t="s">
        <v>3297</v>
      </c>
      <c r="D131" s="218"/>
      <c r="E131" s="218"/>
      <c r="F131" s="218"/>
      <c r="G131" s="218"/>
      <c r="H131" s="218"/>
    </row>
    <row r="132" ht="15.75" customHeight="1">
      <c r="A132" s="228" t="s">
        <v>3298</v>
      </c>
      <c r="B132" s="218" t="s">
        <v>3299</v>
      </c>
      <c r="C132" s="218" t="s">
        <v>3300</v>
      </c>
      <c r="D132" s="218"/>
      <c r="E132" s="218"/>
      <c r="F132" s="218"/>
      <c r="G132" s="218"/>
      <c r="H132" s="218"/>
    </row>
    <row r="133" ht="15.75" customHeight="1">
      <c r="A133" s="228" t="s">
        <v>3301</v>
      </c>
      <c r="B133" s="218" t="s">
        <v>3302</v>
      </c>
      <c r="C133" s="218" t="s">
        <v>3303</v>
      </c>
      <c r="D133" s="218"/>
      <c r="E133" s="218"/>
      <c r="F133" s="218"/>
      <c r="G133" s="218"/>
      <c r="H133" s="218"/>
    </row>
    <row r="134" ht="15.75" customHeight="1">
      <c r="A134" s="228" t="s">
        <v>3304</v>
      </c>
      <c r="B134" s="218" t="s">
        <v>3305</v>
      </c>
      <c r="C134" s="218" t="s">
        <v>3306</v>
      </c>
      <c r="D134" s="218"/>
      <c r="E134" s="218"/>
      <c r="F134" s="218"/>
      <c r="G134" s="218"/>
      <c r="H134" s="218"/>
    </row>
    <row r="135" ht="15.75" customHeight="1">
      <c r="A135" s="228" t="s">
        <v>3307</v>
      </c>
      <c r="B135" s="218" t="s">
        <v>3308</v>
      </c>
      <c r="C135" s="218" t="s">
        <v>3309</v>
      </c>
      <c r="D135" s="218"/>
      <c r="E135" s="218"/>
      <c r="F135" s="218"/>
      <c r="G135" s="218"/>
      <c r="H135" s="218"/>
    </row>
    <row r="136" ht="15.75" customHeight="1">
      <c r="A136" s="218" t="s">
        <v>3310</v>
      </c>
      <c r="B136" s="218"/>
      <c r="C136" s="218"/>
      <c r="D136" s="218"/>
      <c r="E136" s="218"/>
      <c r="F136" s="218"/>
      <c r="G136" s="218"/>
      <c r="H136" s="218"/>
    </row>
    <row r="137" ht="15.75" customHeight="1">
      <c r="A137" s="228" t="s">
        <v>3311</v>
      </c>
      <c r="B137" s="218" t="s">
        <v>3312</v>
      </c>
      <c r="C137" s="218" t="s">
        <v>3313</v>
      </c>
      <c r="D137" s="218"/>
      <c r="E137" s="218"/>
      <c r="F137" s="218"/>
      <c r="G137" s="218"/>
      <c r="H137" s="218"/>
    </row>
    <row r="138" ht="15.75" customHeight="1">
      <c r="A138" s="228" t="s">
        <v>3314</v>
      </c>
      <c r="B138" s="218" t="s">
        <v>3315</v>
      </c>
      <c r="C138" s="218" t="s">
        <v>3316</v>
      </c>
      <c r="D138" s="218"/>
      <c r="E138" s="218"/>
      <c r="F138" s="218"/>
      <c r="G138" s="218"/>
      <c r="H138" s="218"/>
    </row>
    <row r="139" ht="15.75" customHeight="1">
      <c r="A139" s="228" t="s">
        <v>3317</v>
      </c>
      <c r="B139" s="218" t="s">
        <v>3318</v>
      </c>
      <c r="C139" s="218" t="s">
        <v>3319</v>
      </c>
      <c r="D139" s="218"/>
      <c r="E139" s="218"/>
      <c r="F139" s="218"/>
      <c r="G139" s="218"/>
      <c r="H139" s="218"/>
    </row>
    <row r="140" ht="15.75" customHeight="1">
      <c r="A140" s="218" t="s">
        <v>3320</v>
      </c>
      <c r="B140" s="218"/>
      <c r="C140" s="218"/>
      <c r="D140" s="218"/>
      <c r="E140" s="218"/>
      <c r="F140" s="218"/>
      <c r="G140" s="218"/>
      <c r="H140" s="218"/>
    </row>
    <row r="141" ht="15.75" customHeight="1">
      <c r="A141" s="228" t="s">
        <v>3321</v>
      </c>
      <c r="B141" s="218" t="s">
        <v>3322</v>
      </c>
      <c r="C141" s="218" t="s">
        <v>3323</v>
      </c>
      <c r="D141" s="218"/>
      <c r="E141" s="218"/>
      <c r="F141" s="218"/>
      <c r="G141" s="218"/>
      <c r="H141" s="218"/>
    </row>
    <row r="142" ht="15.75" customHeight="1">
      <c r="A142" s="228" t="s">
        <v>3324</v>
      </c>
      <c r="B142" s="218" t="s">
        <v>3325</v>
      </c>
      <c r="C142" s="218" t="s">
        <v>3326</v>
      </c>
      <c r="D142" s="218"/>
      <c r="E142" s="218"/>
      <c r="F142" s="218"/>
      <c r="G142" s="218"/>
      <c r="H142" s="218"/>
    </row>
    <row r="143" ht="15.75" customHeight="1">
      <c r="A143" s="228" t="s">
        <v>3327</v>
      </c>
      <c r="B143" s="218" t="s">
        <v>3328</v>
      </c>
      <c r="C143" s="218" t="s">
        <v>3329</v>
      </c>
      <c r="D143" s="218"/>
      <c r="E143" s="218"/>
      <c r="F143" s="218"/>
      <c r="G143" s="218"/>
      <c r="H143" s="218"/>
    </row>
    <row r="144" ht="15.75" customHeight="1">
      <c r="A144" s="218" t="s">
        <v>3330</v>
      </c>
      <c r="B144" s="218"/>
      <c r="C144" s="218"/>
      <c r="D144" s="218"/>
      <c r="E144" s="218"/>
      <c r="F144" s="218"/>
      <c r="G144" s="218"/>
      <c r="H144" s="218"/>
    </row>
    <row r="145" ht="15.75" customHeight="1">
      <c r="A145" s="228" t="s">
        <v>3331</v>
      </c>
      <c r="B145" s="218" t="s">
        <v>3332</v>
      </c>
      <c r="C145" s="218" t="s">
        <v>3333</v>
      </c>
      <c r="D145" s="218"/>
      <c r="E145" s="218"/>
      <c r="F145" s="218"/>
      <c r="G145" s="218"/>
      <c r="H145" s="218"/>
    </row>
    <row r="146" ht="15.75" customHeight="1">
      <c r="A146" s="228" t="s">
        <v>3334</v>
      </c>
      <c r="B146" s="218" t="s">
        <v>3335</v>
      </c>
      <c r="C146" s="218" t="s">
        <v>3336</v>
      </c>
      <c r="D146" s="218"/>
      <c r="E146" s="218"/>
      <c r="F146" s="218"/>
      <c r="G146" s="218"/>
      <c r="H146" s="218"/>
    </row>
    <row r="147" ht="15.75" customHeight="1">
      <c r="A147" s="228" t="s">
        <v>3337</v>
      </c>
      <c r="B147" s="218" t="s">
        <v>3338</v>
      </c>
      <c r="C147" s="218" t="s">
        <v>3339</v>
      </c>
      <c r="D147" s="218"/>
      <c r="E147" s="218"/>
      <c r="F147" s="218"/>
      <c r="G147" s="218"/>
      <c r="H147" s="218"/>
    </row>
    <row r="148" ht="15.75" customHeight="1">
      <c r="A148" s="218" t="s">
        <v>3340</v>
      </c>
      <c r="B148" s="218"/>
      <c r="C148" s="218"/>
      <c r="D148" s="218"/>
      <c r="E148" s="218"/>
      <c r="F148" s="218"/>
      <c r="G148" s="218"/>
      <c r="H148" s="218"/>
    </row>
    <row r="149" ht="15.75" customHeight="1">
      <c r="A149" s="228" t="s">
        <v>3341</v>
      </c>
      <c r="B149" s="218" t="s">
        <v>3342</v>
      </c>
      <c r="C149" s="218" t="s">
        <v>3343</v>
      </c>
      <c r="D149" s="218"/>
      <c r="E149" s="218"/>
      <c r="F149" s="218"/>
      <c r="G149" s="218"/>
      <c r="H149" s="218"/>
    </row>
    <row r="150" ht="15.75" customHeight="1">
      <c r="A150" s="228" t="s">
        <v>3344</v>
      </c>
      <c r="B150" s="218" t="s">
        <v>3345</v>
      </c>
      <c r="C150" s="218" t="s">
        <v>3346</v>
      </c>
      <c r="D150" s="218"/>
      <c r="E150" s="218"/>
      <c r="F150" s="218"/>
      <c r="G150" s="218"/>
      <c r="H150" s="218"/>
    </row>
    <row r="151" ht="15.75" customHeight="1">
      <c r="A151" s="228" t="s">
        <v>3347</v>
      </c>
      <c r="B151" s="218" t="s">
        <v>3348</v>
      </c>
      <c r="C151" s="218" t="s">
        <v>3349</v>
      </c>
      <c r="D151" s="218"/>
      <c r="E151" s="218"/>
      <c r="F151" s="218"/>
      <c r="G151" s="218"/>
      <c r="H151" s="218"/>
    </row>
    <row r="152" ht="15.75" customHeight="1">
      <c r="A152" s="218" t="s">
        <v>3350</v>
      </c>
      <c r="B152" s="218"/>
      <c r="C152" s="218"/>
      <c r="D152" s="218"/>
      <c r="E152" s="218"/>
      <c r="F152" s="218"/>
      <c r="G152" s="218"/>
      <c r="H152" s="218"/>
    </row>
    <row r="153" ht="15.75" customHeight="1">
      <c r="A153" s="228" t="s">
        <v>3351</v>
      </c>
      <c r="B153" s="218" t="s">
        <v>3352</v>
      </c>
      <c r="C153" s="218" t="s">
        <v>3353</v>
      </c>
      <c r="D153" s="218"/>
      <c r="E153" s="218"/>
      <c r="F153" s="218"/>
      <c r="G153" s="218"/>
      <c r="H153" s="218"/>
    </row>
    <row r="154" ht="15.75" customHeight="1">
      <c r="A154" s="228" t="s">
        <v>3354</v>
      </c>
      <c r="B154" s="218" t="s">
        <v>3355</v>
      </c>
      <c r="C154" s="218" t="s">
        <v>3356</v>
      </c>
      <c r="D154" s="218"/>
      <c r="E154" s="218"/>
      <c r="F154" s="218"/>
      <c r="G154" s="218"/>
      <c r="H154" s="218"/>
    </row>
    <row r="155" ht="15.75" customHeight="1">
      <c r="A155" s="228" t="s">
        <v>3357</v>
      </c>
      <c r="B155" s="218" t="s">
        <v>3358</v>
      </c>
      <c r="C155" s="218" t="s">
        <v>3359</v>
      </c>
      <c r="D155" s="218"/>
      <c r="E155" s="218"/>
      <c r="F155" s="218"/>
      <c r="G155" s="218"/>
      <c r="H155" s="218"/>
    </row>
    <row r="156" ht="15.75" customHeight="1"/>
    <row r="157" ht="15.75" customHeight="1"/>
  </sheetData>
  <mergeCells count="18">
    <mergeCell ref="A1:H1"/>
    <mergeCell ref="A2:H2"/>
    <mergeCell ref="A4:H4"/>
    <mergeCell ref="A6:H6"/>
    <mergeCell ref="A16:H16"/>
    <mergeCell ref="A18:H18"/>
    <mergeCell ref="A34:H34"/>
    <mergeCell ref="A109:H109"/>
    <mergeCell ref="A111:H111"/>
    <mergeCell ref="A127:H127"/>
    <mergeCell ref="A129:H129"/>
    <mergeCell ref="A36:H36"/>
    <mergeCell ref="A59:H59"/>
    <mergeCell ref="A61:H61"/>
    <mergeCell ref="A73:H73"/>
    <mergeCell ref="A75:H75"/>
    <mergeCell ref="A96:H96"/>
    <mergeCell ref="A98:H98"/>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43"/>
    <col customWidth="1" min="2" max="2" width="61.86"/>
    <col customWidth="1" min="3" max="3" width="45.0"/>
    <col customWidth="1" min="4" max="4" width="23.57"/>
    <col customWidth="1" min="5" max="5" width="34.14"/>
    <col customWidth="1" min="6" max="6" width="11.57"/>
    <col customWidth="1" min="7" max="7" width="7.43"/>
    <col customWidth="1" min="8" max="8" width="15.0"/>
    <col customWidth="1" min="9" max="9" width="8.71"/>
  </cols>
  <sheetData>
    <row r="1" ht="49.5" customHeight="1">
      <c r="A1" s="215" t="s">
        <v>3360</v>
      </c>
      <c r="B1" s="183"/>
      <c r="C1" s="183"/>
      <c r="D1" s="183"/>
      <c r="E1" s="183"/>
      <c r="F1" s="183"/>
      <c r="G1" s="183"/>
      <c r="H1" s="184"/>
    </row>
    <row r="2">
      <c r="A2" s="216" t="s">
        <v>3361</v>
      </c>
    </row>
    <row r="3">
      <c r="A3" s="115" t="s">
        <v>3362</v>
      </c>
    </row>
    <row r="4">
      <c r="A4" s="115" t="s">
        <v>3363</v>
      </c>
    </row>
    <row r="5">
      <c r="A5" s="222" t="s">
        <v>3364</v>
      </c>
    </row>
    <row r="6">
      <c r="A6" s="217" t="s">
        <v>3365</v>
      </c>
      <c r="B6" s="217" t="s">
        <v>2993</v>
      </c>
      <c r="C6" s="217" t="s">
        <v>3366</v>
      </c>
    </row>
    <row r="7">
      <c r="A7" s="218" t="s">
        <v>3367</v>
      </c>
      <c r="B7" s="218" t="s">
        <v>3368</v>
      </c>
      <c r="C7" s="218" t="s">
        <v>3369</v>
      </c>
      <c r="D7" s="218"/>
      <c r="E7" s="218"/>
      <c r="F7" s="218"/>
      <c r="G7" s="218"/>
      <c r="H7" s="218"/>
    </row>
    <row r="8">
      <c r="A8" s="218" t="s">
        <v>3370</v>
      </c>
      <c r="B8" s="218" t="s">
        <v>3371</v>
      </c>
      <c r="C8" s="218" t="s">
        <v>3372</v>
      </c>
      <c r="D8" s="218"/>
      <c r="E8" s="218"/>
      <c r="F8" s="218"/>
      <c r="G8" s="218"/>
      <c r="H8" s="218"/>
    </row>
    <row r="9">
      <c r="A9" s="218" t="s">
        <v>3373</v>
      </c>
      <c r="B9" s="218" t="s">
        <v>3374</v>
      </c>
      <c r="C9" s="218" t="s">
        <v>3375</v>
      </c>
      <c r="D9" s="218"/>
      <c r="E9" s="218"/>
      <c r="F9" s="218"/>
      <c r="G9" s="218"/>
      <c r="H9" s="218"/>
    </row>
    <row r="10">
      <c r="A10" s="218" t="s">
        <v>3376</v>
      </c>
      <c r="B10" s="218" t="s">
        <v>3377</v>
      </c>
      <c r="C10" s="218" t="s">
        <v>3378</v>
      </c>
      <c r="D10" s="218"/>
      <c r="E10" s="218"/>
      <c r="F10" s="218"/>
      <c r="G10" s="218"/>
      <c r="H10" s="218"/>
    </row>
    <row r="11">
      <c r="A11" s="227" t="s">
        <v>3379</v>
      </c>
      <c r="B11" s="218"/>
      <c r="C11" s="218"/>
      <c r="D11" s="218"/>
      <c r="E11" s="218"/>
      <c r="F11" s="218"/>
      <c r="G11" s="218"/>
      <c r="H11" s="218"/>
    </row>
    <row r="12">
      <c r="A12" s="218" t="s">
        <v>3380</v>
      </c>
      <c r="B12" s="218" t="s">
        <v>2993</v>
      </c>
      <c r="C12" s="218" t="s">
        <v>3381</v>
      </c>
      <c r="D12" s="218"/>
      <c r="E12" s="218"/>
      <c r="F12" s="218"/>
      <c r="G12" s="218"/>
      <c r="H12" s="218"/>
    </row>
    <row r="13">
      <c r="A13" s="218" t="s">
        <v>3382</v>
      </c>
      <c r="B13" s="218" t="s">
        <v>3383</v>
      </c>
      <c r="C13" s="218" t="s">
        <v>3384</v>
      </c>
      <c r="D13" s="218"/>
      <c r="E13" s="218"/>
      <c r="F13" s="218"/>
      <c r="G13" s="218"/>
      <c r="H13" s="218"/>
    </row>
    <row r="14">
      <c r="A14" s="218" t="s">
        <v>3385</v>
      </c>
      <c r="B14" s="218" t="s">
        <v>3386</v>
      </c>
      <c r="C14" s="218" t="s">
        <v>3387</v>
      </c>
      <c r="D14" s="218"/>
      <c r="E14" s="218"/>
      <c r="F14" s="218"/>
      <c r="G14" s="218"/>
      <c r="H14" s="218"/>
    </row>
    <row r="15">
      <c r="A15" s="218" t="s">
        <v>3388</v>
      </c>
      <c r="B15" s="218" t="s">
        <v>3389</v>
      </c>
      <c r="C15" s="218" t="s">
        <v>3390</v>
      </c>
      <c r="D15" s="218"/>
      <c r="E15" s="218"/>
      <c r="F15" s="218"/>
      <c r="G15" s="218"/>
      <c r="H15" s="218"/>
    </row>
    <row r="16">
      <c r="A16" s="227" t="s">
        <v>3391</v>
      </c>
      <c r="B16" s="218"/>
      <c r="C16" s="218"/>
      <c r="D16" s="218"/>
      <c r="E16" s="218"/>
      <c r="F16" s="218"/>
      <c r="G16" s="218"/>
      <c r="H16" s="218"/>
    </row>
    <row r="17">
      <c r="A17" s="218" t="s">
        <v>3392</v>
      </c>
      <c r="B17" s="218" t="s">
        <v>3393</v>
      </c>
      <c r="C17" s="218" t="s">
        <v>3394</v>
      </c>
      <c r="D17" s="218"/>
      <c r="E17" s="218"/>
      <c r="F17" s="218"/>
      <c r="G17" s="218"/>
      <c r="H17" s="218"/>
    </row>
    <row r="18">
      <c r="A18" s="218" t="s">
        <v>3395</v>
      </c>
      <c r="B18" s="218" t="s">
        <v>3396</v>
      </c>
      <c r="C18" s="218" t="s">
        <v>3397</v>
      </c>
      <c r="D18" s="218"/>
      <c r="E18" s="218"/>
      <c r="F18" s="218"/>
      <c r="G18" s="218"/>
      <c r="H18" s="218"/>
    </row>
    <row r="19">
      <c r="A19" s="218" t="s">
        <v>3398</v>
      </c>
      <c r="B19" s="218" t="s">
        <v>3399</v>
      </c>
      <c r="C19" s="218" t="s">
        <v>3400</v>
      </c>
      <c r="D19" s="218"/>
      <c r="E19" s="218"/>
      <c r="F19" s="218"/>
      <c r="G19" s="218"/>
      <c r="H19" s="218"/>
    </row>
    <row r="20">
      <c r="A20" s="228" t="s">
        <v>3401</v>
      </c>
      <c r="B20" s="218" t="s">
        <v>3402</v>
      </c>
      <c r="C20" s="218" t="s">
        <v>3403</v>
      </c>
      <c r="D20" s="218"/>
      <c r="E20" s="218"/>
      <c r="F20" s="218"/>
      <c r="G20" s="218"/>
      <c r="H20" s="218"/>
    </row>
    <row r="21" ht="15.75" customHeight="1">
      <c r="A21" s="227" t="s">
        <v>3404</v>
      </c>
      <c r="B21" s="218"/>
      <c r="C21" s="218"/>
      <c r="D21" s="218"/>
      <c r="E21" s="218"/>
      <c r="F21" s="218"/>
      <c r="G21" s="218"/>
      <c r="H21" s="218"/>
    </row>
    <row r="22" ht="15.75" customHeight="1">
      <c r="A22" s="218" t="s">
        <v>3405</v>
      </c>
      <c r="B22" s="218" t="s">
        <v>2993</v>
      </c>
      <c r="C22" s="218" t="s">
        <v>3406</v>
      </c>
      <c r="D22" s="218"/>
      <c r="E22" s="218"/>
      <c r="F22" s="218"/>
      <c r="G22" s="218"/>
      <c r="H22" s="218"/>
    </row>
    <row r="23" ht="15.75" customHeight="1">
      <c r="A23" s="218" t="s">
        <v>3205</v>
      </c>
      <c r="B23" s="218" t="s">
        <v>3407</v>
      </c>
      <c r="C23" s="218" t="s">
        <v>3408</v>
      </c>
      <c r="D23" s="218"/>
      <c r="E23" s="218"/>
      <c r="F23" s="218"/>
      <c r="G23" s="218"/>
      <c r="H23" s="218"/>
    </row>
    <row r="24" ht="15.75" customHeight="1">
      <c r="A24" s="218" t="s">
        <v>3409</v>
      </c>
      <c r="B24" s="218" t="s">
        <v>3410</v>
      </c>
      <c r="C24" s="218" t="s">
        <v>3411</v>
      </c>
      <c r="D24" s="218"/>
      <c r="E24" s="218"/>
      <c r="F24" s="218"/>
      <c r="G24" s="218"/>
      <c r="H24" s="218"/>
    </row>
    <row r="25" ht="15.75" customHeight="1">
      <c r="A25" s="218" t="s">
        <v>3412</v>
      </c>
      <c r="B25" s="218" t="s">
        <v>3413</v>
      </c>
      <c r="C25" s="218" t="s">
        <v>3414</v>
      </c>
      <c r="D25" s="218"/>
      <c r="E25" s="218"/>
      <c r="F25" s="218"/>
      <c r="G25" s="218"/>
      <c r="H25" s="218"/>
    </row>
    <row r="26" ht="15.75" customHeight="1">
      <c r="A26" s="218" t="s">
        <v>3415</v>
      </c>
      <c r="B26" s="218" t="s">
        <v>3416</v>
      </c>
      <c r="C26" s="218" t="s">
        <v>3417</v>
      </c>
      <c r="D26" s="218"/>
      <c r="E26" s="218"/>
      <c r="F26" s="218"/>
      <c r="G26" s="218"/>
      <c r="H26" s="218"/>
    </row>
    <row r="27" ht="15.75" customHeight="1">
      <c r="A27" s="227" t="s">
        <v>3418</v>
      </c>
      <c r="B27" s="218"/>
      <c r="C27" s="218"/>
      <c r="D27" s="218"/>
      <c r="E27" s="218"/>
      <c r="F27" s="218"/>
      <c r="G27" s="218"/>
      <c r="H27" s="218"/>
    </row>
    <row r="28" ht="15.75" customHeight="1">
      <c r="A28" s="218" t="s">
        <v>3419</v>
      </c>
      <c r="B28" s="218" t="s">
        <v>3420</v>
      </c>
      <c r="C28" s="218" t="s">
        <v>3421</v>
      </c>
      <c r="D28" s="218"/>
      <c r="E28" s="218"/>
      <c r="F28" s="218"/>
      <c r="G28" s="218"/>
      <c r="H28" s="218"/>
    </row>
    <row r="29" ht="15.75" customHeight="1">
      <c r="A29" s="218" t="s">
        <v>3422</v>
      </c>
      <c r="B29" s="218" t="s">
        <v>3423</v>
      </c>
      <c r="C29" s="218" t="s">
        <v>3424</v>
      </c>
      <c r="D29" s="218"/>
      <c r="E29" s="218"/>
      <c r="F29" s="218"/>
      <c r="G29" s="218"/>
      <c r="H29" s="218"/>
    </row>
    <row r="30" ht="15.75" customHeight="1">
      <c r="A30" s="218" t="s">
        <v>3425</v>
      </c>
      <c r="B30" s="218" t="s">
        <v>3426</v>
      </c>
      <c r="C30" s="218" t="s">
        <v>3427</v>
      </c>
      <c r="D30" s="218"/>
      <c r="E30" s="218"/>
      <c r="F30" s="218"/>
      <c r="G30" s="218"/>
      <c r="H30" s="218"/>
    </row>
    <row r="31" ht="15.75" customHeight="1">
      <c r="A31" s="218" t="s">
        <v>3428</v>
      </c>
      <c r="B31" s="218" t="s">
        <v>3429</v>
      </c>
      <c r="C31" s="218" t="s">
        <v>3430</v>
      </c>
      <c r="D31" s="218"/>
      <c r="E31" s="218"/>
      <c r="F31" s="218"/>
      <c r="G31" s="218"/>
      <c r="H31" s="218"/>
    </row>
    <row r="32" ht="15.75" customHeight="1">
      <c r="A32" s="218" t="s">
        <v>3431</v>
      </c>
      <c r="B32" s="218" t="s">
        <v>3432</v>
      </c>
      <c r="C32" s="218" t="s">
        <v>3433</v>
      </c>
      <c r="D32" s="218"/>
      <c r="E32" s="218"/>
      <c r="F32" s="218"/>
      <c r="G32" s="218"/>
      <c r="H32" s="218"/>
    </row>
    <row r="33" ht="15.75" customHeight="1">
      <c r="A33" s="218" t="s">
        <v>3434</v>
      </c>
      <c r="B33" s="218" t="s">
        <v>3435</v>
      </c>
      <c r="C33" s="218" t="s">
        <v>3436</v>
      </c>
      <c r="D33" s="218"/>
      <c r="E33" s="218"/>
      <c r="F33" s="218"/>
      <c r="G33" s="218"/>
      <c r="H33" s="218"/>
    </row>
    <row r="34" ht="15.75" customHeight="1">
      <c r="A34" s="218" t="s">
        <v>3437</v>
      </c>
      <c r="B34" s="218" t="s">
        <v>3438</v>
      </c>
      <c r="C34" s="218" t="s">
        <v>3439</v>
      </c>
      <c r="D34" s="218"/>
      <c r="E34" s="218"/>
      <c r="F34" s="218"/>
      <c r="G34" s="218"/>
      <c r="H34" s="218"/>
    </row>
    <row r="35" ht="15.75" customHeight="1">
      <c r="A35" s="227" t="s">
        <v>3440</v>
      </c>
      <c r="B35" s="218"/>
      <c r="C35" s="218"/>
      <c r="D35" s="218"/>
      <c r="E35" s="218"/>
      <c r="F35" s="218"/>
      <c r="G35" s="218"/>
      <c r="H35" s="218"/>
    </row>
    <row r="36" ht="15.75" customHeight="1">
      <c r="A36" s="218" t="s">
        <v>3441</v>
      </c>
      <c r="B36" s="218" t="s">
        <v>3442</v>
      </c>
      <c r="C36" s="218" t="s">
        <v>3443</v>
      </c>
      <c r="D36" s="218"/>
      <c r="E36" s="218"/>
      <c r="F36" s="218"/>
      <c r="G36" s="218"/>
      <c r="H36" s="218"/>
    </row>
    <row r="37" ht="15.75" customHeight="1">
      <c r="A37" s="218" t="s">
        <v>2128</v>
      </c>
      <c r="B37" s="218" t="s">
        <v>3444</v>
      </c>
      <c r="C37" s="218" t="s">
        <v>3445</v>
      </c>
      <c r="D37" s="218"/>
      <c r="E37" s="218"/>
      <c r="F37" s="218"/>
      <c r="G37" s="218"/>
      <c r="H37" s="218"/>
    </row>
    <row r="38" ht="15.75" customHeight="1">
      <c r="A38" s="218" t="s">
        <v>3446</v>
      </c>
      <c r="B38" s="218" t="s">
        <v>3447</v>
      </c>
      <c r="C38" s="218" t="s">
        <v>3448</v>
      </c>
      <c r="D38" s="218"/>
      <c r="E38" s="218"/>
      <c r="F38" s="218"/>
      <c r="G38" s="218"/>
      <c r="H38" s="218"/>
    </row>
    <row r="39" ht="15.75" customHeight="1">
      <c r="A39" s="218" t="s">
        <v>3449</v>
      </c>
      <c r="B39" s="218" t="s">
        <v>3450</v>
      </c>
      <c r="C39" s="218" t="s">
        <v>3451</v>
      </c>
      <c r="D39" s="218"/>
      <c r="E39" s="218"/>
      <c r="F39" s="218"/>
      <c r="G39" s="218"/>
      <c r="H39" s="218"/>
    </row>
    <row r="40" ht="15.75" customHeight="1">
      <c r="A40" s="218" t="s">
        <v>3452</v>
      </c>
      <c r="B40" s="218" t="s">
        <v>3453</v>
      </c>
      <c r="C40" s="218" t="s">
        <v>3454</v>
      </c>
      <c r="D40" s="218"/>
      <c r="E40" s="218"/>
      <c r="F40" s="218"/>
      <c r="G40" s="218"/>
      <c r="H40" s="218"/>
    </row>
    <row r="41" ht="15.75" customHeight="1">
      <c r="A41" s="218" t="s">
        <v>3455</v>
      </c>
      <c r="B41" s="218" t="s">
        <v>3456</v>
      </c>
      <c r="C41" s="218" t="s">
        <v>3457</v>
      </c>
      <c r="D41" s="218"/>
      <c r="E41" s="218"/>
      <c r="F41" s="218"/>
      <c r="G41" s="218"/>
      <c r="H41" s="218"/>
    </row>
    <row r="42" ht="15.75" customHeight="1">
      <c r="A42" s="227" t="s">
        <v>3458</v>
      </c>
      <c r="B42" s="218"/>
      <c r="C42" s="218"/>
      <c r="D42" s="218"/>
      <c r="E42" s="218"/>
      <c r="F42" s="218"/>
      <c r="G42" s="218"/>
      <c r="H42" s="218"/>
    </row>
    <row r="43" ht="15.75" customHeight="1">
      <c r="A43" s="218" t="s">
        <v>3380</v>
      </c>
      <c r="B43" s="218" t="s">
        <v>3393</v>
      </c>
      <c r="C43" s="218" t="s">
        <v>3381</v>
      </c>
      <c r="D43" s="218"/>
      <c r="E43" s="218"/>
      <c r="F43" s="218"/>
      <c r="G43" s="218"/>
      <c r="H43" s="218"/>
    </row>
    <row r="44" ht="15.75" customHeight="1">
      <c r="A44" s="218" t="s">
        <v>3459</v>
      </c>
      <c r="B44" s="218" t="s">
        <v>3460</v>
      </c>
      <c r="C44" s="218" t="s">
        <v>3461</v>
      </c>
      <c r="D44" s="218"/>
      <c r="E44" s="218"/>
      <c r="F44" s="218"/>
      <c r="G44" s="218"/>
      <c r="H44" s="218"/>
    </row>
    <row r="45" ht="15.75" customHeight="1">
      <c r="A45" s="218" t="s">
        <v>3462</v>
      </c>
      <c r="B45" s="218" t="s">
        <v>3463</v>
      </c>
      <c r="C45" s="218" t="s">
        <v>3464</v>
      </c>
      <c r="D45" s="218"/>
      <c r="E45" s="218"/>
      <c r="F45" s="218"/>
      <c r="G45" s="218"/>
      <c r="H45" s="218"/>
    </row>
    <row r="46" ht="15.75" customHeight="1">
      <c r="A46" s="218" t="s">
        <v>3465</v>
      </c>
      <c r="B46" s="218" t="s">
        <v>3466</v>
      </c>
      <c r="C46" s="218" t="s">
        <v>3467</v>
      </c>
      <c r="D46" s="218"/>
      <c r="E46" s="218"/>
      <c r="F46" s="218"/>
      <c r="G46" s="218"/>
      <c r="H46" s="218"/>
    </row>
    <row r="47" ht="15.75" customHeight="1">
      <c r="A47" s="218" t="s">
        <v>3468</v>
      </c>
      <c r="B47" s="218" t="s">
        <v>3469</v>
      </c>
      <c r="C47" s="218" t="s">
        <v>3470</v>
      </c>
      <c r="D47" s="218"/>
      <c r="E47" s="218"/>
      <c r="F47" s="218"/>
      <c r="G47" s="218"/>
      <c r="H47" s="218"/>
    </row>
    <row r="48" ht="15.75" customHeight="1">
      <c r="A48" s="218" t="s">
        <v>3471</v>
      </c>
      <c r="B48" s="218"/>
      <c r="C48" s="218"/>
      <c r="D48" s="218"/>
      <c r="E48" s="218"/>
      <c r="F48" s="218"/>
      <c r="G48" s="218"/>
      <c r="H48" s="218"/>
    </row>
    <row r="49" ht="24.75" customHeight="1">
      <c r="A49" s="223" t="s">
        <v>3052</v>
      </c>
      <c r="B49" s="224"/>
      <c r="C49" s="224"/>
      <c r="D49" s="224"/>
      <c r="E49" s="224"/>
      <c r="F49" s="224"/>
      <c r="G49" s="224"/>
      <c r="H49" s="225"/>
    </row>
    <row r="50" ht="15.75" customHeight="1">
      <c r="A50" s="226" t="s">
        <v>3472</v>
      </c>
      <c r="B50" s="218"/>
      <c r="C50" s="218"/>
      <c r="D50" s="218"/>
      <c r="E50" s="218"/>
      <c r="F50" s="218"/>
      <c r="G50" s="218"/>
      <c r="H50" s="218"/>
    </row>
    <row r="51" ht="24.75" customHeight="1">
      <c r="A51" s="223" t="s">
        <v>3052</v>
      </c>
      <c r="B51" s="224"/>
      <c r="C51" s="224"/>
      <c r="D51" s="224"/>
      <c r="E51" s="224"/>
      <c r="F51" s="224"/>
      <c r="G51" s="224"/>
      <c r="H51" s="225"/>
    </row>
    <row r="52" ht="15.75" customHeight="1">
      <c r="A52" s="218" t="s">
        <v>3363</v>
      </c>
      <c r="B52" s="218"/>
      <c r="C52" s="218"/>
      <c r="D52" s="218"/>
      <c r="E52" s="218"/>
      <c r="F52" s="218"/>
      <c r="G52" s="218"/>
      <c r="H52" s="218"/>
    </row>
    <row r="53" ht="15.75" customHeight="1">
      <c r="A53" s="227" t="s">
        <v>3364</v>
      </c>
      <c r="B53" s="218"/>
      <c r="C53" s="218"/>
      <c r="D53" s="218"/>
      <c r="E53" s="218"/>
      <c r="F53" s="218"/>
      <c r="G53" s="218"/>
      <c r="H53" s="218"/>
    </row>
    <row r="54" ht="15.75" customHeight="1">
      <c r="A54" s="217" t="s">
        <v>3365</v>
      </c>
      <c r="B54" s="217" t="s">
        <v>2993</v>
      </c>
      <c r="C54" s="217" t="s">
        <v>3366</v>
      </c>
      <c r="D54" s="218"/>
      <c r="E54" s="218"/>
      <c r="F54" s="218"/>
      <c r="G54" s="218"/>
      <c r="H54" s="218"/>
    </row>
    <row r="55" ht="15.75" customHeight="1">
      <c r="A55" s="218" t="s">
        <v>3367</v>
      </c>
      <c r="B55" s="218" t="s">
        <v>3368</v>
      </c>
      <c r="C55" s="218" t="s">
        <v>3369</v>
      </c>
      <c r="D55" s="218"/>
      <c r="E55" s="218"/>
      <c r="F55" s="218"/>
      <c r="G55" s="218"/>
      <c r="H55" s="218"/>
    </row>
    <row r="56" ht="15.75" customHeight="1">
      <c r="A56" s="218" t="s">
        <v>3370</v>
      </c>
      <c r="B56" s="218" t="s">
        <v>3371</v>
      </c>
      <c r="C56" s="218" t="s">
        <v>3372</v>
      </c>
      <c r="D56" s="218"/>
      <c r="E56" s="218"/>
      <c r="F56" s="218"/>
      <c r="G56" s="218"/>
      <c r="H56" s="218"/>
    </row>
    <row r="57" ht="15.75" customHeight="1">
      <c r="A57" s="218" t="s">
        <v>3373</v>
      </c>
      <c r="B57" s="218" t="s">
        <v>3374</v>
      </c>
      <c r="C57" s="218" t="s">
        <v>3375</v>
      </c>
      <c r="D57" s="218"/>
      <c r="E57" s="218"/>
      <c r="F57" s="218"/>
      <c r="G57" s="218"/>
      <c r="H57" s="218"/>
    </row>
    <row r="58" ht="15.75" customHeight="1">
      <c r="A58" s="218" t="s">
        <v>3376</v>
      </c>
      <c r="B58" s="218" t="s">
        <v>3377</v>
      </c>
      <c r="C58" s="218" t="s">
        <v>3378</v>
      </c>
      <c r="D58" s="218"/>
      <c r="E58" s="218"/>
      <c r="F58" s="218"/>
      <c r="G58" s="218"/>
      <c r="H58" s="218"/>
    </row>
    <row r="59" ht="15.75" customHeight="1">
      <c r="A59" s="227" t="s">
        <v>3379</v>
      </c>
      <c r="B59" s="218"/>
      <c r="C59" s="218"/>
      <c r="D59" s="218"/>
      <c r="E59" s="218"/>
      <c r="F59" s="218"/>
      <c r="G59" s="218"/>
      <c r="H59" s="218"/>
    </row>
    <row r="60" ht="15.75" customHeight="1">
      <c r="A60" s="218" t="s">
        <v>3380</v>
      </c>
      <c r="B60" s="218" t="s">
        <v>2993</v>
      </c>
      <c r="C60" s="218" t="s">
        <v>3381</v>
      </c>
      <c r="D60" s="218"/>
      <c r="E60" s="218"/>
      <c r="F60" s="218"/>
      <c r="G60" s="218"/>
      <c r="H60" s="218"/>
    </row>
    <row r="61" ht="15.75" customHeight="1">
      <c r="A61" s="218" t="s">
        <v>3382</v>
      </c>
      <c r="B61" s="218" t="s">
        <v>3383</v>
      </c>
      <c r="C61" s="218" t="s">
        <v>3384</v>
      </c>
      <c r="D61" s="218"/>
      <c r="E61" s="218"/>
      <c r="F61" s="218"/>
      <c r="G61" s="218"/>
      <c r="H61" s="218"/>
    </row>
    <row r="62" ht="15.75" customHeight="1">
      <c r="A62" s="218" t="s">
        <v>3385</v>
      </c>
      <c r="B62" s="218" t="s">
        <v>3386</v>
      </c>
      <c r="C62" s="218" t="s">
        <v>3387</v>
      </c>
      <c r="D62" s="218"/>
      <c r="E62" s="218"/>
      <c r="F62" s="218"/>
      <c r="G62" s="218"/>
      <c r="H62" s="218"/>
    </row>
    <row r="63" ht="15.75" customHeight="1">
      <c r="A63" s="218" t="s">
        <v>3388</v>
      </c>
      <c r="B63" s="218" t="s">
        <v>3389</v>
      </c>
      <c r="C63" s="218" t="s">
        <v>3390</v>
      </c>
      <c r="D63" s="218"/>
      <c r="E63" s="218"/>
      <c r="F63" s="218"/>
      <c r="G63" s="218"/>
      <c r="H63" s="218"/>
    </row>
    <row r="64" ht="15.75" customHeight="1">
      <c r="A64" s="227" t="s">
        <v>3391</v>
      </c>
      <c r="B64" s="218"/>
      <c r="C64" s="218"/>
      <c r="D64" s="218"/>
      <c r="E64" s="218"/>
      <c r="F64" s="218"/>
      <c r="G64" s="218"/>
      <c r="H64" s="218"/>
    </row>
    <row r="65" ht="15.75" customHeight="1">
      <c r="A65" s="218" t="s">
        <v>3392</v>
      </c>
      <c r="B65" s="218" t="s">
        <v>3393</v>
      </c>
      <c r="C65" s="218" t="s">
        <v>3394</v>
      </c>
      <c r="D65" s="218"/>
      <c r="E65" s="218"/>
      <c r="F65" s="218"/>
      <c r="G65" s="218"/>
      <c r="H65" s="218"/>
    </row>
    <row r="66" ht="15.75" customHeight="1">
      <c r="A66" s="218" t="s">
        <v>3395</v>
      </c>
      <c r="B66" s="218" t="s">
        <v>3396</v>
      </c>
      <c r="C66" s="218" t="s">
        <v>3397</v>
      </c>
      <c r="D66" s="218"/>
      <c r="E66" s="218"/>
      <c r="F66" s="218"/>
      <c r="G66" s="218"/>
      <c r="H66" s="218"/>
    </row>
    <row r="67" ht="15.75" customHeight="1">
      <c r="A67" s="218" t="s">
        <v>3398</v>
      </c>
      <c r="B67" s="218" t="s">
        <v>3399</v>
      </c>
      <c r="C67" s="218" t="s">
        <v>3400</v>
      </c>
      <c r="D67" s="218"/>
      <c r="E67" s="218"/>
      <c r="F67" s="218"/>
      <c r="G67" s="218"/>
      <c r="H67" s="218"/>
    </row>
    <row r="68" ht="15.75" customHeight="1">
      <c r="A68" s="228" t="s">
        <v>3401</v>
      </c>
      <c r="B68" s="218" t="s">
        <v>3402</v>
      </c>
      <c r="C68" s="218" t="s">
        <v>3403</v>
      </c>
      <c r="D68" s="218"/>
      <c r="E68" s="218"/>
      <c r="F68" s="218"/>
      <c r="G68" s="218"/>
      <c r="H68" s="218"/>
    </row>
    <row r="69" ht="15.75" customHeight="1">
      <c r="A69" s="227" t="s">
        <v>3404</v>
      </c>
      <c r="B69" s="218"/>
      <c r="C69" s="218"/>
      <c r="D69" s="218"/>
      <c r="E69" s="218"/>
      <c r="F69" s="218"/>
      <c r="G69" s="218"/>
      <c r="H69" s="218"/>
    </row>
    <row r="70" ht="15.75" customHeight="1">
      <c r="A70" s="218" t="s">
        <v>3405</v>
      </c>
      <c r="B70" s="218" t="s">
        <v>2993</v>
      </c>
      <c r="C70" s="218" t="s">
        <v>3406</v>
      </c>
      <c r="D70" s="218"/>
      <c r="E70" s="218"/>
      <c r="F70" s="218"/>
      <c r="G70" s="218"/>
      <c r="H70" s="218"/>
    </row>
    <row r="71" ht="15.75" customHeight="1">
      <c r="A71" s="218" t="s">
        <v>3205</v>
      </c>
      <c r="B71" s="218" t="s">
        <v>3407</v>
      </c>
      <c r="C71" s="218" t="s">
        <v>3408</v>
      </c>
      <c r="D71" s="218"/>
      <c r="E71" s="218"/>
      <c r="F71" s="218"/>
      <c r="G71" s="218"/>
      <c r="H71" s="218"/>
    </row>
    <row r="72" ht="15.75" customHeight="1">
      <c r="A72" s="218" t="s">
        <v>3409</v>
      </c>
      <c r="B72" s="218" t="s">
        <v>3410</v>
      </c>
      <c r="C72" s="218" t="s">
        <v>3411</v>
      </c>
      <c r="D72" s="218"/>
      <c r="E72" s="218"/>
      <c r="F72" s="218"/>
      <c r="G72" s="218"/>
      <c r="H72" s="218"/>
    </row>
    <row r="73" ht="15.75" customHeight="1">
      <c r="A73" s="218" t="s">
        <v>3412</v>
      </c>
      <c r="B73" s="218" t="s">
        <v>3413</v>
      </c>
      <c r="C73" s="218" t="s">
        <v>3414</v>
      </c>
      <c r="D73" s="218"/>
      <c r="E73" s="218"/>
      <c r="F73" s="218"/>
      <c r="G73" s="218"/>
      <c r="H73" s="218"/>
    </row>
    <row r="74" ht="15.75" customHeight="1">
      <c r="A74" s="218" t="s">
        <v>3415</v>
      </c>
      <c r="B74" s="218" t="s">
        <v>3416</v>
      </c>
      <c r="C74" s="218" t="s">
        <v>3417</v>
      </c>
      <c r="D74" s="218"/>
      <c r="E74" s="218"/>
      <c r="F74" s="218"/>
      <c r="G74" s="218"/>
      <c r="H74" s="218"/>
    </row>
    <row r="75" ht="15.75" customHeight="1">
      <c r="A75" s="227" t="s">
        <v>3418</v>
      </c>
      <c r="B75" s="218"/>
      <c r="C75" s="218"/>
      <c r="D75" s="218"/>
      <c r="E75" s="218"/>
      <c r="F75" s="218"/>
      <c r="G75" s="218"/>
      <c r="H75" s="218"/>
    </row>
    <row r="76" ht="15.75" customHeight="1">
      <c r="A76" s="218" t="s">
        <v>3419</v>
      </c>
      <c r="B76" s="218" t="s">
        <v>3420</v>
      </c>
      <c r="C76" s="218" t="s">
        <v>3421</v>
      </c>
      <c r="D76" s="218"/>
      <c r="E76" s="218"/>
      <c r="F76" s="218"/>
      <c r="G76" s="218"/>
      <c r="H76" s="218"/>
    </row>
    <row r="77" ht="15.75" customHeight="1">
      <c r="A77" s="218" t="s">
        <v>3422</v>
      </c>
      <c r="B77" s="218" t="s">
        <v>3423</v>
      </c>
      <c r="C77" s="218" t="s">
        <v>3424</v>
      </c>
      <c r="D77" s="218"/>
      <c r="E77" s="218"/>
      <c r="F77" s="218"/>
      <c r="G77" s="218"/>
      <c r="H77" s="218"/>
    </row>
    <row r="78" ht="15.75" customHeight="1">
      <c r="A78" s="218" t="s">
        <v>3425</v>
      </c>
      <c r="B78" s="218" t="s">
        <v>3426</v>
      </c>
      <c r="C78" s="218" t="s">
        <v>3427</v>
      </c>
      <c r="D78" s="218"/>
      <c r="E78" s="218"/>
      <c r="F78" s="218"/>
      <c r="G78" s="218"/>
      <c r="H78" s="218"/>
    </row>
    <row r="79" ht="15.75" customHeight="1">
      <c r="A79" s="218" t="s">
        <v>3428</v>
      </c>
      <c r="B79" s="218" t="s">
        <v>3429</v>
      </c>
      <c r="C79" s="218" t="s">
        <v>3430</v>
      </c>
      <c r="D79" s="218"/>
      <c r="E79" s="218"/>
      <c r="F79" s="218"/>
      <c r="G79" s="218"/>
      <c r="H79" s="218"/>
    </row>
    <row r="80" ht="15.75" customHeight="1">
      <c r="A80" s="218" t="s">
        <v>3431</v>
      </c>
      <c r="B80" s="218" t="s">
        <v>3432</v>
      </c>
      <c r="C80" s="218" t="s">
        <v>3433</v>
      </c>
      <c r="D80" s="218"/>
      <c r="E80" s="218"/>
      <c r="F80" s="218"/>
      <c r="G80" s="218"/>
      <c r="H80" s="218"/>
    </row>
    <row r="81" ht="15.75" customHeight="1">
      <c r="A81" s="218" t="s">
        <v>3434</v>
      </c>
      <c r="B81" s="218" t="s">
        <v>3435</v>
      </c>
      <c r="C81" s="218" t="s">
        <v>3436</v>
      </c>
      <c r="D81" s="218"/>
      <c r="E81" s="218"/>
      <c r="F81" s="218"/>
      <c r="G81" s="218"/>
      <c r="H81" s="218"/>
    </row>
    <row r="82" ht="15.75" customHeight="1">
      <c r="A82" s="218" t="s">
        <v>3437</v>
      </c>
      <c r="B82" s="218" t="s">
        <v>3438</v>
      </c>
      <c r="C82" s="218" t="s">
        <v>3439</v>
      </c>
      <c r="D82" s="218"/>
      <c r="E82" s="218"/>
      <c r="F82" s="218"/>
      <c r="G82" s="218"/>
      <c r="H82" s="218"/>
    </row>
    <row r="83" ht="15.75" customHeight="1">
      <c r="A83" s="227" t="s">
        <v>3440</v>
      </c>
      <c r="B83" s="218"/>
      <c r="C83" s="218"/>
      <c r="D83" s="218"/>
      <c r="E83" s="218"/>
      <c r="F83" s="218"/>
      <c r="G83" s="218"/>
      <c r="H83" s="218"/>
    </row>
    <row r="84" ht="15.75" customHeight="1">
      <c r="A84" s="218" t="s">
        <v>3441</v>
      </c>
      <c r="B84" s="218" t="s">
        <v>3442</v>
      </c>
      <c r="C84" s="218" t="s">
        <v>3443</v>
      </c>
      <c r="D84" s="218"/>
      <c r="E84" s="218"/>
      <c r="F84" s="218"/>
      <c r="G84" s="218"/>
      <c r="H84" s="218"/>
    </row>
    <row r="85" ht="15.75" customHeight="1">
      <c r="A85" s="218" t="s">
        <v>2128</v>
      </c>
      <c r="B85" s="218" t="s">
        <v>3444</v>
      </c>
      <c r="C85" s="218" t="s">
        <v>3445</v>
      </c>
      <c r="D85" s="218"/>
      <c r="E85" s="218"/>
      <c r="F85" s="218"/>
      <c r="G85" s="218"/>
      <c r="H85" s="218"/>
    </row>
    <row r="86" ht="15.75" customHeight="1">
      <c r="A86" s="218" t="s">
        <v>3446</v>
      </c>
      <c r="B86" s="218" t="s">
        <v>3447</v>
      </c>
      <c r="C86" s="218" t="s">
        <v>3448</v>
      </c>
      <c r="D86" s="218"/>
      <c r="E86" s="218"/>
      <c r="F86" s="218"/>
      <c r="G86" s="218"/>
      <c r="H86" s="218"/>
    </row>
    <row r="87" ht="15.75" customHeight="1">
      <c r="A87" s="218" t="s">
        <v>3449</v>
      </c>
      <c r="B87" s="218" t="s">
        <v>3450</v>
      </c>
      <c r="C87" s="218" t="s">
        <v>3451</v>
      </c>
      <c r="D87" s="218"/>
      <c r="E87" s="218"/>
      <c r="F87" s="218"/>
      <c r="G87" s="218"/>
      <c r="H87" s="218"/>
    </row>
    <row r="88" ht="15.75" customHeight="1">
      <c r="A88" s="218" t="s">
        <v>3452</v>
      </c>
      <c r="B88" s="218" t="s">
        <v>3453</v>
      </c>
      <c r="C88" s="218" t="s">
        <v>3454</v>
      </c>
      <c r="D88" s="218"/>
      <c r="E88" s="218"/>
      <c r="F88" s="218"/>
      <c r="G88" s="218"/>
      <c r="H88" s="218"/>
    </row>
    <row r="89" ht="15.75" customHeight="1">
      <c r="A89" s="218" t="s">
        <v>3455</v>
      </c>
      <c r="B89" s="218" t="s">
        <v>3456</v>
      </c>
      <c r="C89" s="218" t="s">
        <v>3457</v>
      </c>
      <c r="D89" s="218"/>
      <c r="E89" s="218"/>
      <c r="F89" s="218"/>
      <c r="G89" s="218"/>
      <c r="H89" s="218"/>
    </row>
    <row r="90" ht="15.75" customHeight="1">
      <c r="A90" s="227" t="s">
        <v>3458</v>
      </c>
      <c r="B90" s="218"/>
      <c r="C90" s="218"/>
      <c r="D90" s="218"/>
      <c r="E90" s="218"/>
      <c r="F90" s="218"/>
      <c r="G90" s="218"/>
      <c r="H90" s="218"/>
    </row>
    <row r="91" ht="15.75" customHeight="1">
      <c r="A91" s="218" t="s">
        <v>3380</v>
      </c>
      <c r="B91" s="218" t="s">
        <v>3393</v>
      </c>
      <c r="C91" s="218" t="s">
        <v>3381</v>
      </c>
      <c r="D91" s="218"/>
      <c r="E91" s="218"/>
      <c r="F91" s="218"/>
      <c r="G91" s="218"/>
      <c r="H91" s="218"/>
    </row>
    <row r="92" ht="15.75" customHeight="1">
      <c r="A92" s="218" t="s">
        <v>3459</v>
      </c>
      <c r="B92" s="218" t="s">
        <v>3460</v>
      </c>
      <c r="C92" s="218" t="s">
        <v>3461</v>
      </c>
      <c r="D92" s="218"/>
      <c r="E92" s="218"/>
      <c r="F92" s="218"/>
      <c r="G92" s="218"/>
      <c r="H92" s="218"/>
    </row>
    <row r="93" ht="15.75" customHeight="1">
      <c r="A93" s="218" t="s">
        <v>3462</v>
      </c>
      <c r="B93" s="218" t="s">
        <v>3463</v>
      </c>
      <c r="C93" s="218" t="s">
        <v>3464</v>
      </c>
      <c r="D93" s="218"/>
      <c r="E93" s="218"/>
      <c r="F93" s="218"/>
      <c r="G93" s="218"/>
      <c r="H93" s="218"/>
    </row>
    <row r="94" ht="15.75" customHeight="1">
      <c r="A94" s="218" t="s">
        <v>3465</v>
      </c>
      <c r="B94" s="218" t="s">
        <v>3466</v>
      </c>
      <c r="C94" s="218" t="s">
        <v>3467</v>
      </c>
      <c r="D94" s="218"/>
      <c r="E94" s="218"/>
      <c r="F94" s="218"/>
      <c r="G94" s="218"/>
      <c r="H94" s="218"/>
    </row>
    <row r="95" ht="15.75" customHeight="1">
      <c r="A95" s="218" t="s">
        <v>3468</v>
      </c>
      <c r="B95" s="218" t="s">
        <v>3469</v>
      </c>
      <c r="C95" s="218" t="s">
        <v>3470</v>
      </c>
      <c r="D95" s="218"/>
      <c r="E95" s="218"/>
      <c r="F95" s="218"/>
      <c r="G95" s="218"/>
      <c r="H95" s="218"/>
    </row>
    <row r="96" ht="24.75" customHeight="1">
      <c r="A96" s="223" t="s">
        <v>3052</v>
      </c>
      <c r="B96" s="224"/>
      <c r="C96" s="224"/>
      <c r="D96" s="224"/>
      <c r="E96" s="224"/>
      <c r="F96" s="224"/>
      <c r="G96" s="224"/>
      <c r="H96" s="225"/>
    </row>
    <row r="97" ht="15.75" customHeight="1">
      <c r="A97" s="226" t="s">
        <v>3473</v>
      </c>
      <c r="B97" s="218"/>
      <c r="C97" s="218"/>
      <c r="D97" s="218"/>
      <c r="E97" s="218"/>
      <c r="F97" s="218"/>
      <c r="G97" s="218"/>
      <c r="H97" s="218"/>
    </row>
    <row r="98" ht="24.75" customHeight="1">
      <c r="A98" s="223" t="s">
        <v>3052</v>
      </c>
      <c r="B98" s="224"/>
      <c r="C98" s="224"/>
      <c r="D98" s="224"/>
      <c r="E98" s="224"/>
      <c r="F98" s="224"/>
      <c r="G98" s="224"/>
      <c r="H98" s="225"/>
    </row>
    <row r="99" ht="15.75" customHeight="1">
      <c r="A99" s="218" t="s">
        <v>3474</v>
      </c>
      <c r="B99" s="218"/>
      <c r="C99" s="218"/>
      <c r="D99" s="218"/>
      <c r="E99" s="218"/>
      <c r="F99" s="218"/>
      <c r="G99" s="218"/>
      <c r="H99" s="218"/>
    </row>
    <row r="100" ht="15.75" customHeight="1">
      <c r="A100" s="227" t="s">
        <v>3475</v>
      </c>
      <c r="B100" s="218"/>
      <c r="C100" s="218"/>
      <c r="D100" s="218"/>
      <c r="E100" s="218"/>
      <c r="F100" s="218"/>
      <c r="G100" s="218"/>
      <c r="H100" s="218"/>
    </row>
    <row r="101" ht="15.75" customHeight="1">
      <c r="A101" s="217" t="s">
        <v>3365</v>
      </c>
      <c r="B101" s="217" t="s">
        <v>2993</v>
      </c>
      <c r="C101" s="217" t="s">
        <v>3476</v>
      </c>
      <c r="D101" s="217" t="s">
        <v>3477</v>
      </c>
      <c r="E101" s="217" t="s">
        <v>13</v>
      </c>
      <c r="F101" s="218"/>
      <c r="G101" s="218"/>
      <c r="H101" s="218"/>
    </row>
    <row r="102" ht="15.75" customHeight="1">
      <c r="A102" s="218" t="s">
        <v>3478</v>
      </c>
      <c r="B102" s="218" t="s">
        <v>3479</v>
      </c>
      <c r="C102" s="218" t="s">
        <v>3480</v>
      </c>
      <c r="D102" s="218" t="s">
        <v>3481</v>
      </c>
      <c r="E102" s="218" t="s">
        <v>3482</v>
      </c>
      <c r="F102" s="218"/>
      <c r="G102" s="218"/>
      <c r="H102" s="218"/>
    </row>
    <row r="103" ht="15.75" customHeight="1">
      <c r="A103" s="218" t="s">
        <v>3483</v>
      </c>
      <c r="B103" s="218" t="s">
        <v>3484</v>
      </c>
      <c r="C103" s="218" t="s">
        <v>3485</v>
      </c>
      <c r="D103" s="218" t="s">
        <v>3486</v>
      </c>
      <c r="E103" s="218" t="s">
        <v>3487</v>
      </c>
      <c r="F103" s="218"/>
      <c r="G103" s="218"/>
      <c r="H103" s="218"/>
    </row>
    <row r="104" ht="15.75" customHeight="1">
      <c r="A104" s="218" t="s">
        <v>2357</v>
      </c>
      <c r="B104" s="218" t="s">
        <v>3488</v>
      </c>
      <c r="C104" s="218" t="s">
        <v>3489</v>
      </c>
      <c r="D104" s="218" t="s">
        <v>3490</v>
      </c>
      <c r="E104" s="218" t="s">
        <v>3491</v>
      </c>
      <c r="F104" s="218"/>
      <c r="G104" s="218"/>
      <c r="H104" s="218"/>
    </row>
    <row r="105" ht="15.75" customHeight="1">
      <c r="A105" s="227" t="s">
        <v>3492</v>
      </c>
      <c r="B105" s="218"/>
      <c r="C105" s="218"/>
      <c r="D105" s="218"/>
      <c r="E105" s="218"/>
      <c r="F105" s="218"/>
      <c r="G105" s="218"/>
      <c r="H105" s="218"/>
    </row>
    <row r="106" ht="15.75" customHeight="1">
      <c r="A106" s="218" t="s">
        <v>3493</v>
      </c>
      <c r="B106" s="218" t="s">
        <v>3393</v>
      </c>
      <c r="C106" s="218" t="s">
        <v>3394</v>
      </c>
      <c r="D106" s="218"/>
      <c r="E106" s="218"/>
      <c r="F106" s="218"/>
      <c r="G106" s="218"/>
      <c r="H106" s="218"/>
    </row>
    <row r="107" ht="15.75" customHeight="1">
      <c r="A107" s="218" t="s">
        <v>3494</v>
      </c>
      <c r="B107" s="218" t="s">
        <v>3495</v>
      </c>
      <c r="C107" s="218" t="s">
        <v>3496</v>
      </c>
      <c r="D107" s="218"/>
      <c r="E107" s="218"/>
      <c r="F107" s="218"/>
      <c r="G107" s="218"/>
      <c r="H107" s="218"/>
    </row>
    <row r="108" ht="15.75" customHeight="1">
      <c r="A108" s="218" t="s">
        <v>3497</v>
      </c>
      <c r="B108" s="218" t="s">
        <v>3498</v>
      </c>
      <c r="C108" s="218" t="s">
        <v>3499</v>
      </c>
      <c r="D108" s="218"/>
      <c r="E108" s="218"/>
      <c r="F108" s="218"/>
      <c r="G108" s="218"/>
      <c r="H108" s="218"/>
    </row>
    <row r="109" ht="15.75" customHeight="1">
      <c r="A109" s="218" t="s">
        <v>3500</v>
      </c>
      <c r="B109" s="218" t="s">
        <v>3501</v>
      </c>
      <c r="C109" s="218" t="s">
        <v>3502</v>
      </c>
      <c r="D109" s="218"/>
      <c r="E109" s="218"/>
      <c r="F109" s="218"/>
      <c r="G109" s="218"/>
      <c r="H109" s="218"/>
    </row>
    <row r="110" ht="15.75" customHeight="1">
      <c r="A110" s="227" t="s">
        <v>3503</v>
      </c>
      <c r="B110" s="218"/>
      <c r="C110" s="218"/>
      <c r="D110" s="218"/>
      <c r="E110" s="218"/>
      <c r="F110" s="218"/>
      <c r="G110" s="218"/>
      <c r="H110" s="218"/>
    </row>
    <row r="111" ht="15.75" customHeight="1">
      <c r="A111" s="218" t="s">
        <v>3504</v>
      </c>
      <c r="B111" s="218" t="s">
        <v>3505</v>
      </c>
      <c r="C111" s="218" t="s">
        <v>3506</v>
      </c>
      <c r="D111" s="218" t="s">
        <v>3441</v>
      </c>
      <c r="E111" s="218"/>
      <c r="F111" s="218"/>
      <c r="G111" s="218"/>
      <c r="H111" s="218"/>
    </row>
    <row r="112" ht="15.75" customHeight="1">
      <c r="A112" s="218" t="s">
        <v>3507</v>
      </c>
      <c r="B112" s="218" t="s">
        <v>3508</v>
      </c>
      <c r="C112" s="218" t="s">
        <v>3509</v>
      </c>
      <c r="D112" s="218" t="s">
        <v>3510</v>
      </c>
      <c r="E112" s="218"/>
      <c r="F112" s="218"/>
      <c r="G112" s="218"/>
      <c r="H112" s="218"/>
    </row>
    <row r="113" ht="15.75" customHeight="1">
      <c r="A113" s="218" t="s">
        <v>3511</v>
      </c>
      <c r="B113" s="218" t="s">
        <v>3512</v>
      </c>
      <c r="C113" s="218" t="s">
        <v>3509</v>
      </c>
      <c r="D113" s="218" t="s">
        <v>3513</v>
      </c>
      <c r="E113" s="218"/>
      <c r="F113" s="218"/>
      <c r="G113" s="218"/>
      <c r="H113" s="218"/>
    </row>
    <row r="114" ht="15.75" customHeight="1">
      <c r="A114" s="218" t="s">
        <v>3514</v>
      </c>
      <c r="B114" s="218" t="s">
        <v>3515</v>
      </c>
      <c r="C114" s="218" t="s">
        <v>3516</v>
      </c>
      <c r="D114" s="218" t="s">
        <v>3287</v>
      </c>
      <c r="E114" s="218"/>
      <c r="F114" s="218"/>
      <c r="G114" s="218"/>
      <c r="H114" s="218"/>
    </row>
    <row r="115" ht="15.75" customHeight="1">
      <c r="A115" s="218" t="s">
        <v>3517</v>
      </c>
      <c r="B115" s="218" t="s">
        <v>3287</v>
      </c>
      <c r="C115" s="218" t="s">
        <v>3518</v>
      </c>
      <c r="D115" s="218" t="s">
        <v>3519</v>
      </c>
      <c r="E115" s="218"/>
      <c r="F115" s="218"/>
      <c r="G115" s="218"/>
      <c r="H115" s="218"/>
    </row>
    <row r="116" ht="15.75" customHeight="1">
      <c r="A116" s="218" t="s">
        <v>3520</v>
      </c>
      <c r="B116" s="218" t="s">
        <v>3521</v>
      </c>
      <c r="C116" s="218" t="s">
        <v>3522</v>
      </c>
      <c r="D116" s="218" t="s">
        <v>3523</v>
      </c>
      <c r="E116" s="218"/>
      <c r="F116" s="218"/>
      <c r="G116" s="218"/>
      <c r="H116" s="218"/>
    </row>
    <row r="117" ht="15.75" customHeight="1">
      <c r="A117" s="227" t="s">
        <v>3524</v>
      </c>
      <c r="B117" s="218"/>
      <c r="C117" s="218"/>
      <c r="D117" s="218"/>
      <c r="E117" s="218"/>
      <c r="F117" s="218"/>
      <c r="G117" s="218"/>
      <c r="H117" s="218"/>
    </row>
    <row r="118" ht="15.75" customHeight="1">
      <c r="A118" s="218" t="s">
        <v>3441</v>
      </c>
      <c r="B118" s="218" t="s">
        <v>2993</v>
      </c>
      <c r="C118" s="218" t="s">
        <v>3525</v>
      </c>
      <c r="D118" s="218" t="s">
        <v>3392</v>
      </c>
      <c r="E118" s="218"/>
      <c r="F118" s="218"/>
      <c r="G118" s="218"/>
      <c r="H118" s="218"/>
    </row>
    <row r="119" ht="15.75" customHeight="1">
      <c r="A119" s="218" t="s">
        <v>3449</v>
      </c>
      <c r="B119" s="218" t="s">
        <v>3526</v>
      </c>
      <c r="C119" s="218" t="s">
        <v>3527</v>
      </c>
      <c r="D119" s="218" t="s">
        <v>3528</v>
      </c>
      <c r="E119" s="218"/>
      <c r="F119" s="218"/>
      <c r="G119" s="218"/>
      <c r="H119" s="218"/>
    </row>
    <row r="120" ht="15.75" customHeight="1">
      <c r="A120" s="218" t="s">
        <v>3452</v>
      </c>
      <c r="B120" s="218" t="s">
        <v>3529</v>
      </c>
      <c r="C120" s="218" t="s">
        <v>3530</v>
      </c>
      <c r="D120" s="218" t="s">
        <v>3531</v>
      </c>
      <c r="E120" s="218"/>
      <c r="F120" s="218"/>
      <c r="G120" s="218"/>
      <c r="H120" s="218"/>
    </row>
    <row r="121" ht="15.75" customHeight="1">
      <c r="A121" s="218" t="s">
        <v>3532</v>
      </c>
      <c r="B121" s="218" t="s">
        <v>3533</v>
      </c>
      <c r="C121" s="218"/>
      <c r="D121" s="218"/>
      <c r="E121" s="218"/>
      <c r="F121" s="218"/>
      <c r="G121" s="218"/>
      <c r="H121" s="218"/>
    </row>
    <row r="122" ht="15.75" customHeight="1">
      <c r="A122" s="227" t="s">
        <v>3534</v>
      </c>
      <c r="B122" s="218"/>
      <c r="C122" s="218"/>
      <c r="D122" s="218"/>
      <c r="E122" s="218"/>
      <c r="F122" s="218"/>
      <c r="G122" s="218"/>
      <c r="H122" s="218"/>
    </row>
    <row r="123" ht="15.75" customHeight="1">
      <c r="A123" s="218" t="s">
        <v>3535</v>
      </c>
      <c r="B123" s="218" t="s">
        <v>3393</v>
      </c>
      <c r="C123" s="218" t="s">
        <v>3381</v>
      </c>
      <c r="D123" s="218"/>
      <c r="E123" s="218"/>
      <c r="F123" s="218"/>
      <c r="G123" s="218"/>
      <c r="H123" s="218"/>
    </row>
    <row r="124" ht="15.75" customHeight="1">
      <c r="A124" s="218" t="s">
        <v>3536</v>
      </c>
      <c r="B124" s="218" t="s">
        <v>3537</v>
      </c>
      <c r="C124" s="218" t="s">
        <v>3538</v>
      </c>
      <c r="D124" s="218"/>
      <c r="E124" s="218"/>
      <c r="F124" s="218"/>
      <c r="G124" s="218"/>
      <c r="H124" s="218"/>
    </row>
    <row r="125" ht="15.75" customHeight="1">
      <c r="A125" s="218" t="s">
        <v>3539</v>
      </c>
      <c r="B125" s="218" t="s">
        <v>3540</v>
      </c>
      <c r="C125" s="218" t="s">
        <v>3541</v>
      </c>
      <c r="D125" s="218"/>
      <c r="E125" s="218"/>
      <c r="F125" s="218"/>
      <c r="G125" s="218"/>
      <c r="H125" s="218"/>
    </row>
    <row r="126" ht="15.75" customHeight="1">
      <c r="A126" s="218" t="s">
        <v>3542</v>
      </c>
      <c r="B126" s="218" t="s">
        <v>3543</v>
      </c>
      <c r="C126" s="218" t="s">
        <v>3544</v>
      </c>
      <c r="D126" s="218"/>
      <c r="E126" s="218"/>
      <c r="F126" s="218"/>
      <c r="G126" s="218"/>
      <c r="H126" s="218"/>
    </row>
    <row r="127" ht="15.75" customHeight="1">
      <c r="A127" s="227" t="s">
        <v>3545</v>
      </c>
      <c r="B127" s="218"/>
      <c r="C127" s="218"/>
      <c r="D127" s="218"/>
      <c r="E127" s="218"/>
      <c r="F127" s="218"/>
      <c r="G127" s="218"/>
      <c r="H127" s="218"/>
    </row>
    <row r="128" ht="15.75" customHeight="1">
      <c r="A128" s="218" t="s">
        <v>3546</v>
      </c>
      <c r="B128" s="218" t="s">
        <v>3547</v>
      </c>
      <c r="C128" s="218" t="s">
        <v>3548</v>
      </c>
      <c r="D128" s="218"/>
      <c r="E128" s="218"/>
      <c r="F128" s="218"/>
      <c r="G128" s="218"/>
      <c r="H128" s="218"/>
    </row>
    <row r="129" ht="15.75" customHeight="1">
      <c r="A129" s="218" t="s">
        <v>3549</v>
      </c>
      <c r="B129" s="218" t="s">
        <v>3550</v>
      </c>
      <c r="C129" s="218" t="s">
        <v>3551</v>
      </c>
      <c r="D129" s="218"/>
      <c r="E129" s="218"/>
      <c r="F129" s="218"/>
      <c r="G129" s="218"/>
      <c r="H129" s="218"/>
    </row>
    <row r="130" ht="15.75" customHeight="1">
      <c r="A130" s="218" t="s">
        <v>3552</v>
      </c>
      <c r="B130" s="218" t="s">
        <v>3553</v>
      </c>
      <c r="C130" s="218" t="s">
        <v>3554</v>
      </c>
      <c r="D130" s="218"/>
      <c r="E130" s="218"/>
      <c r="F130" s="218"/>
      <c r="G130" s="218"/>
      <c r="H130" s="218"/>
    </row>
    <row r="131" ht="15.75" customHeight="1">
      <c r="A131" s="218" t="s">
        <v>3555</v>
      </c>
      <c r="B131" s="218" t="s">
        <v>3556</v>
      </c>
      <c r="C131" s="218" t="s">
        <v>3557</v>
      </c>
      <c r="D131" s="218"/>
      <c r="E131" s="218"/>
      <c r="F131" s="218"/>
      <c r="G131" s="218"/>
      <c r="H131" s="218"/>
    </row>
    <row r="132" ht="15.75" customHeight="1">
      <c r="A132" s="227" t="s">
        <v>3558</v>
      </c>
      <c r="B132" s="218"/>
      <c r="C132" s="218"/>
      <c r="D132" s="218"/>
      <c r="E132" s="218"/>
      <c r="F132" s="218"/>
      <c r="G132" s="218"/>
      <c r="H132" s="218"/>
    </row>
    <row r="133" ht="15.75" customHeight="1">
      <c r="A133" s="218" t="s">
        <v>3405</v>
      </c>
      <c r="B133" s="218" t="s">
        <v>2081</v>
      </c>
      <c r="C133" s="218" t="s">
        <v>3393</v>
      </c>
      <c r="D133" s="218"/>
      <c r="E133" s="218"/>
      <c r="F133" s="218"/>
      <c r="G133" s="218"/>
      <c r="H133" s="218"/>
    </row>
    <row r="134" ht="15.75" customHeight="1">
      <c r="A134" s="218" t="s">
        <v>3559</v>
      </c>
      <c r="B134" s="218" t="s">
        <v>3560</v>
      </c>
      <c r="C134" s="218" t="s">
        <v>3561</v>
      </c>
      <c r="D134" s="218"/>
      <c r="E134" s="218"/>
      <c r="F134" s="218"/>
      <c r="G134" s="218"/>
      <c r="H134" s="218"/>
    </row>
    <row r="135" ht="15.75" customHeight="1">
      <c r="A135" s="218" t="s">
        <v>3562</v>
      </c>
      <c r="B135" s="218" t="s">
        <v>3563</v>
      </c>
      <c r="C135" s="218" t="s">
        <v>3564</v>
      </c>
      <c r="D135" s="218"/>
      <c r="E135" s="218"/>
      <c r="F135" s="218"/>
      <c r="G135" s="218"/>
      <c r="H135" s="218"/>
    </row>
    <row r="136" ht="15.75" customHeight="1">
      <c r="A136" s="218" t="s">
        <v>3565</v>
      </c>
      <c r="B136" s="218" t="s">
        <v>3566</v>
      </c>
      <c r="C136" s="218" t="s">
        <v>3567</v>
      </c>
      <c r="D136" s="218"/>
      <c r="E136" s="218"/>
      <c r="F136" s="218"/>
      <c r="G136" s="218"/>
      <c r="H136" s="218"/>
    </row>
    <row r="137" ht="15.75" customHeight="1">
      <c r="A137" s="218" t="s">
        <v>3568</v>
      </c>
      <c r="B137" s="218" t="s">
        <v>3569</v>
      </c>
      <c r="C137" s="218" t="s">
        <v>3570</v>
      </c>
      <c r="D137" s="218"/>
      <c r="E137" s="218"/>
      <c r="F137" s="218"/>
      <c r="G137" s="218"/>
      <c r="H137" s="218"/>
    </row>
    <row r="138" ht="24.75" customHeight="1">
      <c r="A138" s="223" t="s">
        <v>3052</v>
      </c>
      <c r="B138" s="224"/>
      <c r="C138" s="224"/>
      <c r="D138" s="224"/>
      <c r="E138" s="224"/>
      <c r="F138" s="224"/>
      <c r="G138" s="224"/>
      <c r="H138" s="225"/>
    </row>
    <row r="139" ht="15.75" customHeight="1">
      <c r="A139" s="226" t="s">
        <v>3571</v>
      </c>
      <c r="B139" s="218"/>
      <c r="C139" s="218"/>
      <c r="D139" s="218"/>
      <c r="E139" s="218"/>
      <c r="F139" s="218"/>
      <c r="G139" s="218"/>
      <c r="H139" s="218"/>
    </row>
    <row r="140" ht="24.75" customHeight="1">
      <c r="A140" s="223" t="s">
        <v>3052</v>
      </c>
      <c r="B140" s="224"/>
      <c r="C140" s="224"/>
      <c r="D140" s="224"/>
      <c r="E140" s="224"/>
      <c r="F140" s="224"/>
      <c r="G140" s="224"/>
      <c r="H140" s="225"/>
    </row>
    <row r="141" ht="15.75" customHeight="1">
      <c r="A141" s="218" t="s">
        <v>3572</v>
      </c>
      <c r="B141" s="218"/>
      <c r="C141" s="218"/>
      <c r="D141" s="218"/>
      <c r="E141" s="218"/>
      <c r="F141" s="218"/>
      <c r="G141" s="218"/>
      <c r="H141" s="218"/>
    </row>
    <row r="142" ht="15.75" customHeight="1">
      <c r="A142" s="227" t="s">
        <v>3573</v>
      </c>
      <c r="B142" s="218"/>
      <c r="C142" s="218"/>
      <c r="D142" s="218"/>
      <c r="E142" s="218"/>
      <c r="F142" s="218"/>
      <c r="G142" s="218"/>
      <c r="H142" s="218"/>
    </row>
    <row r="143" ht="15.75" customHeight="1">
      <c r="A143" s="218" t="s">
        <v>3380</v>
      </c>
      <c r="B143" s="218" t="s">
        <v>2993</v>
      </c>
      <c r="C143" s="218" t="s">
        <v>3381</v>
      </c>
      <c r="D143" s="218"/>
      <c r="E143" s="218"/>
      <c r="F143" s="218"/>
      <c r="G143" s="218"/>
      <c r="H143" s="218"/>
    </row>
    <row r="144" ht="15.75" customHeight="1">
      <c r="A144" s="218" t="s">
        <v>3574</v>
      </c>
      <c r="B144" s="218" t="s">
        <v>3575</v>
      </c>
      <c r="C144" s="218" t="s">
        <v>3576</v>
      </c>
      <c r="D144" s="218"/>
      <c r="E144" s="218"/>
      <c r="F144" s="218"/>
      <c r="G144" s="218"/>
      <c r="H144" s="218"/>
    </row>
    <row r="145" ht="15.75" customHeight="1">
      <c r="A145" s="218" t="s">
        <v>3577</v>
      </c>
      <c r="B145" s="218" t="s">
        <v>3578</v>
      </c>
      <c r="C145" s="218" t="s">
        <v>3579</v>
      </c>
      <c r="D145" s="218"/>
      <c r="E145" s="218"/>
      <c r="F145" s="218"/>
      <c r="G145" s="218"/>
      <c r="H145" s="218"/>
    </row>
    <row r="146" ht="15.75" customHeight="1">
      <c r="A146" s="218" t="s">
        <v>3580</v>
      </c>
      <c r="B146" s="218" t="s">
        <v>3581</v>
      </c>
      <c r="C146" s="218" t="s">
        <v>3582</v>
      </c>
      <c r="D146" s="218"/>
      <c r="E146" s="218"/>
      <c r="F146" s="218"/>
      <c r="G146" s="218"/>
      <c r="H146" s="218"/>
    </row>
    <row r="147" ht="15.75" customHeight="1">
      <c r="A147" s="218" t="s">
        <v>3583</v>
      </c>
      <c r="B147" s="218" t="s">
        <v>3584</v>
      </c>
      <c r="C147" s="218" t="s">
        <v>3585</v>
      </c>
      <c r="D147" s="218"/>
      <c r="E147" s="218"/>
      <c r="F147" s="218"/>
      <c r="G147" s="218"/>
      <c r="H147" s="218"/>
    </row>
    <row r="148" ht="15.75" customHeight="1">
      <c r="A148" s="227" t="s">
        <v>3586</v>
      </c>
      <c r="B148" s="218"/>
      <c r="C148" s="218"/>
      <c r="D148" s="218"/>
      <c r="E148" s="218"/>
      <c r="F148" s="218"/>
      <c r="G148" s="218"/>
      <c r="H148" s="218"/>
    </row>
    <row r="149" ht="15.75" customHeight="1">
      <c r="A149" s="218" t="s">
        <v>3587</v>
      </c>
      <c r="B149" s="218" t="s">
        <v>3588</v>
      </c>
      <c r="C149" s="218" t="s">
        <v>3381</v>
      </c>
      <c r="D149" s="218"/>
      <c r="E149" s="218"/>
      <c r="F149" s="218"/>
      <c r="G149" s="218"/>
      <c r="H149" s="218"/>
    </row>
    <row r="150" ht="15.75" customHeight="1">
      <c r="A150" s="218" t="s">
        <v>3589</v>
      </c>
      <c r="B150" s="218" t="s">
        <v>3590</v>
      </c>
      <c r="C150" s="218" t="s">
        <v>3591</v>
      </c>
      <c r="D150" s="218"/>
      <c r="E150" s="218"/>
      <c r="F150" s="218"/>
      <c r="G150" s="218"/>
      <c r="H150" s="218"/>
    </row>
    <row r="151" ht="15.75" customHeight="1">
      <c r="A151" s="218" t="s">
        <v>3592</v>
      </c>
      <c r="B151" s="218" t="s">
        <v>3593</v>
      </c>
      <c r="C151" s="218" t="s">
        <v>3594</v>
      </c>
      <c r="D151" s="218"/>
      <c r="E151" s="218"/>
      <c r="F151" s="218"/>
      <c r="G151" s="218"/>
      <c r="H151" s="218"/>
    </row>
    <row r="152" ht="15.75" customHeight="1">
      <c r="A152" s="218" t="s">
        <v>3595</v>
      </c>
      <c r="B152" s="218" t="s">
        <v>3596</v>
      </c>
      <c r="C152" s="218" t="s">
        <v>3597</v>
      </c>
      <c r="D152" s="218"/>
      <c r="E152" s="218"/>
      <c r="F152" s="218"/>
      <c r="G152" s="218"/>
      <c r="H152" s="218"/>
    </row>
    <row r="153" ht="15.75" customHeight="1">
      <c r="A153" s="227" t="s">
        <v>3598</v>
      </c>
      <c r="B153" s="218"/>
      <c r="C153" s="218"/>
      <c r="D153" s="218"/>
      <c r="E153" s="218"/>
      <c r="F153" s="218"/>
      <c r="G153" s="218"/>
      <c r="H153" s="218"/>
    </row>
    <row r="154" ht="15.75" customHeight="1">
      <c r="A154" s="217" t="s">
        <v>3599</v>
      </c>
      <c r="B154" s="217" t="s">
        <v>3393</v>
      </c>
      <c r="C154" s="217" t="s">
        <v>3600</v>
      </c>
      <c r="D154" s="218"/>
      <c r="E154" s="218"/>
      <c r="F154" s="218"/>
      <c r="G154" s="218"/>
      <c r="H154" s="218"/>
    </row>
    <row r="155" ht="15.75" customHeight="1">
      <c r="A155" s="218" t="s">
        <v>3601</v>
      </c>
      <c r="B155" s="218" t="s">
        <v>3602</v>
      </c>
      <c r="C155" s="218" t="s">
        <v>3603</v>
      </c>
      <c r="D155" s="218"/>
      <c r="E155" s="218"/>
      <c r="F155" s="218"/>
      <c r="G155" s="218"/>
      <c r="H155" s="218"/>
    </row>
    <row r="156" ht="15.75" customHeight="1">
      <c r="A156" s="218" t="s">
        <v>3604</v>
      </c>
      <c r="B156" s="218" t="s">
        <v>3605</v>
      </c>
      <c r="C156" s="218" t="s">
        <v>3606</v>
      </c>
      <c r="D156" s="218"/>
      <c r="E156" s="218"/>
      <c r="F156" s="218"/>
      <c r="G156" s="218"/>
      <c r="H156" s="218"/>
    </row>
    <row r="157" ht="15.75" customHeight="1">
      <c r="A157" s="218" t="s">
        <v>3607</v>
      </c>
      <c r="B157" s="218" t="s">
        <v>3608</v>
      </c>
      <c r="C157" s="218" t="s">
        <v>3609</v>
      </c>
      <c r="D157" s="218"/>
      <c r="E157" s="218"/>
      <c r="F157" s="218"/>
      <c r="G157" s="218"/>
      <c r="H157" s="218"/>
    </row>
    <row r="158" ht="15.75" customHeight="1">
      <c r="A158" s="218" t="s">
        <v>3610</v>
      </c>
      <c r="B158" s="218" t="s">
        <v>3611</v>
      </c>
      <c r="C158" s="218" t="s">
        <v>3612</v>
      </c>
      <c r="D158" s="218"/>
      <c r="E158" s="218"/>
      <c r="F158" s="218"/>
      <c r="G158" s="218"/>
      <c r="H158" s="218"/>
    </row>
    <row r="159" ht="15.75" customHeight="1">
      <c r="A159" s="227" t="s">
        <v>3613</v>
      </c>
      <c r="B159" s="218"/>
      <c r="C159" s="218"/>
      <c r="D159" s="218"/>
      <c r="E159" s="218"/>
      <c r="F159" s="218"/>
      <c r="G159" s="218"/>
      <c r="H159" s="218"/>
    </row>
    <row r="160" ht="15.75" customHeight="1">
      <c r="A160" s="218" t="s">
        <v>3614</v>
      </c>
      <c r="B160" s="218" t="s">
        <v>3615</v>
      </c>
      <c r="C160" s="218" t="s">
        <v>3493</v>
      </c>
      <c r="D160" s="218"/>
      <c r="E160" s="218"/>
      <c r="F160" s="218"/>
      <c r="G160" s="218"/>
      <c r="H160" s="218"/>
    </row>
    <row r="161" ht="15.75" customHeight="1">
      <c r="A161" s="218" t="s">
        <v>3616</v>
      </c>
      <c r="B161" s="218" t="s">
        <v>3617</v>
      </c>
      <c r="C161" s="218" t="s">
        <v>3618</v>
      </c>
      <c r="D161" s="218"/>
      <c r="E161" s="218"/>
      <c r="F161" s="218"/>
      <c r="G161" s="218"/>
      <c r="H161" s="218"/>
    </row>
    <row r="162" ht="15.75" customHeight="1">
      <c r="A162" s="218" t="s">
        <v>3619</v>
      </c>
      <c r="B162" s="218" t="s">
        <v>3620</v>
      </c>
      <c r="C162" s="218" t="s">
        <v>3621</v>
      </c>
      <c r="D162" s="218"/>
      <c r="E162" s="218"/>
      <c r="F162" s="218"/>
      <c r="G162" s="218"/>
      <c r="H162" s="218"/>
    </row>
    <row r="163" ht="15.75" customHeight="1">
      <c r="A163" s="218" t="s">
        <v>3622</v>
      </c>
      <c r="B163" s="218" t="s">
        <v>3623</v>
      </c>
      <c r="C163" s="218" t="s">
        <v>3624</v>
      </c>
      <c r="D163" s="218"/>
      <c r="E163" s="218"/>
      <c r="F163" s="218"/>
      <c r="G163" s="218"/>
      <c r="H163" s="218"/>
    </row>
    <row r="164" ht="15.75" customHeight="1">
      <c r="A164" s="218" t="s">
        <v>3625</v>
      </c>
      <c r="B164" s="218" t="s">
        <v>3626</v>
      </c>
      <c r="C164" s="218" t="s">
        <v>3627</v>
      </c>
      <c r="D164" s="218"/>
      <c r="E164" s="218"/>
      <c r="F164" s="218"/>
      <c r="G164" s="218"/>
      <c r="H164" s="218"/>
    </row>
    <row r="165" ht="15.75" customHeight="1">
      <c r="A165" s="227" t="s">
        <v>3628</v>
      </c>
      <c r="B165" s="218"/>
      <c r="C165" s="218"/>
      <c r="D165" s="218"/>
      <c r="E165" s="218"/>
      <c r="F165" s="218"/>
      <c r="G165" s="218"/>
      <c r="H165" s="218"/>
    </row>
    <row r="166" ht="15.75" customHeight="1">
      <c r="A166" s="217" t="s">
        <v>3629</v>
      </c>
      <c r="B166" s="217" t="s">
        <v>2993</v>
      </c>
      <c r="C166" s="217" t="s">
        <v>3211</v>
      </c>
      <c r="D166" s="217" t="s">
        <v>1466</v>
      </c>
      <c r="E166" s="218"/>
      <c r="F166" s="218"/>
      <c r="G166" s="218"/>
      <c r="H166" s="218"/>
    </row>
    <row r="167" ht="15.75" customHeight="1">
      <c r="A167" s="218" t="s">
        <v>2103</v>
      </c>
      <c r="B167" s="218" t="s">
        <v>3630</v>
      </c>
      <c r="C167" s="218" t="s">
        <v>3631</v>
      </c>
      <c r="D167" s="218" t="s">
        <v>3632</v>
      </c>
      <c r="E167" s="218"/>
      <c r="F167" s="218"/>
      <c r="G167" s="218"/>
      <c r="H167" s="218"/>
    </row>
    <row r="168" ht="15.75" customHeight="1">
      <c r="A168" s="218" t="s">
        <v>2109</v>
      </c>
      <c r="B168" s="218" t="s">
        <v>3633</v>
      </c>
      <c r="C168" s="218" t="s">
        <v>3631</v>
      </c>
      <c r="D168" s="218" t="s">
        <v>3634</v>
      </c>
      <c r="E168" s="218"/>
      <c r="F168" s="218"/>
      <c r="G168" s="218"/>
      <c r="H168" s="218"/>
    </row>
    <row r="169" ht="15.75" customHeight="1">
      <c r="A169" s="218" t="s">
        <v>2114</v>
      </c>
      <c r="B169" s="218" t="s">
        <v>3635</v>
      </c>
      <c r="C169" s="218" t="s">
        <v>3636</v>
      </c>
      <c r="D169" s="218" t="s">
        <v>3637</v>
      </c>
      <c r="E169" s="218"/>
      <c r="F169" s="218"/>
      <c r="G169" s="218"/>
      <c r="H169" s="218"/>
    </row>
    <row r="170" ht="15.75" customHeight="1">
      <c r="A170" s="218" t="s">
        <v>2117</v>
      </c>
      <c r="B170" s="218" t="s">
        <v>3638</v>
      </c>
      <c r="C170" s="218" t="s">
        <v>3639</v>
      </c>
      <c r="D170" s="218" t="s">
        <v>3632</v>
      </c>
      <c r="E170" s="218"/>
      <c r="F170" s="218"/>
      <c r="G170" s="218"/>
      <c r="H170" s="218"/>
    </row>
    <row r="171" ht="15.75" customHeight="1">
      <c r="A171" s="218" t="s">
        <v>2121</v>
      </c>
      <c r="B171" s="218" t="s">
        <v>3640</v>
      </c>
      <c r="C171" s="218" t="s">
        <v>3095</v>
      </c>
      <c r="D171" s="218" t="s">
        <v>3641</v>
      </c>
      <c r="E171" s="218"/>
      <c r="F171" s="218"/>
      <c r="G171" s="218"/>
      <c r="H171" s="218"/>
    </row>
    <row r="172" ht="15.75" customHeight="1">
      <c r="A172" s="227" t="s">
        <v>3642</v>
      </c>
      <c r="B172" s="218"/>
      <c r="C172" s="218"/>
      <c r="D172" s="218"/>
      <c r="E172" s="218"/>
      <c r="F172" s="218"/>
      <c r="G172" s="218"/>
      <c r="H172" s="218"/>
    </row>
    <row r="173" ht="15.75" customHeight="1">
      <c r="A173" s="217" t="s">
        <v>3365</v>
      </c>
      <c r="B173" s="217" t="s">
        <v>2993</v>
      </c>
      <c r="C173" s="217" t="s">
        <v>3493</v>
      </c>
      <c r="D173" s="218"/>
      <c r="E173" s="218"/>
      <c r="F173" s="218"/>
      <c r="G173" s="218"/>
      <c r="H173" s="218"/>
    </row>
    <row r="174" ht="15.75" customHeight="1">
      <c r="A174" s="218" t="s">
        <v>3643</v>
      </c>
      <c r="B174" s="218" t="s">
        <v>3644</v>
      </c>
      <c r="C174" s="218" t="s">
        <v>3645</v>
      </c>
      <c r="D174" s="218"/>
      <c r="E174" s="218"/>
      <c r="F174" s="218"/>
      <c r="G174" s="218"/>
      <c r="H174" s="218"/>
    </row>
    <row r="175" ht="15.75" customHeight="1">
      <c r="A175" s="218" t="s">
        <v>3646</v>
      </c>
      <c r="B175" s="218" t="s">
        <v>3647</v>
      </c>
      <c r="C175" s="218" t="s">
        <v>3648</v>
      </c>
      <c r="D175" s="218"/>
      <c r="E175" s="218"/>
      <c r="F175" s="218"/>
      <c r="G175" s="218"/>
      <c r="H175" s="218"/>
    </row>
    <row r="176" ht="15.75" customHeight="1">
      <c r="A176" s="218" t="s">
        <v>3649</v>
      </c>
      <c r="B176" s="218" t="s">
        <v>3650</v>
      </c>
      <c r="C176" s="218" t="s">
        <v>3651</v>
      </c>
      <c r="D176" s="218"/>
      <c r="E176" s="218"/>
      <c r="F176" s="218"/>
      <c r="G176" s="218"/>
      <c r="H176" s="218"/>
    </row>
    <row r="177" ht="15.75" customHeight="1">
      <c r="A177" s="218" t="s">
        <v>3652</v>
      </c>
      <c r="B177" s="218" t="s">
        <v>3653</v>
      </c>
      <c r="C177" s="218" t="s">
        <v>3654</v>
      </c>
      <c r="D177" s="218"/>
      <c r="E177" s="218"/>
      <c r="F177" s="218"/>
      <c r="G177" s="218"/>
      <c r="H177" s="218"/>
    </row>
    <row r="178" ht="15.75" customHeight="1">
      <c r="A178" s="227" t="s">
        <v>3655</v>
      </c>
      <c r="B178" s="218"/>
      <c r="C178" s="218"/>
      <c r="D178" s="218"/>
      <c r="E178" s="218"/>
      <c r="F178" s="218"/>
      <c r="G178" s="218"/>
      <c r="H178" s="218"/>
    </row>
    <row r="179" ht="15.75" customHeight="1">
      <c r="A179" s="217" t="s">
        <v>3365</v>
      </c>
      <c r="B179" s="217" t="s">
        <v>3656</v>
      </c>
      <c r="C179" s="217" t="s">
        <v>3657</v>
      </c>
      <c r="D179" s="217" t="s">
        <v>13</v>
      </c>
      <c r="E179" s="218"/>
      <c r="F179" s="218"/>
      <c r="G179" s="218"/>
      <c r="H179" s="218"/>
    </row>
    <row r="180" ht="15.75" customHeight="1">
      <c r="A180" s="218" t="s">
        <v>3658</v>
      </c>
      <c r="B180" s="218" t="s">
        <v>2306</v>
      </c>
      <c r="C180" s="218" t="s">
        <v>3287</v>
      </c>
      <c r="D180" s="218" t="s">
        <v>3659</v>
      </c>
      <c r="E180" s="218"/>
      <c r="F180" s="218"/>
      <c r="G180" s="218"/>
      <c r="H180" s="218"/>
    </row>
    <row r="181" ht="15.75" customHeight="1">
      <c r="A181" s="218" t="s">
        <v>3660</v>
      </c>
      <c r="B181" s="218" t="s">
        <v>3661</v>
      </c>
      <c r="C181" s="218" t="s">
        <v>1153</v>
      </c>
      <c r="D181" s="218" t="s">
        <v>3662</v>
      </c>
      <c r="E181" s="218"/>
      <c r="F181" s="218"/>
      <c r="G181" s="218"/>
      <c r="H181" s="218"/>
    </row>
    <row r="182" ht="15.75" customHeight="1">
      <c r="A182" s="218" t="s">
        <v>3663</v>
      </c>
      <c r="B182" s="218" t="s">
        <v>3664</v>
      </c>
      <c r="C182" s="218" t="s">
        <v>3665</v>
      </c>
      <c r="D182" s="218" t="s">
        <v>3666</v>
      </c>
      <c r="E182" s="218"/>
      <c r="F182" s="218"/>
      <c r="G182" s="218"/>
      <c r="H182" s="218"/>
    </row>
    <row r="183" ht="15.75" customHeight="1">
      <c r="A183" s="218" t="s">
        <v>3667</v>
      </c>
      <c r="B183" s="218" t="s">
        <v>3668</v>
      </c>
      <c r="C183" s="218"/>
      <c r="D183" s="218" t="s">
        <v>3669</v>
      </c>
      <c r="E183" s="218"/>
      <c r="F183" s="218"/>
      <c r="G183" s="218"/>
      <c r="H183" s="218"/>
    </row>
    <row r="184" ht="15.75" customHeight="1">
      <c r="A184" s="227" t="s">
        <v>3670</v>
      </c>
      <c r="B184" s="218"/>
      <c r="C184" s="218"/>
      <c r="D184" s="218"/>
      <c r="E184" s="218"/>
      <c r="F184" s="218"/>
      <c r="G184" s="218"/>
      <c r="H184" s="218"/>
    </row>
    <row r="185" ht="15.75" customHeight="1">
      <c r="A185" s="218" t="s">
        <v>3671</v>
      </c>
      <c r="B185" s="218" t="s">
        <v>3393</v>
      </c>
      <c r="C185" s="218" t="s">
        <v>3381</v>
      </c>
      <c r="D185" s="218"/>
      <c r="E185" s="218"/>
      <c r="F185" s="218"/>
      <c r="G185" s="218"/>
      <c r="H185" s="218"/>
    </row>
    <row r="186" ht="15.75" customHeight="1">
      <c r="A186" s="218" t="s">
        <v>3672</v>
      </c>
      <c r="B186" s="218" t="s">
        <v>3673</v>
      </c>
      <c r="C186" s="218" t="s">
        <v>3674</v>
      </c>
      <c r="D186" s="218"/>
      <c r="E186" s="218"/>
      <c r="F186" s="218"/>
      <c r="G186" s="218"/>
      <c r="H186" s="218"/>
    </row>
    <row r="187" ht="15.75" customHeight="1">
      <c r="A187" s="218" t="s">
        <v>3675</v>
      </c>
      <c r="B187" s="218" t="s">
        <v>3676</v>
      </c>
      <c r="C187" s="218" t="s">
        <v>3677</v>
      </c>
      <c r="D187" s="218"/>
      <c r="E187" s="218"/>
      <c r="F187" s="218"/>
      <c r="G187" s="218"/>
      <c r="H187" s="218"/>
    </row>
    <row r="188" ht="15.75" customHeight="1">
      <c r="A188" s="218" t="s">
        <v>3678</v>
      </c>
      <c r="B188" s="218" t="s">
        <v>3679</v>
      </c>
      <c r="C188" s="218" t="s">
        <v>3680</v>
      </c>
      <c r="D188" s="218"/>
      <c r="E188" s="218"/>
      <c r="F188" s="218"/>
      <c r="G188" s="218"/>
      <c r="H188" s="218"/>
    </row>
    <row r="189" ht="15.75" customHeight="1">
      <c r="A189" s="218" t="s">
        <v>3681</v>
      </c>
      <c r="B189" s="218" t="s">
        <v>3682</v>
      </c>
      <c r="C189" s="218" t="s">
        <v>3683</v>
      </c>
      <c r="D189" s="218"/>
      <c r="E189" s="218"/>
      <c r="F189" s="218"/>
      <c r="G189" s="218"/>
      <c r="H189" s="218"/>
    </row>
    <row r="190" ht="15.75" customHeight="1">
      <c r="A190" s="218" t="s">
        <v>3684</v>
      </c>
      <c r="B190" s="218"/>
      <c r="C190" s="218"/>
      <c r="D190" s="218"/>
      <c r="E190" s="218"/>
      <c r="F190" s="218"/>
      <c r="G190" s="218"/>
      <c r="H190" s="218"/>
    </row>
    <row r="191" ht="15.75" customHeight="1">
      <c r="A191" s="227" t="s">
        <v>3685</v>
      </c>
      <c r="B191" s="218"/>
      <c r="C191" s="218"/>
      <c r="D191" s="218"/>
      <c r="E191" s="218"/>
      <c r="F191" s="218"/>
      <c r="G191" s="218"/>
      <c r="H191" s="218"/>
    </row>
    <row r="192" ht="15.75" customHeight="1">
      <c r="A192" s="218" t="s">
        <v>3686</v>
      </c>
      <c r="B192" s="218"/>
      <c r="C192" s="218"/>
      <c r="D192" s="218"/>
      <c r="E192" s="218"/>
      <c r="F192" s="218"/>
      <c r="G192" s="218"/>
      <c r="H192" s="218"/>
    </row>
    <row r="193" ht="15.75" customHeight="1">
      <c r="A193" s="218" t="s">
        <v>3687</v>
      </c>
      <c r="B193" s="218"/>
      <c r="C193" s="218"/>
      <c r="D193" s="218"/>
      <c r="E193" s="218"/>
      <c r="F193" s="218"/>
      <c r="G193" s="218"/>
      <c r="H193" s="218"/>
    </row>
    <row r="194" ht="15.75" customHeight="1">
      <c r="A194" s="218" t="s">
        <v>3688</v>
      </c>
      <c r="B194" s="218"/>
      <c r="C194" s="218"/>
      <c r="D194" s="218"/>
      <c r="E194" s="218"/>
      <c r="F194" s="218"/>
      <c r="G194" s="218"/>
      <c r="H194" s="218"/>
    </row>
    <row r="195" ht="15.75" customHeight="1">
      <c r="A195" s="218" t="s">
        <v>3689</v>
      </c>
      <c r="B195" s="218"/>
      <c r="C195" s="218"/>
      <c r="D195" s="218"/>
      <c r="E195" s="218"/>
      <c r="F195" s="218"/>
      <c r="G195" s="218"/>
      <c r="H195" s="218"/>
    </row>
    <row r="196" ht="15.75" customHeight="1">
      <c r="A196" s="218" t="s">
        <v>3690</v>
      </c>
      <c r="B196" s="218"/>
      <c r="C196" s="218"/>
      <c r="D196" s="218"/>
      <c r="E196" s="218"/>
      <c r="F196" s="218"/>
      <c r="G196" s="218"/>
      <c r="H196" s="218"/>
    </row>
    <row r="197" ht="15.75" customHeight="1">
      <c r="A197" s="218" t="s">
        <v>3691</v>
      </c>
      <c r="B197" s="218"/>
      <c r="C197" s="218"/>
      <c r="D197" s="218"/>
      <c r="E197" s="218"/>
      <c r="F197" s="218"/>
      <c r="G197" s="218"/>
      <c r="H197" s="218"/>
    </row>
    <row r="198" ht="15.75" customHeight="1">
      <c r="A198" s="218" t="s">
        <v>3692</v>
      </c>
      <c r="B198" s="218"/>
      <c r="C198" s="218"/>
      <c r="D198" s="218"/>
      <c r="E198" s="218"/>
      <c r="F198" s="218"/>
      <c r="G198" s="218"/>
      <c r="H198" s="218"/>
    </row>
    <row r="199" ht="15.75" customHeight="1">
      <c r="A199" s="227" t="s">
        <v>3693</v>
      </c>
      <c r="B199" s="218"/>
      <c r="C199" s="218"/>
      <c r="D199" s="218"/>
      <c r="E199" s="218"/>
      <c r="F199" s="218"/>
      <c r="G199" s="218"/>
      <c r="H199" s="218"/>
    </row>
    <row r="200" ht="15.75" customHeight="1">
      <c r="A200" s="218" t="s">
        <v>3694</v>
      </c>
      <c r="B200" s="218" t="s">
        <v>3695</v>
      </c>
      <c r="C200" s="218" t="s">
        <v>3696</v>
      </c>
      <c r="D200" s="218" t="s">
        <v>3697</v>
      </c>
      <c r="E200" s="218" t="s">
        <v>3698</v>
      </c>
      <c r="F200" s="218" t="s">
        <v>3699</v>
      </c>
      <c r="G200" s="218" t="s">
        <v>3700</v>
      </c>
      <c r="H200" s="218"/>
    </row>
    <row r="201" ht="15.75" customHeight="1">
      <c r="A201" s="218" t="s">
        <v>3701</v>
      </c>
      <c r="B201" s="218"/>
      <c r="C201" s="218"/>
      <c r="D201" s="218"/>
      <c r="E201" s="218"/>
      <c r="F201" s="218"/>
      <c r="G201" s="218"/>
      <c r="H201" s="218"/>
    </row>
    <row r="202" ht="15.75" customHeight="1">
      <c r="A202" s="218" t="s">
        <v>3702</v>
      </c>
      <c r="B202" s="218" t="s">
        <v>3703</v>
      </c>
      <c r="C202" s="218" t="s">
        <v>3092</v>
      </c>
      <c r="D202" s="218" t="s">
        <v>3109</v>
      </c>
      <c r="E202" s="218" t="s">
        <v>3704</v>
      </c>
      <c r="F202" s="218" t="s">
        <v>3705</v>
      </c>
      <c r="G202" s="218" t="s">
        <v>3706</v>
      </c>
      <c r="H202" s="218"/>
    </row>
    <row r="203" ht="15.75" customHeight="1">
      <c r="A203" s="218" t="s">
        <v>3707</v>
      </c>
      <c r="B203" s="218" t="s">
        <v>3708</v>
      </c>
      <c r="C203" s="218" t="s">
        <v>3087</v>
      </c>
      <c r="D203" s="218" t="s">
        <v>3092</v>
      </c>
      <c r="E203" s="218" t="s">
        <v>3709</v>
      </c>
      <c r="F203" s="218" t="s">
        <v>3705</v>
      </c>
      <c r="G203" s="218" t="s">
        <v>3706</v>
      </c>
      <c r="H203" s="218"/>
    </row>
    <row r="204" ht="15.75" customHeight="1">
      <c r="A204" s="218" t="s">
        <v>3710</v>
      </c>
      <c r="B204" s="218" t="s">
        <v>3711</v>
      </c>
      <c r="C204" s="218" t="s">
        <v>3087</v>
      </c>
      <c r="D204" s="218" t="s">
        <v>3109</v>
      </c>
      <c r="E204" s="218" t="s">
        <v>3712</v>
      </c>
      <c r="F204" s="218" t="s">
        <v>1516</v>
      </c>
      <c r="G204" s="218" t="s">
        <v>3713</v>
      </c>
      <c r="H204" s="218"/>
    </row>
    <row r="205" ht="15.75" customHeight="1">
      <c r="A205" s="218" t="s">
        <v>3714</v>
      </c>
      <c r="B205" s="218" t="s">
        <v>3715</v>
      </c>
      <c r="C205" s="218" t="s">
        <v>3087</v>
      </c>
      <c r="D205" s="218" t="s">
        <v>3109</v>
      </c>
      <c r="E205" s="218" t="s">
        <v>3716</v>
      </c>
      <c r="F205" s="218" t="s">
        <v>3717</v>
      </c>
      <c r="G205" s="218" t="s">
        <v>3706</v>
      </c>
      <c r="H205" s="218"/>
    </row>
    <row r="206" ht="15.75" customHeight="1">
      <c r="A206" s="218" t="s">
        <v>3718</v>
      </c>
      <c r="B206" s="218" t="s">
        <v>3719</v>
      </c>
      <c r="C206" s="218" t="s">
        <v>3109</v>
      </c>
      <c r="D206" s="218" t="s">
        <v>3720</v>
      </c>
      <c r="E206" s="218" t="s">
        <v>3721</v>
      </c>
      <c r="F206" s="218" t="s">
        <v>3722</v>
      </c>
      <c r="G206" s="218" t="s">
        <v>3706</v>
      </c>
      <c r="H206" s="218"/>
    </row>
    <row r="207" ht="15.75" customHeight="1">
      <c r="A207" s="218" t="s">
        <v>3723</v>
      </c>
      <c r="B207" s="218"/>
      <c r="C207" s="218"/>
      <c r="D207" s="218"/>
      <c r="E207" s="218"/>
      <c r="F207" s="218"/>
      <c r="G207" s="218"/>
      <c r="H207" s="218"/>
    </row>
    <row r="208" ht="15.75" customHeight="1">
      <c r="A208" s="218" t="s">
        <v>3592</v>
      </c>
      <c r="B208" s="218" t="s">
        <v>3724</v>
      </c>
      <c r="C208" s="218" t="s">
        <v>3092</v>
      </c>
      <c r="D208" s="218" t="s">
        <v>3720</v>
      </c>
      <c r="E208" s="218" t="s">
        <v>3725</v>
      </c>
      <c r="F208" s="218" t="s">
        <v>3722</v>
      </c>
      <c r="G208" s="218" t="s">
        <v>3706</v>
      </c>
      <c r="H208" s="218"/>
    </row>
    <row r="209" ht="15.75" customHeight="1">
      <c r="A209" s="218" t="s">
        <v>3726</v>
      </c>
      <c r="B209" s="218" t="s">
        <v>3727</v>
      </c>
      <c r="C209" s="218" t="s">
        <v>3092</v>
      </c>
      <c r="D209" s="218" t="s">
        <v>3092</v>
      </c>
      <c r="E209" s="218" t="s">
        <v>3728</v>
      </c>
      <c r="F209" s="218" t="s">
        <v>2453</v>
      </c>
      <c r="G209" s="218" t="s">
        <v>3706</v>
      </c>
      <c r="H209" s="218"/>
    </row>
    <row r="210" ht="15.75" customHeight="1">
      <c r="A210" s="218" t="s">
        <v>3729</v>
      </c>
      <c r="B210" s="218" t="s">
        <v>3730</v>
      </c>
      <c r="C210" s="218" t="s">
        <v>3087</v>
      </c>
      <c r="D210" s="218" t="s">
        <v>3092</v>
      </c>
      <c r="E210" s="218" t="s">
        <v>3731</v>
      </c>
      <c r="F210" s="218" t="s">
        <v>3722</v>
      </c>
      <c r="G210" s="218" t="s">
        <v>3706</v>
      </c>
      <c r="H210" s="218"/>
    </row>
    <row r="211" ht="15.75" customHeight="1">
      <c r="A211" s="218" t="s">
        <v>3732</v>
      </c>
      <c r="B211" s="218"/>
      <c r="C211" s="218"/>
      <c r="D211" s="218"/>
      <c r="E211" s="218"/>
      <c r="F211" s="218"/>
      <c r="G211" s="218"/>
      <c r="H211" s="218"/>
    </row>
    <row r="212" ht="15.75" customHeight="1">
      <c r="A212" s="218" t="s">
        <v>3733</v>
      </c>
      <c r="B212" s="218" t="s">
        <v>3734</v>
      </c>
      <c r="C212" s="218" t="s">
        <v>3092</v>
      </c>
      <c r="D212" s="218" t="s">
        <v>3092</v>
      </c>
      <c r="E212" s="218" t="s">
        <v>3735</v>
      </c>
      <c r="F212" s="218" t="s">
        <v>2843</v>
      </c>
      <c r="G212" s="218" t="s">
        <v>3706</v>
      </c>
      <c r="H212" s="218"/>
    </row>
    <row r="213" ht="15.75" customHeight="1">
      <c r="A213" s="218" t="s">
        <v>3736</v>
      </c>
      <c r="B213" s="218" t="s">
        <v>3737</v>
      </c>
      <c r="C213" s="218" t="s">
        <v>3092</v>
      </c>
      <c r="D213" s="218" t="s">
        <v>3092</v>
      </c>
      <c r="E213" s="218" t="s">
        <v>3738</v>
      </c>
      <c r="F213" s="218" t="s">
        <v>41</v>
      </c>
      <c r="G213" s="218" t="s">
        <v>3706</v>
      </c>
      <c r="H213" s="218"/>
    </row>
    <row r="214" ht="15.75" customHeight="1">
      <c r="A214" s="218" t="s">
        <v>3739</v>
      </c>
      <c r="B214" s="218"/>
      <c r="C214" s="218"/>
      <c r="D214" s="218"/>
      <c r="E214" s="218"/>
      <c r="F214" s="218"/>
      <c r="G214" s="218"/>
      <c r="H214" s="218"/>
    </row>
    <row r="215" ht="15.75" customHeight="1">
      <c r="A215" s="218" t="s">
        <v>3740</v>
      </c>
      <c r="B215" s="218" t="s">
        <v>3741</v>
      </c>
      <c r="C215" s="218" t="s">
        <v>3087</v>
      </c>
      <c r="D215" s="218" t="s">
        <v>3109</v>
      </c>
      <c r="E215" s="218" t="s">
        <v>3742</v>
      </c>
      <c r="F215" s="218" t="s">
        <v>2453</v>
      </c>
      <c r="G215" s="218" t="s">
        <v>3706</v>
      </c>
      <c r="H215" s="218"/>
    </row>
    <row r="216" ht="15.75" customHeight="1">
      <c r="A216" s="218" t="s">
        <v>3743</v>
      </c>
      <c r="B216" s="218" t="s">
        <v>3744</v>
      </c>
      <c r="C216" s="218" t="s">
        <v>3092</v>
      </c>
      <c r="D216" s="218" t="s">
        <v>3092</v>
      </c>
      <c r="E216" s="218" t="s">
        <v>3745</v>
      </c>
      <c r="F216" s="218" t="s">
        <v>2453</v>
      </c>
      <c r="G216" s="218" t="s">
        <v>3706</v>
      </c>
      <c r="H216" s="218"/>
    </row>
    <row r="217" ht="15.75" customHeight="1">
      <c r="A217" s="218" t="s">
        <v>3746</v>
      </c>
      <c r="B217" s="218" t="s">
        <v>3747</v>
      </c>
      <c r="C217" s="218" t="s">
        <v>3087</v>
      </c>
      <c r="D217" s="218" t="s">
        <v>3720</v>
      </c>
      <c r="E217" s="218" t="s">
        <v>3748</v>
      </c>
      <c r="F217" s="218" t="s">
        <v>3749</v>
      </c>
      <c r="G217" s="218" t="s">
        <v>3706</v>
      </c>
      <c r="H217" s="218"/>
    </row>
    <row r="218" ht="15.75" customHeight="1">
      <c r="A218" s="218" t="s">
        <v>3750</v>
      </c>
      <c r="B218" s="218"/>
      <c r="C218" s="218"/>
      <c r="D218" s="218"/>
      <c r="E218" s="218"/>
      <c r="F218" s="218"/>
      <c r="G218" s="218"/>
      <c r="H218" s="218"/>
    </row>
    <row r="219" ht="15.75" customHeight="1">
      <c r="A219" s="218" t="s">
        <v>3751</v>
      </c>
      <c r="B219" s="218" t="s">
        <v>3752</v>
      </c>
      <c r="C219" s="218" t="s">
        <v>3092</v>
      </c>
      <c r="D219" s="218" t="s">
        <v>3109</v>
      </c>
      <c r="E219" s="218" t="s">
        <v>3753</v>
      </c>
      <c r="F219" s="218" t="s">
        <v>3754</v>
      </c>
      <c r="G219" s="218" t="s">
        <v>3706</v>
      </c>
      <c r="H219" s="218"/>
    </row>
    <row r="220" ht="15.75" customHeight="1">
      <c r="A220" s="218" t="s">
        <v>3755</v>
      </c>
      <c r="B220" s="218" t="s">
        <v>3756</v>
      </c>
      <c r="C220" s="218" t="s">
        <v>3087</v>
      </c>
      <c r="D220" s="218" t="s">
        <v>3092</v>
      </c>
      <c r="E220" s="218" t="s">
        <v>3757</v>
      </c>
      <c r="F220" s="218" t="s">
        <v>3754</v>
      </c>
      <c r="G220" s="218" t="s">
        <v>3706</v>
      </c>
      <c r="H220" s="218"/>
    </row>
    <row r="221" ht="15.75" customHeight="1">
      <c r="A221" s="227" t="s">
        <v>3758</v>
      </c>
      <c r="B221" s="218"/>
      <c r="C221" s="218"/>
      <c r="D221" s="218"/>
      <c r="E221" s="218"/>
      <c r="F221" s="218"/>
      <c r="G221" s="218"/>
      <c r="H221" s="218"/>
    </row>
    <row r="222" ht="15.75" customHeight="1">
      <c r="A222" s="218" t="s">
        <v>3759</v>
      </c>
      <c r="B222" s="218"/>
      <c r="C222" s="218"/>
      <c r="D222" s="218"/>
      <c r="E222" s="218"/>
      <c r="F222" s="218"/>
      <c r="G222" s="218"/>
      <c r="H222" s="218"/>
    </row>
    <row r="223" ht="15.75" customHeight="1">
      <c r="A223" s="218" t="s">
        <v>3132</v>
      </c>
      <c r="B223" s="218" t="s">
        <v>3760</v>
      </c>
      <c r="C223" s="218"/>
      <c r="D223" s="218"/>
      <c r="E223" s="218"/>
      <c r="F223" s="218"/>
      <c r="G223" s="218"/>
      <c r="H223" s="218"/>
    </row>
    <row r="224" ht="15.75" customHeight="1">
      <c r="A224" s="218" t="s">
        <v>3761</v>
      </c>
      <c r="B224" s="218"/>
      <c r="C224" s="218"/>
      <c r="D224" s="218"/>
      <c r="E224" s="218"/>
      <c r="F224" s="218"/>
      <c r="G224" s="218"/>
      <c r="H224" s="218"/>
    </row>
    <row r="225" ht="15.75" customHeight="1">
      <c r="A225" s="218" t="s">
        <v>3762</v>
      </c>
      <c r="B225" s="218" t="s">
        <v>3763</v>
      </c>
      <c r="C225" s="218"/>
      <c r="D225" s="218"/>
      <c r="E225" s="218"/>
      <c r="F225" s="218"/>
      <c r="G225" s="218"/>
      <c r="H225" s="218"/>
    </row>
    <row r="226" ht="15.75" customHeight="1">
      <c r="A226" s="218" t="s">
        <v>3761</v>
      </c>
      <c r="B226" s="218"/>
      <c r="C226" s="218"/>
      <c r="D226" s="218"/>
      <c r="E226" s="218"/>
      <c r="F226" s="218"/>
      <c r="G226" s="218"/>
      <c r="H226" s="218"/>
    </row>
    <row r="227" ht="15.75" customHeight="1">
      <c r="A227" s="218" t="s">
        <v>3764</v>
      </c>
      <c r="B227" s="218" t="s">
        <v>3765</v>
      </c>
      <c r="C227" s="218"/>
      <c r="D227" s="218"/>
      <c r="E227" s="218"/>
      <c r="F227" s="218"/>
      <c r="G227" s="218"/>
      <c r="H227" s="218"/>
    </row>
    <row r="228" ht="15.75" customHeight="1">
      <c r="A228" s="218" t="s">
        <v>3761</v>
      </c>
      <c r="B228" s="218"/>
      <c r="C228" s="218"/>
      <c r="D228" s="218"/>
      <c r="E228" s="218"/>
      <c r="F228" s="218"/>
      <c r="G228" s="218"/>
      <c r="H228" s="218"/>
    </row>
    <row r="229" ht="15.75" customHeight="1">
      <c r="A229" s="218" t="s">
        <v>3766</v>
      </c>
      <c r="B229" s="218" t="s">
        <v>3767</v>
      </c>
      <c r="C229" s="218"/>
      <c r="D229" s="218"/>
      <c r="E229" s="218"/>
      <c r="F229" s="218"/>
      <c r="G229" s="218"/>
      <c r="H229" s="218"/>
    </row>
    <row r="230" ht="15.75" customHeight="1">
      <c r="A230" s="218" t="s">
        <v>3768</v>
      </c>
      <c r="B230" s="218"/>
      <c r="C230" s="218"/>
      <c r="D230" s="218"/>
      <c r="E230" s="218"/>
      <c r="F230" s="218"/>
      <c r="G230" s="218"/>
      <c r="H230" s="218"/>
    </row>
    <row r="231" ht="15.75" customHeight="1">
      <c r="A231" s="217" t="s">
        <v>3769</v>
      </c>
      <c r="B231" s="218"/>
      <c r="C231" s="218"/>
      <c r="D231" s="218"/>
      <c r="E231" s="218"/>
      <c r="F231" s="218"/>
      <c r="G231" s="218"/>
      <c r="H231" s="218"/>
    </row>
    <row r="232" ht="15.75" customHeight="1">
      <c r="A232" s="217" t="s">
        <v>3770</v>
      </c>
      <c r="B232" s="218"/>
      <c r="C232" s="218"/>
      <c r="D232" s="218"/>
      <c r="E232" s="218"/>
      <c r="F232" s="218"/>
      <c r="G232" s="218"/>
      <c r="H232" s="218"/>
    </row>
    <row r="233" ht="15.75" customHeight="1">
      <c r="A233" s="217" t="s">
        <v>3771</v>
      </c>
      <c r="B233" s="218"/>
      <c r="C233" s="218"/>
      <c r="D233" s="218"/>
      <c r="E233" s="218"/>
      <c r="F233" s="218"/>
      <c r="G233" s="218"/>
      <c r="H233" s="218"/>
    </row>
    <row r="234" ht="15.75" customHeight="1">
      <c r="A234" s="218" t="s">
        <v>3772</v>
      </c>
      <c r="B234" s="218"/>
      <c r="C234" s="218"/>
      <c r="D234" s="218"/>
      <c r="E234" s="218"/>
      <c r="F234" s="218"/>
      <c r="G234" s="218"/>
      <c r="H234" s="218"/>
    </row>
    <row r="235" ht="15.75" customHeight="1">
      <c r="A235" s="227" t="s">
        <v>3773</v>
      </c>
      <c r="B235" s="218"/>
      <c r="C235" s="218"/>
      <c r="D235" s="218"/>
      <c r="E235" s="218"/>
      <c r="F235" s="218"/>
      <c r="G235" s="218"/>
      <c r="H235" s="218"/>
    </row>
    <row r="236" ht="15.75" customHeight="1">
      <c r="A236" s="218" t="s">
        <v>3774</v>
      </c>
      <c r="B236" s="218" t="s">
        <v>3775</v>
      </c>
      <c r="C236" s="218" t="s">
        <v>3699</v>
      </c>
      <c r="D236" s="218"/>
      <c r="E236" s="218"/>
      <c r="F236" s="218"/>
      <c r="G236" s="218"/>
      <c r="H236" s="218"/>
    </row>
    <row r="237" ht="15.75" customHeight="1">
      <c r="A237" s="218" t="s">
        <v>2434</v>
      </c>
      <c r="B237" s="218" t="s">
        <v>3776</v>
      </c>
      <c r="C237" s="218" t="s">
        <v>2453</v>
      </c>
      <c r="D237" s="218"/>
      <c r="E237" s="218"/>
      <c r="F237" s="218"/>
      <c r="G237" s="218"/>
      <c r="H237" s="218"/>
    </row>
    <row r="238" ht="15.75" customHeight="1">
      <c r="A238" s="218" t="s">
        <v>3777</v>
      </c>
      <c r="B238" s="218" t="s">
        <v>3778</v>
      </c>
      <c r="C238" s="218" t="s">
        <v>3779</v>
      </c>
      <c r="D238" s="218"/>
      <c r="E238" s="218"/>
      <c r="F238" s="218"/>
      <c r="G238" s="218"/>
      <c r="H238" s="218"/>
    </row>
    <row r="239" ht="15.75" customHeight="1">
      <c r="A239" s="218" t="s">
        <v>2482</v>
      </c>
      <c r="B239" s="218" t="s">
        <v>3780</v>
      </c>
      <c r="C239" s="218" t="s">
        <v>3722</v>
      </c>
      <c r="D239" s="218"/>
      <c r="E239" s="218"/>
      <c r="F239" s="218"/>
      <c r="G239" s="218"/>
      <c r="H239" s="218"/>
    </row>
    <row r="240" ht="15.75" customHeight="1">
      <c r="A240" s="218" t="s">
        <v>2387</v>
      </c>
      <c r="B240" s="218" t="s">
        <v>3781</v>
      </c>
      <c r="C240" s="218" t="s">
        <v>3722</v>
      </c>
      <c r="D240" s="218"/>
      <c r="E240" s="218"/>
      <c r="F240" s="218"/>
      <c r="G240" s="218"/>
      <c r="H240" s="218"/>
    </row>
    <row r="241" ht="15.75" customHeight="1">
      <c r="A241" s="218" t="s">
        <v>2496</v>
      </c>
      <c r="B241" s="218" t="s">
        <v>3782</v>
      </c>
      <c r="C241" s="218" t="s">
        <v>2843</v>
      </c>
      <c r="D241" s="218"/>
      <c r="E241" s="218"/>
      <c r="F241" s="218"/>
      <c r="G241" s="218"/>
      <c r="H241" s="218"/>
    </row>
    <row r="242" ht="15.75" customHeight="1"/>
  </sheetData>
  <mergeCells count="8">
    <mergeCell ref="A1:H1"/>
    <mergeCell ref="A2:H2"/>
    <mergeCell ref="A49:H49"/>
    <mergeCell ref="A51:H51"/>
    <mergeCell ref="A96:H96"/>
    <mergeCell ref="A98:H98"/>
    <mergeCell ref="A138:H138"/>
    <mergeCell ref="A140:H140"/>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0"/>
    <col customWidth="1" min="2" max="2" width="56.29"/>
    <col customWidth="1" min="3" max="3" width="45.14"/>
    <col customWidth="1" min="4" max="4" width="33.0"/>
    <col customWidth="1" min="5" max="5" width="28.43"/>
    <col customWidth="1" min="6" max="6" width="24.71"/>
    <col customWidth="1" min="7" max="8" width="15.0"/>
    <col customWidth="1" min="9" max="9" width="8.71"/>
  </cols>
  <sheetData>
    <row r="1" ht="49.5" customHeight="1">
      <c r="A1" s="215" t="s">
        <v>3783</v>
      </c>
      <c r="B1" s="183"/>
      <c r="C1" s="183"/>
      <c r="D1" s="183"/>
      <c r="E1" s="183"/>
      <c r="F1" s="183"/>
      <c r="G1" s="183"/>
      <c r="H1" s="184"/>
    </row>
    <row r="2">
      <c r="A2" s="216" t="s">
        <v>3784</v>
      </c>
    </row>
    <row r="3">
      <c r="A3" s="115" t="s">
        <v>3785</v>
      </c>
    </row>
    <row r="4">
      <c r="A4" s="115" t="s">
        <v>3786</v>
      </c>
    </row>
    <row r="5">
      <c r="A5" s="115" t="s">
        <v>3787</v>
      </c>
      <c r="B5" s="115" t="s">
        <v>3788</v>
      </c>
      <c r="C5" s="115" t="s">
        <v>3789</v>
      </c>
      <c r="D5" s="115" t="s">
        <v>3790</v>
      </c>
      <c r="E5" s="115" t="s">
        <v>3791</v>
      </c>
      <c r="F5" s="115" t="s">
        <v>3260</v>
      </c>
      <c r="G5" s="115" t="s">
        <v>1466</v>
      </c>
    </row>
    <row r="6">
      <c r="A6" s="115" t="s">
        <v>3792</v>
      </c>
      <c r="B6" s="115" t="s">
        <v>3793</v>
      </c>
      <c r="C6" s="115" t="s">
        <v>3794</v>
      </c>
      <c r="D6" s="115" t="s">
        <v>3795</v>
      </c>
      <c r="E6" s="115" t="s">
        <v>3796</v>
      </c>
      <c r="F6" s="115" t="s">
        <v>3797</v>
      </c>
      <c r="G6" s="115" t="s">
        <v>2442</v>
      </c>
    </row>
    <row r="7">
      <c r="A7" s="115" t="s">
        <v>3798</v>
      </c>
      <c r="B7" s="115" t="s">
        <v>3799</v>
      </c>
      <c r="C7" s="115" t="s">
        <v>3800</v>
      </c>
      <c r="D7" s="115" t="s">
        <v>3801</v>
      </c>
      <c r="E7" s="115" t="s">
        <v>3802</v>
      </c>
      <c r="F7" s="115" t="s">
        <v>3803</v>
      </c>
      <c r="G7" s="115" t="s">
        <v>41</v>
      </c>
    </row>
    <row r="8">
      <c r="A8" s="115" t="s">
        <v>3804</v>
      </c>
      <c r="B8" s="115" t="s">
        <v>3805</v>
      </c>
      <c r="C8" s="115" t="s">
        <v>3806</v>
      </c>
      <c r="D8" s="115" t="s">
        <v>3807</v>
      </c>
      <c r="E8" s="115" t="s">
        <v>3808</v>
      </c>
      <c r="F8" s="115" t="s">
        <v>3809</v>
      </c>
      <c r="G8" s="115" t="s">
        <v>41</v>
      </c>
    </row>
    <row r="9">
      <c r="A9" s="115" t="s">
        <v>3810</v>
      </c>
      <c r="B9" s="115" t="s">
        <v>3811</v>
      </c>
      <c r="C9" s="115" t="s">
        <v>3812</v>
      </c>
      <c r="D9" s="115" t="s">
        <v>3813</v>
      </c>
      <c r="E9" s="115" t="s">
        <v>3814</v>
      </c>
      <c r="F9" s="115" t="s">
        <v>3815</v>
      </c>
      <c r="G9" s="115" t="s">
        <v>41</v>
      </c>
    </row>
    <row r="10">
      <c r="A10" s="115" t="s">
        <v>3816</v>
      </c>
      <c r="B10" s="115" t="s">
        <v>3817</v>
      </c>
      <c r="C10" s="115" t="s">
        <v>3818</v>
      </c>
      <c r="D10" s="115" t="s">
        <v>3819</v>
      </c>
      <c r="E10" s="115" t="s">
        <v>3820</v>
      </c>
      <c r="F10" s="115" t="s">
        <v>3821</v>
      </c>
      <c r="G10" s="115" t="s">
        <v>2453</v>
      </c>
    </row>
    <row r="11">
      <c r="A11" s="115" t="s">
        <v>3822</v>
      </c>
      <c r="B11" s="115" t="s">
        <v>3823</v>
      </c>
      <c r="C11" s="115" t="s">
        <v>3824</v>
      </c>
      <c r="D11" s="115" t="s">
        <v>3825</v>
      </c>
      <c r="E11" s="115" t="s">
        <v>3826</v>
      </c>
      <c r="F11" s="115" t="s">
        <v>3827</v>
      </c>
      <c r="G11" s="115" t="s">
        <v>2453</v>
      </c>
    </row>
    <row r="12">
      <c r="A12" s="115" t="s">
        <v>3828</v>
      </c>
      <c r="B12" s="115" t="s">
        <v>3829</v>
      </c>
      <c r="C12" s="115" t="s">
        <v>3830</v>
      </c>
      <c r="D12" s="115" t="s">
        <v>3831</v>
      </c>
      <c r="E12" s="115" t="s">
        <v>3832</v>
      </c>
      <c r="F12" s="115" t="s">
        <v>3833</v>
      </c>
      <c r="G12" s="115" t="s">
        <v>2453</v>
      </c>
    </row>
    <row r="13">
      <c r="A13" s="115" t="s">
        <v>2488</v>
      </c>
      <c r="B13" s="115" t="s">
        <v>3834</v>
      </c>
      <c r="C13" s="115" t="s">
        <v>3835</v>
      </c>
      <c r="D13" s="115" t="s">
        <v>3836</v>
      </c>
      <c r="E13" s="115" t="s">
        <v>3837</v>
      </c>
      <c r="F13" s="115" t="s">
        <v>3838</v>
      </c>
      <c r="G13" s="115" t="s">
        <v>3839</v>
      </c>
    </row>
    <row r="14">
      <c r="A14" s="115" t="s">
        <v>3840</v>
      </c>
      <c r="B14" s="115" t="s">
        <v>3841</v>
      </c>
      <c r="C14" s="115" t="s">
        <v>3842</v>
      </c>
      <c r="D14" s="115" t="s">
        <v>3843</v>
      </c>
      <c r="E14" s="115" t="s">
        <v>3844</v>
      </c>
      <c r="F14" s="115" t="s">
        <v>3845</v>
      </c>
      <c r="G14" s="115" t="s">
        <v>2453</v>
      </c>
    </row>
    <row r="15">
      <c r="A15" s="222" t="s">
        <v>3846</v>
      </c>
    </row>
    <row r="16">
      <c r="A16" s="115" t="s">
        <v>3847</v>
      </c>
    </row>
    <row r="17">
      <c r="A17" s="115" t="s">
        <v>3848</v>
      </c>
    </row>
    <row r="18">
      <c r="A18" s="115" t="s">
        <v>3849</v>
      </c>
    </row>
    <row r="19">
      <c r="A19" s="115" t="s">
        <v>3850</v>
      </c>
    </row>
    <row r="20">
      <c r="A20" s="115" t="s">
        <v>3851</v>
      </c>
    </row>
    <row r="21" ht="15.75" customHeight="1">
      <c r="A21" s="115" t="s">
        <v>3852</v>
      </c>
    </row>
    <row r="22" ht="24.75" customHeight="1">
      <c r="A22" s="220" t="s">
        <v>3052</v>
      </c>
      <c r="B22" s="183"/>
      <c r="C22" s="183"/>
      <c r="D22" s="183"/>
      <c r="E22" s="183"/>
      <c r="F22" s="183"/>
      <c r="G22" s="183"/>
      <c r="H22" s="184"/>
    </row>
    <row r="23" ht="15.75" customHeight="1">
      <c r="A23" s="217" t="s">
        <v>3853</v>
      </c>
    </row>
    <row r="24" ht="24.75" customHeight="1">
      <c r="A24" s="223" t="s">
        <v>3052</v>
      </c>
      <c r="B24" s="224"/>
      <c r="C24" s="224"/>
      <c r="D24" s="224"/>
      <c r="E24" s="224"/>
      <c r="F24" s="224"/>
      <c r="G24" s="224"/>
      <c r="H24" s="225"/>
    </row>
    <row r="25" ht="24.75" customHeight="1">
      <c r="A25" s="229" t="s">
        <v>3854</v>
      </c>
      <c r="B25" s="224"/>
      <c r="C25" s="224"/>
      <c r="D25" s="224"/>
      <c r="E25" s="224"/>
      <c r="F25" s="224"/>
      <c r="G25" s="224"/>
      <c r="H25" s="225"/>
    </row>
    <row r="26" ht="15.75" customHeight="1">
      <c r="A26" s="218" t="s">
        <v>3855</v>
      </c>
      <c r="B26" s="218"/>
      <c r="C26" s="218"/>
      <c r="D26" s="218"/>
      <c r="E26" s="218"/>
      <c r="F26" s="218"/>
      <c r="G26" s="218"/>
      <c r="H26" s="218"/>
    </row>
    <row r="27" ht="15.75" customHeight="1">
      <c r="A27" s="218" t="s">
        <v>3856</v>
      </c>
      <c r="B27" s="218" t="s">
        <v>3857</v>
      </c>
      <c r="C27" s="218" t="s">
        <v>3858</v>
      </c>
      <c r="D27" s="218" t="s">
        <v>3859</v>
      </c>
      <c r="E27" s="218"/>
      <c r="F27" s="218"/>
      <c r="G27" s="218"/>
      <c r="H27" s="218"/>
    </row>
    <row r="28" ht="15.75" customHeight="1">
      <c r="A28" s="218" t="s">
        <v>3860</v>
      </c>
      <c r="B28" s="218" t="s">
        <v>3861</v>
      </c>
      <c r="C28" s="218" t="s">
        <v>3862</v>
      </c>
      <c r="D28" s="218" t="s">
        <v>3863</v>
      </c>
      <c r="E28" s="218"/>
      <c r="F28" s="218"/>
      <c r="G28" s="218"/>
      <c r="H28" s="218"/>
    </row>
    <row r="29" ht="15.75" customHeight="1">
      <c r="A29" s="218" t="s">
        <v>3864</v>
      </c>
      <c r="B29" s="218" t="s">
        <v>3865</v>
      </c>
      <c r="C29" s="218" t="s">
        <v>3866</v>
      </c>
      <c r="D29" s="218" t="s">
        <v>3867</v>
      </c>
      <c r="E29" s="218"/>
      <c r="F29" s="218"/>
      <c r="G29" s="218"/>
      <c r="H29" s="218"/>
    </row>
    <row r="30" ht="15.75" customHeight="1">
      <c r="A30" s="218" t="s">
        <v>3868</v>
      </c>
      <c r="B30" s="218" t="s">
        <v>3869</v>
      </c>
      <c r="C30" s="218" t="s">
        <v>3870</v>
      </c>
      <c r="D30" s="218" t="s">
        <v>3871</v>
      </c>
      <c r="E30" s="218"/>
      <c r="F30" s="218"/>
      <c r="G30" s="218"/>
      <c r="H30" s="218"/>
    </row>
    <row r="31" ht="15.75" customHeight="1">
      <c r="A31" s="218" t="s">
        <v>3872</v>
      </c>
      <c r="B31" s="218" t="s">
        <v>3873</v>
      </c>
      <c r="C31" s="218" t="s">
        <v>3874</v>
      </c>
      <c r="D31" s="218" t="s">
        <v>3875</v>
      </c>
      <c r="E31" s="218"/>
      <c r="F31" s="218"/>
      <c r="G31" s="218"/>
      <c r="H31" s="218"/>
    </row>
    <row r="32" ht="15.75" customHeight="1">
      <c r="A32" s="227" t="s">
        <v>3876</v>
      </c>
      <c r="B32" s="218"/>
      <c r="C32" s="218"/>
      <c r="D32" s="218"/>
      <c r="E32" s="218"/>
      <c r="F32" s="218"/>
      <c r="G32" s="218"/>
      <c r="H32" s="218"/>
    </row>
    <row r="33" ht="15.75" customHeight="1">
      <c r="A33" s="218" t="s">
        <v>3877</v>
      </c>
      <c r="B33" s="218"/>
      <c r="C33" s="218"/>
      <c r="D33" s="218"/>
      <c r="E33" s="218"/>
      <c r="F33" s="218"/>
      <c r="G33" s="218"/>
      <c r="H33" s="218"/>
    </row>
    <row r="34" ht="15.75" customHeight="1">
      <c r="A34" s="218" t="s">
        <v>3878</v>
      </c>
      <c r="B34" s="218"/>
      <c r="C34" s="218"/>
      <c r="D34" s="218"/>
      <c r="E34" s="218"/>
      <c r="F34" s="218"/>
      <c r="G34" s="218"/>
      <c r="H34" s="218"/>
    </row>
    <row r="35" ht="15.75" customHeight="1">
      <c r="A35" s="218" t="s">
        <v>3879</v>
      </c>
      <c r="B35" s="218"/>
      <c r="C35" s="218"/>
      <c r="D35" s="218"/>
      <c r="E35" s="218"/>
      <c r="F35" s="218"/>
      <c r="G35" s="218"/>
      <c r="H35" s="218"/>
    </row>
    <row r="36" ht="15.75" customHeight="1">
      <c r="A36" s="227" t="s">
        <v>3880</v>
      </c>
      <c r="B36" s="218"/>
      <c r="C36" s="218"/>
      <c r="D36" s="218"/>
      <c r="E36" s="218"/>
      <c r="F36" s="218"/>
      <c r="G36" s="218"/>
      <c r="H36" s="218"/>
    </row>
    <row r="37" ht="15.75" customHeight="1">
      <c r="A37" s="218" t="s">
        <v>1864</v>
      </c>
      <c r="B37" s="218" t="s">
        <v>3881</v>
      </c>
      <c r="C37" s="218"/>
      <c r="D37" s="218"/>
      <c r="E37" s="218"/>
      <c r="F37" s="218"/>
      <c r="G37" s="218"/>
      <c r="H37" s="218"/>
    </row>
    <row r="38" ht="15.75" customHeight="1">
      <c r="A38" s="218" t="s">
        <v>3882</v>
      </c>
      <c r="B38" s="218" t="s">
        <v>3883</v>
      </c>
      <c r="C38" s="218"/>
      <c r="D38" s="218"/>
      <c r="E38" s="218"/>
      <c r="F38" s="218"/>
      <c r="G38" s="218"/>
      <c r="H38" s="218"/>
    </row>
    <row r="39" ht="15.75" customHeight="1">
      <c r="A39" s="218" t="s">
        <v>3884</v>
      </c>
      <c r="B39" s="218" t="s">
        <v>3885</v>
      </c>
      <c r="C39" s="218"/>
      <c r="D39" s="218"/>
      <c r="E39" s="218"/>
      <c r="F39" s="218"/>
      <c r="G39" s="218"/>
      <c r="H39" s="218"/>
    </row>
    <row r="40" ht="15.75" customHeight="1">
      <c r="A40" s="218" t="s">
        <v>3886</v>
      </c>
      <c r="B40" s="218" t="s">
        <v>3887</v>
      </c>
      <c r="C40" s="218"/>
      <c r="D40" s="218"/>
      <c r="E40" s="218"/>
      <c r="F40" s="218"/>
      <c r="G40" s="218"/>
      <c r="H40" s="218"/>
    </row>
    <row r="41" ht="24.75" customHeight="1">
      <c r="A41" s="229" t="s">
        <v>3888</v>
      </c>
      <c r="B41" s="224"/>
      <c r="C41" s="224"/>
      <c r="D41" s="224"/>
      <c r="E41" s="224"/>
      <c r="F41" s="224"/>
      <c r="G41" s="224"/>
      <c r="H41" s="225"/>
    </row>
    <row r="42" ht="15.75" customHeight="1">
      <c r="A42" s="218" t="s">
        <v>3889</v>
      </c>
      <c r="B42" s="218"/>
      <c r="C42" s="218"/>
      <c r="D42" s="218"/>
      <c r="E42" s="218"/>
      <c r="F42" s="218"/>
      <c r="G42" s="218"/>
      <c r="H42" s="218"/>
    </row>
    <row r="43" ht="15.75" customHeight="1">
      <c r="A43" s="218" t="s">
        <v>3890</v>
      </c>
      <c r="B43" s="218" t="s">
        <v>3891</v>
      </c>
      <c r="C43" s="218" t="s">
        <v>2993</v>
      </c>
      <c r="D43" s="218" t="s">
        <v>3892</v>
      </c>
      <c r="E43" s="218" t="s">
        <v>3381</v>
      </c>
      <c r="F43" s="218"/>
      <c r="G43" s="218"/>
      <c r="H43" s="218"/>
    </row>
    <row r="44" ht="15.75" customHeight="1">
      <c r="A44" s="218" t="s">
        <v>2103</v>
      </c>
      <c r="B44" s="218" t="s">
        <v>3893</v>
      </c>
      <c r="C44" s="218" t="s">
        <v>3894</v>
      </c>
      <c r="D44" s="218" t="s">
        <v>3895</v>
      </c>
      <c r="E44" s="218" t="s">
        <v>3896</v>
      </c>
      <c r="F44" s="218"/>
      <c r="G44" s="218"/>
      <c r="H44" s="218"/>
    </row>
    <row r="45" ht="15.75" customHeight="1">
      <c r="A45" s="218" t="s">
        <v>2109</v>
      </c>
      <c r="B45" s="218" t="s">
        <v>3897</v>
      </c>
      <c r="C45" s="218" t="s">
        <v>3898</v>
      </c>
      <c r="D45" s="218" t="s">
        <v>3899</v>
      </c>
      <c r="E45" s="218" t="s">
        <v>3900</v>
      </c>
      <c r="F45" s="218"/>
      <c r="G45" s="218"/>
      <c r="H45" s="218"/>
    </row>
    <row r="46" ht="15.75" customHeight="1">
      <c r="A46" s="218" t="s">
        <v>2114</v>
      </c>
      <c r="B46" s="218" t="s">
        <v>3901</v>
      </c>
      <c r="C46" s="218" t="s">
        <v>3902</v>
      </c>
      <c r="D46" s="218" t="s">
        <v>3895</v>
      </c>
      <c r="E46" s="218" t="s">
        <v>3903</v>
      </c>
      <c r="F46" s="218"/>
      <c r="G46" s="218"/>
      <c r="H46" s="218"/>
    </row>
    <row r="47" ht="15.75" customHeight="1">
      <c r="A47" s="218" t="s">
        <v>2117</v>
      </c>
      <c r="B47" s="218" t="s">
        <v>3904</v>
      </c>
      <c r="C47" s="218" t="s">
        <v>3905</v>
      </c>
      <c r="D47" s="218" t="s">
        <v>3906</v>
      </c>
      <c r="E47" s="218" t="s">
        <v>3907</v>
      </c>
      <c r="F47" s="218"/>
      <c r="G47" s="218"/>
      <c r="H47" s="218"/>
    </row>
    <row r="48" ht="15.75" customHeight="1">
      <c r="A48" s="227" t="s">
        <v>3908</v>
      </c>
      <c r="B48" s="218"/>
      <c r="C48" s="218"/>
      <c r="D48" s="218"/>
      <c r="E48" s="218"/>
      <c r="F48" s="218"/>
      <c r="G48" s="218"/>
      <c r="H48" s="218"/>
    </row>
    <row r="49" ht="15.75" customHeight="1">
      <c r="A49" s="218" t="s">
        <v>3909</v>
      </c>
      <c r="B49" s="218"/>
      <c r="C49" s="218"/>
      <c r="D49" s="218"/>
      <c r="E49" s="218"/>
      <c r="F49" s="218"/>
      <c r="G49" s="218"/>
      <c r="H49" s="218"/>
    </row>
    <row r="50" ht="15.75" customHeight="1">
      <c r="A50" s="217" t="s">
        <v>3910</v>
      </c>
      <c r="B50" s="218"/>
      <c r="C50" s="218"/>
      <c r="D50" s="218"/>
      <c r="E50" s="218"/>
      <c r="F50" s="218"/>
      <c r="G50" s="218"/>
      <c r="H50" s="218"/>
    </row>
    <row r="51" ht="15.75" customHeight="1">
      <c r="A51" s="218" t="s">
        <v>3911</v>
      </c>
      <c r="B51" s="218"/>
      <c r="C51" s="218"/>
      <c r="D51" s="218"/>
      <c r="E51" s="218"/>
      <c r="F51" s="218"/>
      <c r="G51" s="218"/>
      <c r="H51" s="218"/>
    </row>
    <row r="52" ht="15.75" customHeight="1">
      <c r="A52" s="218" t="s">
        <v>3912</v>
      </c>
      <c r="B52" s="218"/>
      <c r="C52" s="218"/>
      <c r="D52" s="218"/>
      <c r="E52" s="218"/>
      <c r="F52" s="218"/>
      <c r="G52" s="218"/>
      <c r="H52" s="218"/>
    </row>
    <row r="53" ht="15.75" customHeight="1">
      <c r="A53" s="227" t="s">
        <v>3913</v>
      </c>
      <c r="B53" s="218"/>
      <c r="C53" s="218"/>
      <c r="D53" s="218"/>
      <c r="E53" s="218"/>
      <c r="F53" s="218"/>
      <c r="G53" s="218"/>
      <c r="H53" s="218"/>
    </row>
    <row r="54" ht="15.75" customHeight="1">
      <c r="A54" s="218" t="s">
        <v>3079</v>
      </c>
      <c r="B54" s="218" t="s">
        <v>3857</v>
      </c>
      <c r="C54" s="218"/>
      <c r="D54" s="218"/>
      <c r="E54" s="218"/>
      <c r="F54" s="218"/>
      <c r="G54" s="218"/>
      <c r="H54" s="218"/>
    </row>
    <row r="55" ht="15.75" customHeight="1">
      <c r="A55" s="218" t="s">
        <v>3914</v>
      </c>
      <c r="B55" s="218" t="s">
        <v>3915</v>
      </c>
      <c r="C55" s="218"/>
      <c r="D55" s="218"/>
      <c r="E55" s="218"/>
      <c r="F55" s="218"/>
      <c r="G55" s="218"/>
      <c r="H55" s="218"/>
    </row>
    <row r="56" ht="15.75" customHeight="1">
      <c r="A56" s="218" t="s">
        <v>3916</v>
      </c>
      <c r="B56" s="218" t="s">
        <v>3917</v>
      </c>
      <c r="C56" s="218"/>
      <c r="D56" s="218"/>
      <c r="E56" s="218"/>
      <c r="F56" s="218"/>
      <c r="G56" s="218"/>
      <c r="H56" s="218"/>
    </row>
    <row r="57" ht="24.75" customHeight="1">
      <c r="A57" s="223" t="s">
        <v>3052</v>
      </c>
      <c r="B57" s="224"/>
      <c r="C57" s="224"/>
      <c r="D57" s="224"/>
      <c r="E57" s="224"/>
      <c r="F57" s="224"/>
      <c r="G57" s="224"/>
      <c r="H57" s="225"/>
    </row>
    <row r="58" ht="15.75" customHeight="1">
      <c r="A58" s="217" t="s">
        <v>3918</v>
      </c>
      <c r="B58" s="218"/>
      <c r="C58" s="218"/>
      <c r="D58" s="218"/>
      <c r="E58" s="218"/>
      <c r="F58" s="218"/>
      <c r="G58" s="218"/>
      <c r="H58" s="218"/>
    </row>
    <row r="59" ht="24.75" customHeight="1">
      <c r="A59" s="223" t="s">
        <v>3052</v>
      </c>
      <c r="B59" s="224"/>
      <c r="C59" s="224"/>
      <c r="D59" s="224"/>
      <c r="E59" s="224"/>
      <c r="F59" s="224"/>
      <c r="G59" s="224"/>
      <c r="H59" s="225"/>
    </row>
    <row r="60" ht="24.75" customHeight="1">
      <c r="A60" s="229" t="s">
        <v>3919</v>
      </c>
      <c r="B60" s="224"/>
      <c r="C60" s="224"/>
      <c r="D60" s="224"/>
      <c r="E60" s="224"/>
      <c r="F60" s="224"/>
      <c r="G60" s="224"/>
      <c r="H60" s="225"/>
    </row>
    <row r="61" ht="15.75" customHeight="1">
      <c r="A61" s="218" t="s">
        <v>3920</v>
      </c>
      <c r="B61" s="218"/>
      <c r="C61" s="218"/>
      <c r="D61" s="218"/>
      <c r="E61" s="218"/>
      <c r="F61" s="218"/>
      <c r="G61" s="218"/>
      <c r="H61" s="218"/>
    </row>
    <row r="62" ht="15.75" customHeight="1">
      <c r="A62" s="217" t="s">
        <v>3365</v>
      </c>
      <c r="B62" s="217" t="s">
        <v>3921</v>
      </c>
      <c r="C62" s="217" t="s">
        <v>3922</v>
      </c>
      <c r="D62" s="217" t="s">
        <v>3923</v>
      </c>
      <c r="E62" s="217" t="s">
        <v>3924</v>
      </c>
      <c r="F62" s="218"/>
      <c r="G62" s="218"/>
      <c r="H62" s="218"/>
    </row>
    <row r="63" ht="15.75" customHeight="1">
      <c r="A63" s="218" t="s">
        <v>3925</v>
      </c>
      <c r="B63" s="218" t="s">
        <v>3926</v>
      </c>
      <c r="C63" s="218" t="s">
        <v>3927</v>
      </c>
      <c r="D63" s="218" t="s">
        <v>3928</v>
      </c>
      <c r="E63" s="218"/>
      <c r="F63" s="218"/>
      <c r="G63" s="218"/>
      <c r="H63" s="218"/>
    </row>
    <row r="64" ht="15.75" customHeight="1">
      <c r="A64" s="218" t="s">
        <v>1809</v>
      </c>
      <c r="B64" s="218" t="s">
        <v>3269</v>
      </c>
      <c r="C64" s="218" t="s">
        <v>3929</v>
      </c>
      <c r="D64" s="218" t="s">
        <v>3930</v>
      </c>
      <c r="E64" s="218"/>
      <c r="F64" s="218"/>
      <c r="G64" s="218"/>
      <c r="H64" s="218"/>
    </row>
    <row r="65" ht="15.75" customHeight="1">
      <c r="A65" s="218" t="s">
        <v>3931</v>
      </c>
      <c r="B65" s="218" t="s">
        <v>3269</v>
      </c>
      <c r="C65" s="218" t="s">
        <v>3932</v>
      </c>
      <c r="D65" s="218" t="s">
        <v>3933</v>
      </c>
      <c r="E65" s="218"/>
      <c r="F65" s="218"/>
      <c r="G65" s="218"/>
      <c r="H65" s="218"/>
    </row>
    <row r="66" ht="15.75" customHeight="1">
      <c r="A66" s="218" t="s">
        <v>3934</v>
      </c>
      <c r="B66" s="218" t="s">
        <v>3935</v>
      </c>
      <c r="C66" s="218" t="s">
        <v>3936</v>
      </c>
      <c r="D66" s="218" t="s">
        <v>3937</v>
      </c>
      <c r="E66" s="218"/>
      <c r="F66" s="218"/>
      <c r="G66" s="218"/>
      <c r="H66" s="218"/>
    </row>
    <row r="67" ht="15.75" customHeight="1">
      <c r="A67" s="218" t="s">
        <v>3546</v>
      </c>
      <c r="B67" s="218" t="s">
        <v>3938</v>
      </c>
      <c r="C67" s="218" t="s">
        <v>3939</v>
      </c>
      <c r="D67" s="218" t="s">
        <v>3940</v>
      </c>
      <c r="E67" s="218"/>
      <c r="F67" s="218"/>
      <c r="G67" s="218"/>
      <c r="H67" s="218"/>
    </row>
    <row r="68" ht="15.75" customHeight="1">
      <c r="A68" s="218" t="s">
        <v>2488</v>
      </c>
      <c r="B68" s="218" t="s">
        <v>3941</v>
      </c>
      <c r="C68" s="218" t="s">
        <v>3942</v>
      </c>
      <c r="D68" s="218" t="s">
        <v>2597</v>
      </c>
      <c r="E68" s="218"/>
      <c r="F68" s="218"/>
      <c r="G68" s="218"/>
      <c r="H68" s="218"/>
    </row>
    <row r="69" ht="15.75" customHeight="1">
      <c r="A69" s="218" t="s">
        <v>3943</v>
      </c>
      <c r="B69" s="218" t="s">
        <v>3944</v>
      </c>
      <c r="C69" s="218" t="s">
        <v>3945</v>
      </c>
      <c r="D69" s="218" t="s">
        <v>3946</v>
      </c>
      <c r="E69" s="218"/>
      <c r="F69" s="218"/>
      <c r="G69" s="218"/>
      <c r="H69" s="218"/>
    </row>
    <row r="70" ht="15.75" customHeight="1">
      <c r="A70" s="218" t="s">
        <v>3947</v>
      </c>
      <c r="B70" s="218" t="s">
        <v>3948</v>
      </c>
      <c r="C70" s="218" t="s">
        <v>3949</v>
      </c>
      <c r="D70" s="218" t="s">
        <v>3950</v>
      </c>
      <c r="E70" s="218"/>
      <c r="F70" s="218"/>
      <c r="G70" s="218"/>
      <c r="H70" s="218"/>
    </row>
    <row r="71" ht="15.75" customHeight="1">
      <c r="A71" s="218" t="s">
        <v>3951</v>
      </c>
      <c r="B71" s="218" t="s">
        <v>3952</v>
      </c>
      <c r="C71" s="218" t="s">
        <v>3953</v>
      </c>
      <c r="D71" s="218" t="s">
        <v>3954</v>
      </c>
      <c r="E71" s="218"/>
      <c r="F71" s="218"/>
      <c r="G71" s="218"/>
      <c r="H71" s="218"/>
    </row>
    <row r="72" ht="15.75" customHeight="1">
      <c r="A72" s="227" t="s">
        <v>3955</v>
      </c>
      <c r="B72" s="218"/>
      <c r="C72" s="218"/>
      <c r="D72" s="218"/>
      <c r="E72" s="218"/>
      <c r="F72" s="218"/>
      <c r="G72" s="218"/>
      <c r="H72" s="218"/>
    </row>
    <row r="73" ht="15.75" customHeight="1">
      <c r="A73" s="218" t="s">
        <v>3956</v>
      </c>
      <c r="B73" s="218" t="s">
        <v>3857</v>
      </c>
      <c r="C73" s="218" t="s">
        <v>3957</v>
      </c>
      <c r="D73" s="218"/>
      <c r="E73" s="218"/>
      <c r="F73" s="218"/>
      <c r="G73" s="218"/>
      <c r="H73" s="218"/>
    </row>
    <row r="74" ht="15.75" customHeight="1">
      <c r="A74" s="218" t="s">
        <v>3958</v>
      </c>
      <c r="B74" s="218" t="s">
        <v>3959</v>
      </c>
      <c r="C74" s="218" t="s">
        <v>3960</v>
      </c>
      <c r="D74" s="218"/>
      <c r="E74" s="218"/>
      <c r="F74" s="218"/>
      <c r="G74" s="218"/>
      <c r="H74" s="218"/>
    </row>
    <row r="75" ht="15.75" customHeight="1">
      <c r="A75" s="218" t="s">
        <v>3961</v>
      </c>
      <c r="B75" s="218" t="s">
        <v>3962</v>
      </c>
      <c r="C75" s="218" t="s">
        <v>3963</v>
      </c>
      <c r="D75" s="218"/>
      <c r="E75" s="218"/>
      <c r="F75" s="218"/>
      <c r="G75" s="218"/>
      <c r="H75" s="218"/>
    </row>
    <row r="76" ht="15.75" customHeight="1">
      <c r="A76" s="218" t="s">
        <v>3964</v>
      </c>
      <c r="B76" s="218" t="s">
        <v>3965</v>
      </c>
      <c r="C76" s="218" t="s">
        <v>3966</v>
      </c>
      <c r="D76" s="218"/>
      <c r="E76" s="218"/>
      <c r="F76" s="218"/>
      <c r="G76" s="218"/>
      <c r="H76" s="218"/>
    </row>
    <row r="77" ht="15.75" customHeight="1">
      <c r="A77" s="218" t="s">
        <v>3967</v>
      </c>
      <c r="B77" s="218" t="s">
        <v>3968</v>
      </c>
      <c r="C77" s="218" t="s">
        <v>3969</v>
      </c>
      <c r="D77" s="218"/>
      <c r="E77" s="218"/>
      <c r="F77" s="218"/>
      <c r="G77" s="218"/>
      <c r="H77" s="218"/>
    </row>
    <row r="78" ht="24.75" customHeight="1">
      <c r="A78" s="223" t="s">
        <v>3052</v>
      </c>
      <c r="B78" s="224"/>
      <c r="C78" s="224"/>
      <c r="D78" s="224"/>
      <c r="E78" s="224"/>
      <c r="F78" s="224"/>
      <c r="G78" s="224"/>
      <c r="H78" s="225"/>
    </row>
    <row r="79" ht="15.75" customHeight="1">
      <c r="A79" s="217" t="s">
        <v>3970</v>
      </c>
      <c r="B79" s="218"/>
      <c r="C79" s="218"/>
      <c r="D79" s="218"/>
      <c r="E79" s="218"/>
      <c r="F79" s="218"/>
      <c r="G79" s="218"/>
      <c r="H79" s="218"/>
    </row>
    <row r="80" ht="24.75" customHeight="1">
      <c r="A80" s="223" t="s">
        <v>3052</v>
      </c>
      <c r="B80" s="224"/>
      <c r="C80" s="224"/>
      <c r="D80" s="224"/>
      <c r="E80" s="224"/>
      <c r="F80" s="224"/>
      <c r="G80" s="224"/>
      <c r="H80" s="225"/>
    </row>
    <row r="81" ht="24.75" customHeight="1">
      <c r="A81" s="229" t="s">
        <v>3971</v>
      </c>
      <c r="B81" s="224"/>
      <c r="C81" s="224"/>
      <c r="D81" s="224"/>
      <c r="E81" s="224"/>
      <c r="F81" s="224"/>
      <c r="G81" s="224"/>
      <c r="H81" s="225"/>
    </row>
    <row r="82" ht="15.75" customHeight="1">
      <c r="A82" s="218" t="s">
        <v>3972</v>
      </c>
      <c r="B82" s="218"/>
      <c r="C82" s="218"/>
      <c r="D82" s="218"/>
      <c r="E82" s="218"/>
      <c r="F82" s="218"/>
      <c r="G82" s="218"/>
      <c r="H82" s="218"/>
    </row>
    <row r="83" ht="15.75" customHeight="1">
      <c r="A83" s="218" t="s">
        <v>3973</v>
      </c>
      <c r="B83" s="218" t="s">
        <v>3857</v>
      </c>
      <c r="C83" s="218" t="s">
        <v>3974</v>
      </c>
      <c r="D83" s="218" t="s">
        <v>3975</v>
      </c>
      <c r="E83" s="218"/>
      <c r="F83" s="218"/>
      <c r="G83" s="218"/>
      <c r="H83" s="218"/>
    </row>
    <row r="84" ht="15.75" customHeight="1">
      <c r="A84" s="218" t="s">
        <v>3976</v>
      </c>
      <c r="B84" s="218" t="s">
        <v>3977</v>
      </c>
      <c r="C84" s="218" t="s">
        <v>3978</v>
      </c>
      <c r="D84" s="218" t="s">
        <v>3963</v>
      </c>
      <c r="E84" s="218"/>
      <c r="F84" s="218"/>
      <c r="G84" s="218"/>
      <c r="H84" s="218"/>
    </row>
    <row r="85" ht="15.75" customHeight="1">
      <c r="A85" s="218" t="s">
        <v>3979</v>
      </c>
      <c r="B85" s="218" t="s">
        <v>3980</v>
      </c>
      <c r="C85" s="218" t="s">
        <v>3981</v>
      </c>
      <c r="D85" s="218" t="s">
        <v>3982</v>
      </c>
      <c r="E85" s="218"/>
      <c r="F85" s="218"/>
      <c r="G85" s="218"/>
      <c r="H85" s="218"/>
    </row>
    <row r="86" ht="15.75" customHeight="1">
      <c r="A86" s="227" t="s">
        <v>3983</v>
      </c>
      <c r="B86" s="218"/>
      <c r="C86" s="218"/>
      <c r="D86" s="218"/>
      <c r="E86" s="218"/>
      <c r="F86" s="218"/>
      <c r="G86" s="218"/>
      <c r="H86" s="218"/>
    </row>
    <row r="87" ht="15.75" customHeight="1">
      <c r="A87" s="217" t="s">
        <v>3365</v>
      </c>
      <c r="B87" s="217" t="s">
        <v>3984</v>
      </c>
      <c r="C87" s="217" t="s">
        <v>3985</v>
      </c>
      <c r="D87" s="217" t="s">
        <v>3986</v>
      </c>
      <c r="E87" s="218"/>
      <c r="F87" s="218"/>
      <c r="G87" s="218"/>
      <c r="H87" s="218"/>
    </row>
    <row r="88" ht="15.75" customHeight="1">
      <c r="A88" s="218" t="s">
        <v>3987</v>
      </c>
      <c r="B88" s="218" t="s">
        <v>3988</v>
      </c>
      <c r="C88" s="218" t="s">
        <v>3989</v>
      </c>
      <c r="D88" s="218" t="s">
        <v>3990</v>
      </c>
      <c r="E88" s="218"/>
      <c r="F88" s="218"/>
      <c r="G88" s="218"/>
      <c r="H88" s="218"/>
    </row>
    <row r="89" ht="15.75" customHeight="1">
      <c r="A89" s="218" t="s">
        <v>3991</v>
      </c>
      <c r="B89" s="218" t="s">
        <v>3992</v>
      </c>
      <c r="C89" s="218" t="s">
        <v>3993</v>
      </c>
      <c r="D89" s="218" t="s">
        <v>3994</v>
      </c>
      <c r="E89" s="218"/>
      <c r="F89" s="218"/>
      <c r="G89" s="218"/>
      <c r="H89" s="218"/>
    </row>
    <row r="90" ht="15.75" customHeight="1">
      <c r="A90" s="218" t="s">
        <v>3995</v>
      </c>
      <c r="B90" s="218" t="s">
        <v>3996</v>
      </c>
      <c r="C90" s="218" t="s">
        <v>3997</v>
      </c>
      <c r="D90" s="218" t="s">
        <v>3998</v>
      </c>
      <c r="E90" s="218"/>
      <c r="F90" s="218"/>
      <c r="G90" s="218"/>
      <c r="H90" s="218"/>
    </row>
    <row r="91" ht="15.75" customHeight="1">
      <c r="A91" s="218" t="s">
        <v>3999</v>
      </c>
      <c r="B91" s="218" t="s">
        <v>4000</v>
      </c>
      <c r="C91" s="218" t="s">
        <v>4001</v>
      </c>
      <c r="D91" s="218" t="s">
        <v>4002</v>
      </c>
      <c r="E91" s="218"/>
      <c r="F91" s="218"/>
      <c r="G91" s="218"/>
      <c r="H91" s="218"/>
    </row>
    <row r="92" ht="24.75" customHeight="1">
      <c r="A92" s="223" t="s">
        <v>3052</v>
      </c>
      <c r="B92" s="224"/>
      <c r="C92" s="224"/>
      <c r="D92" s="224"/>
      <c r="E92" s="224"/>
      <c r="F92" s="224"/>
      <c r="G92" s="224"/>
      <c r="H92" s="225"/>
    </row>
    <row r="93" ht="15.75" customHeight="1">
      <c r="A93" s="217" t="s">
        <v>4003</v>
      </c>
      <c r="B93" s="218"/>
      <c r="C93" s="218"/>
      <c r="D93" s="218"/>
      <c r="E93" s="218"/>
      <c r="F93" s="218"/>
      <c r="G93" s="218"/>
      <c r="H93" s="218"/>
    </row>
    <row r="94" ht="24.75" customHeight="1">
      <c r="A94" s="223" t="s">
        <v>3052</v>
      </c>
      <c r="B94" s="224"/>
      <c r="C94" s="224"/>
      <c r="D94" s="224"/>
      <c r="E94" s="224"/>
      <c r="F94" s="224"/>
      <c r="G94" s="224"/>
      <c r="H94" s="225"/>
    </row>
    <row r="95" ht="24.75" customHeight="1">
      <c r="A95" s="229" t="s">
        <v>4004</v>
      </c>
      <c r="B95" s="224"/>
      <c r="C95" s="224"/>
      <c r="D95" s="224"/>
      <c r="E95" s="224"/>
      <c r="F95" s="224"/>
      <c r="G95" s="224"/>
      <c r="H95" s="225"/>
    </row>
    <row r="96" ht="15.75" customHeight="1">
      <c r="A96" s="228" t="s">
        <v>4005</v>
      </c>
      <c r="B96" s="218"/>
      <c r="C96" s="218"/>
      <c r="D96" s="218"/>
      <c r="E96" s="218"/>
      <c r="F96" s="218"/>
      <c r="G96" s="218"/>
      <c r="H96" s="218"/>
    </row>
    <row r="97" ht="15.75" customHeight="1">
      <c r="A97" s="218" t="s">
        <v>0</v>
      </c>
      <c r="B97" s="218" t="s">
        <v>4006</v>
      </c>
      <c r="C97" s="218" t="s">
        <v>4007</v>
      </c>
      <c r="D97" s="218" t="s">
        <v>4008</v>
      </c>
      <c r="E97" s="218" t="s">
        <v>4009</v>
      </c>
      <c r="F97" s="218" t="s">
        <v>2364</v>
      </c>
      <c r="G97" s="218" t="s">
        <v>4010</v>
      </c>
      <c r="H97" s="218" t="s">
        <v>13</v>
      </c>
    </row>
    <row r="98" ht="15.75" customHeight="1">
      <c r="A98" s="218" t="s">
        <v>2103</v>
      </c>
      <c r="B98" s="218" t="s">
        <v>4011</v>
      </c>
      <c r="C98" s="218" t="s">
        <v>4012</v>
      </c>
      <c r="D98" s="218" t="s">
        <v>1897</v>
      </c>
      <c r="E98" s="218" t="s">
        <v>3665</v>
      </c>
      <c r="F98" s="218" t="s">
        <v>4013</v>
      </c>
      <c r="G98" s="218" t="s">
        <v>3087</v>
      </c>
      <c r="H98" s="218" t="s">
        <v>4014</v>
      </c>
    </row>
    <row r="99" ht="15.75" customHeight="1">
      <c r="A99" s="218" t="s">
        <v>2109</v>
      </c>
      <c r="B99" s="218" t="s">
        <v>2115</v>
      </c>
      <c r="C99" s="218" t="s">
        <v>4012</v>
      </c>
      <c r="D99" s="218" t="s">
        <v>3287</v>
      </c>
      <c r="E99" s="218" t="s">
        <v>3665</v>
      </c>
      <c r="F99" s="218" t="s">
        <v>4013</v>
      </c>
      <c r="G99" s="218" t="s">
        <v>3087</v>
      </c>
      <c r="H99" s="218" t="s">
        <v>4015</v>
      </c>
    </row>
    <row r="100" ht="15.75" customHeight="1">
      <c r="A100" s="218" t="s">
        <v>2114</v>
      </c>
      <c r="B100" s="218" t="s">
        <v>4016</v>
      </c>
      <c r="C100" s="218" t="s">
        <v>4012</v>
      </c>
      <c r="D100" s="218" t="s">
        <v>1897</v>
      </c>
      <c r="E100" s="218" t="s">
        <v>4017</v>
      </c>
      <c r="F100" s="218" t="s">
        <v>4018</v>
      </c>
      <c r="G100" s="218" t="s">
        <v>3087</v>
      </c>
      <c r="H100" s="218" t="s">
        <v>4019</v>
      </c>
    </row>
    <row r="101" ht="15.75" customHeight="1">
      <c r="A101" s="218" t="s">
        <v>2117</v>
      </c>
      <c r="B101" s="218" t="s">
        <v>4020</v>
      </c>
      <c r="C101" s="218" t="s">
        <v>4021</v>
      </c>
      <c r="D101" s="218" t="s">
        <v>1897</v>
      </c>
      <c r="E101" s="218" t="s">
        <v>4022</v>
      </c>
      <c r="F101" s="218" t="s">
        <v>4013</v>
      </c>
      <c r="G101" s="218" t="s">
        <v>3092</v>
      </c>
      <c r="H101" s="218" t="s">
        <v>4023</v>
      </c>
    </row>
    <row r="102" ht="15.75" customHeight="1">
      <c r="A102" s="218" t="s">
        <v>2121</v>
      </c>
      <c r="B102" s="218" t="s">
        <v>4024</v>
      </c>
      <c r="C102" s="218" t="s">
        <v>4021</v>
      </c>
      <c r="D102" s="218" t="s">
        <v>1897</v>
      </c>
      <c r="E102" s="218" t="s">
        <v>4025</v>
      </c>
      <c r="F102" s="218" t="s">
        <v>4013</v>
      </c>
      <c r="G102" s="218" t="s">
        <v>3092</v>
      </c>
      <c r="H102" s="218" t="s">
        <v>4023</v>
      </c>
    </row>
    <row r="103" ht="15.75" customHeight="1">
      <c r="A103" s="218" t="s">
        <v>2124</v>
      </c>
      <c r="B103" s="218" t="s">
        <v>4026</v>
      </c>
      <c r="C103" s="218" t="s">
        <v>4027</v>
      </c>
      <c r="D103" s="218" t="s">
        <v>1897</v>
      </c>
      <c r="E103" s="218" t="s">
        <v>4028</v>
      </c>
      <c r="F103" s="218" t="s">
        <v>4013</v>
      </c>
      <c r="G103" s="218" t="s">
        <v>3092</v>
      </c>
      <c r="H103" s="218" t="s">
        <v>4029</v>
      </c>
    </row>
    <row r="104" ht="15.75" customHeight="1">
      <c r="A104" s="218" t="s">
        <v>2127</v>
      </c>
      <c r="B104" s="218" t="s">
        <v>4030</v>
      </c>
      <c r="C104" s="218" t="s">
        <v>4027</v>
      </c>
      <c r="D104" s="218" t="s">
        <v>1897</v>
      </c>
      <c r="E104" s="218" t="s">
        <v>4028</v>
      </c>
      <c r="F104" s="218" t="s">
        <v>4013</v>
      </c>
      <c r="G104" s="218" t="s">
        <v>3092</v>
      </c>
      <c r="H104" s="218" t="s">
        <v>4029</v>
      </c>
    </row>
    <row r="105" ht="15.75" customHeight="1">
      <c r="A105" s="218" t="s">
        <v>2131</v>
      </c>
      <c r="B105" s="218" t="s">
        <v>4031</v>
      </c>
      <c r="C105" s="218" t="s">
        <v>4027</v>
      </c>
      <c r="D105" s="218" t="s">
        <v>1897</v>
      </c>
      <c r="E105" s="218" t="s">
        <v>4028</v>
      </c>
      <c r="F105" s="218" t="s">
        <v>4013</v>
      </c>
      <c r="G105" s="218" t="s">
        <v>3087</v>
      </c>
      <c r="H105" s="218" t="s">
        <v>4029</v>
      </c>
    </row>
    <row r="106" ht="15.75" customHeight="1">
      <c r="A106" s="218" t="s">
        <v>2136</v>
      </c>
      <c r="B106" s="218" t="s">
        <v>4032</v>
      </c>
      <c r="C106" s="218" t="s">
        <v>4027</v>
      </c>
      <c r="D106" s="218" t="s">
        <v>1897</v>
      </c>
      <c r="E106" s="218" t="s">
        <v>4028</v>
      </c>
      <c r="F106" s="218" t="s">
        <v>4013</v>
      </c>
      <c r="G106" s="218" t="s">
        <v>3087</v>
      </c>
      <c r="H106" s="218" t="s">
        <v>4029</v>
      </c>
    </row>
    <row r="107" ht="15.75" customHeight="1">
      <c r="A107" s="218" t="s">
        <v>2140</v>
      </c>
      <c r="B107" s="218" t="s">
        <v>4033</v>
      </c>
      <c r="C107" s="218" t="s">
        <v>4034</v>
      </c>
      <c r="D107" s="218" t="s">
        <v>3665</v>
      </c>
      <c r="E107" s="218" t="s">
        <v>4035</v>
      </c>
      <c r="F107" s="218" t="s">
        <v>4013</v>
      </c>
      <c r="G107" s="218" t="s">
        <v>3287</v>
      </c>
      <c r="H107" s="218" t="s">
        <v>4036</v>
      </c>
    </row>
    <row r="108" ht="15.75" customHeight="1">
      <c r="A108" s="218" t="s">
        <v>2144</v>
      </c>
      <c r="B108" s="218" t="s">
        <v>4037</v>
      </c>
      <c r="C108" s="218" t="s">
        <v>4034</v>
      </c>
      <c r="D108" s="218" t="s">
        <v>3665</v>
      </c>
      <c r="E108" s="218" t="s">
        <v>4035</v>
      </c>
      <c r="F108" s="218" t="s">
        <v>4013</v>
      </c>
      <c r="G108" s="218" t="s">
        <v>3287</v>
      </c>
      <c r="H108" s="218" t="s">
        <v>4038</v>
      </c>
    </row>
    <row r="109" ht="15.75" customHeight="1">
      <c r="A109" s="218" t="s">
        <v>2146</v>
      </c>
      <c r="B109" s="218" t="s">
        <v>4039</v>
      </c>
      <c r="C109" s="218" t="s">
        <v>4034</v>
      </c>
      <c r="D109" s="218" t="s">
        <v>1897</v>
      </c>
      <c r="E109" s="218" t="s">
        <v>4040</v>
      </c>
      <c r="F109" s="218" t="s">
        <v>4013</v>
      </c>
      <c r="G109" s="218" t="s">
        <v>3087</v>
      </c>
      <c r="H109" s="218" t="s">
        <v>4038</v>
      </c>
    </row>
    <row r="110" ht="15.75" customHeight="1">
      <c r="A110" s="218" t="s">
        <v>2150</v>
      </c>
      <c r="B110" s="218" t="s">
        <v>2128</v>
      </c>
      <c r="C110" s="218" t="s">
        <v>4034</v>
      </c>
      <c r="D110" s="218" t="s">
        <v>1897</v>
      </c>
      <c r="E110" s="218" t="s">
        <v>4041</v>
      </c>
      <c r="F110" s="218" t="s">
        <v>4018</v>
      </c>
      <c r="G110" s="218" t="s">
        <v>3087</v>
      </c>
      <c r="H110" s="218" t="s">
        <v>4042</v>
      </c>
    </row>
    <row r="111" ht="15.75" customHeight="1">
      <c r="A111" s="218" t="s">
        <v>2153</v>
      </c>
      <c r="B111" s="218" t="s">
        <v>4043</v>
      </c>
      <c r="C111" s="218" t="s">
        <v>4044</v>
      </c>
      <c r="D111" s="218" t="s">
        <v>3665</v>
      </c>
      <c r="E111" s="218" t="s">
        <v>4035</v>
      </c>
      <c r="F111" s="218" t="s">
        <v>4013</v>
      </c>
      <c r="G111" s="218" t="s">
        <v>3287</v>
      </c>
      <c r="H111" s="218"/>
    </row>
    <row r="112" ht="15.75" customHeight="1">
      <c r="A112" s="218" t="s">
        <v>2160</v>
      </c>
      <c r="B112" s="218" t="s">
        <v>2165</v>
      </c>
      <c r="C112" s="218" t="s">
        <v>4044</v>
      </c>
      <c r="D112" s="218" t="s">
        <v>3665</v>
      </c>
      <c r="E112" s="218" t="s">
        <v>4035</v>
      </c>
      <c r="F112" s="218" t="s">
        <v>4013</v>
      </c>
      <c r="G112" s="218" t="s">
        <v>3287</v>
      </c>
      <c r="H112" s="218"/>
    </row>
    <row r="113" ht="15.75" customHeight="1">
      <c r="A113" s="218" t="s">
        <v>2164</v>
      </c>
      <c r="B113" s="218" t="s">
        <v>4045</v>
      </c>
      <c r="C113" s="218" t="s">
        <v>4044</v>
      </c>
      <c r="D113" s="218" t="s">
        <v>1897</v>
      </c>
      <c r="E113" s="218" t="s">
        <v>4046</v>
      </c>
      <c r="F113" s="218" t="s">
        <v>4013</v>
      </c>
      <c r="G113" s="218" t="s">
        <v>3287</v>
      </c>
      <c r="H113" s="218" t="s">
        <v>4047</v>
      </c>
    </row>
    <row r="114" ht="15.75" customHeight="1">
      <c r="A114" s="218" t="s">
        <v>2166</v>
      </c>
      <c r="B114" s="218" t="s">
        <v>4048</v>
      </c>
      <c r="C114" s="218" t="s">
        <v>4044</v>
      </c>
      <c r="D114" s="218" t="s">
        <v>3665</v>
      </c>
      <c r="E114" s="218" t="s">
        <v>4035</v>
      </c>
      <c r="F114" s="218" t="s">
        <v>4013</v>
      </c>
      <c r="G114" s="218" t="s">
        <v>3287</v>
      </c>
      <c r="H114" s="218"/>
    </row>
    <row r="115" ht="15.75" customHeight="1">
      <c r="A115" s="218" t="s">
        <v>2169</v>
      </c>
      <c r="B115" s="218" t="s">
        <v>4049</v>
      </c>
      <c r="C115" s="218" t="s">
        <v>4044</v>
      </c>
      <c r="D115" s="218" t="s">
        <v>3665</v>
      </c>
      <c r="E115" s="218" t="s">
        <v>4035</v>
      </c>
      <c r="F115" s="218" t="s">
        <v>4013</v>
      </c>
      <c r="G115" s="218" t="s">
        <v>3287</v>
      </c>
      <c r="H115" s="218"/>
    </row>
    <row r="116" ht="15.75" customHeight="1">
      <c r="A116" s="218" t="s">
        <v>2172</v>
      </c>
      <c r="B116" s="218" t="s">
        <v>4050</v>
      </c>
      <c r="C116" s="218" t="s">
        <v>4051</v>
      </c>
      <c r="D116" s="218" t="s">
        <v>3287</v>
      </c>
      <c r="E116" s="218" t="s">
        <v>4052</v>
      </c>
      <c r="F116" s="218" t="s">
        <v>4053</v>
      </c>
      <c r="G116" s="218" t="s">
        <v>3287</v>
      </c>
      <c r="H116" s="218" t="s">
        <v>4054</v>
      </c>
    </row>
    <row r="117" ht="15.75" customHeight="1">
      <c r="A117" s="218" t="s">
        <v>2174</v>
      </c>
      <c r="B117" s="218" t="s">
        <v>4055</v>
      </c>
      <c r="C117" s="218" t="s">
        <v>4051</v>
      </c>
      <c r="D117" s="218" t="s">
        <v>3287</v>
      </c>
      <c r="E117" s="218" t="s">
        <v>4056</v>
      </c>
      <c r="F117" s="218" t="s">
        <v>4053</v>
      </c>
      <c r="G117" s="218" t="s">
        <v>3287</v>
      </c>
      <c r="H117" s="218" t="s">
        <v>4057</v>
      </c>
    </row>
    <row r="118" ht="15.75" customHeight="1">
      <c r="A118" s="218" t="s">
        <v>2178</v>
      </c>
      <c r="B118" s="218" t="s">
        <v>4058</v>
      </c>
      <c r="C118" s="218" t="s">
        <v>4051</v>
      </c>
      <c r="D118" s="218" t="s">
        <v>3665</v>
      </c>
      <c r="E118" s="218" t="s">
        <v>4059</v>
      </c>
      <c r="F118" s="218" t="s">
        <v>4013</v>
      </c>
      <c r="G118" s="218" t="s">
        <v>3287</v>
      </c>
      <c r="H118" s="218"/>
    </row>
    <row r="119" ht="15.75" customHeight="1">
      <c r="A119" s="218" t="s">
        <v>2182</v>
      </c>
      <c r="B119" s="218" t="s">
        <v>4060</v>
      </c>
      <c r="C119" s="218" t="s">
        <v>4051</v>
      </c>
      <c r="D119" s="218" t="s">
        <v>3665</v>
      </c>
      <c r="E119" s="218" t="s">
        <v>4059</v>
      </c>
      <c r="F119" s="218" t="s">
        <v>4013</v>
      </c>
      <c r="G119" s="218" t="s">
        <v>3287</v>
      </c>
      <c r="H119" s="218"/>
    </row>
    <row r="120" ht="15.75" customHeight="1">
      <c r="A120" s="218" t="s">
        <v>2186</v>
      </c>
      <c r="B120" s="218" t="s">
        <v>4061</v>
      </c>
      <c r="C120" s="218" t="s">
        <v>4062</v>
      </c>
      <c r="D120" s="218" t="s">
        <v>1897</v>
      </c>
      <c r="E120" s="218" t="s">
        <v>3665</v>
      </c>
      <c r="F120" s="218" t="s">
        <v>4063</v>
      </c>
      <c r="G120" s="218" t="s">
        <v>3087</v>
      </c>
      <c r="H120" s="218" t="s">
        <v>4064</v>
      </c>
    </row>
    <row r="121" ht="24.75" customHeight="1">
      <c r="A121" s="223" t="s">
        <v>3052</v>
      </c>
      <c r="B121" s="224"/>
      <c r="C121" s="224"/>
      <c r="D121" s="224"/>
      <c r="E121" s="224"/>
      <c r="F121" s="224"/>
      <c r="G121" s="224"/>
      <c r="H121" s="225"/>
    </row>
    <row r="122" ht="15.75" customHeight="1">
      <c r="A122" s="217" t="s">
        <v>4065</v>
      </c>
      <c r="B122" s="218"/>
      <c r="C122" s="218"/>
      <c r="D122" s="218"/>
      <c r="E122" s="218"/>
      <c r="F122" s="218"/>
      <c r="G122" s="218"/>
      <c r="H122" s="218"/>
    </row>
    <row r="123" ht="24.75" customHeight="1">
      <c r="A123" s="223" t="s">
        <v>3052</v>
      </c>
      <c r="B123" s="224"/>
      <c r="C123" s="224"/>
      <c r="D123" s="224"/>
      <c r="E123" s="224"/>
      <c r="F123" s="224"/>
      <c r="G123" s="224"/>
      <c r="H123" s="225"/>
    </row>
    <row r="124" ht="24.75" customHeight="1">
      <c r="A124" s="229" t="s">
        <v>4066</v>
      </c>
      <c r="B124" s="224"/>
      <c r="C124" s="224"/>
      <c r="D124" s="224"/>
      <c r="E124" s="224"/>
      <c r="F124" s="224"/>
      <c r="G124" s="224"/>
      <c r="H124" s="225"/>
    </row>
    <row r="125" ht="15.75" customHeight="1">
      <c r="A125" s="218" t="s">
        <v>4067</v>
      </c>
      <c r="B125" s="218"/>
      <c r="C125" s="218"/>
      <c r="D125" s="218"/>
      <c r="E125" s="218"/>
      <c r="F125" s="218"/>
      <c r="G125" s="218"/>
      <c r="H125" s="218"/>
    </row>
    <row r="126" ht="15.75" customHeight="1">
      <c r="A126" s="217" t="s">
        <v>3629</v>
      </c>
      <c r="B126" s="217" t="s">
        <v>4068</v>
      </c>
      <c r="C126" s="217" t="s">
        <v>2100</v>
      </c>
      <c r="D126" s="217" t="s">
        <v>3698</v>
      </c>
      <c r="E126" s="218"/>
      <c r="F126" s="218"/>
      <c r="G126" s="218"/>
      <c r="H126" s="218"/>
    </row>
    <row r="127" ht="15.75" customHeight="1">
      <c r="A127" s="217" t="s">
        <v>4012</v>
      </c>
      <c r="B127" s="217" t="s">
        <v>4069</v>
      </c>
      <c r="C127" s="217" t="s">
        <v>3109</v>
      </c>
      <c r="D127" s="217" t="s">
        <v>4070</v>
      </c>
      <c r="E127" s="218"/>
      <c r="F127" s="218"/>
      <c r="G127" s="218"/>
      <c r="H127" s="218"/>
    </row>
    <row r="128" ht="15.75" customHeight="1">
      <c r="A128" s="217" t="s">
        <v>4012</v>
      </c>
      <c r="B128" s="217" t="s">
        <v>4071</v>
      </c>
      <c r="C128" s="217" t="s">
        <v>3109</v>
      </c>
      <c r="D128" s="217" t="s">
        <v>4072</v>
      </c>
      <c r="E128" s="218"/>
      <c r="F128" s="218"/>
      <c r="G128" s="218"/>
      <c r="H128" s="218"/>
    </row>
    <row r="129" ht="15.75" customHeight="1">
      <c r="A129" s="217" t="s">
        <v>4021</v>
      </c>
      <c r="B129" s="217" t="s">
        <v>4073</v>
      </c>
      <c r="C129" s="217" t="s">
        <v>3092</v>
      </c>
      <c r="D129" s="217" t="s">
        <v>4074</v>
      </c>
      <c r="E129" s="218"/>
      <c r="F129" s="218"/>
      <c r="G129" s="218"/>
      <c r="H129" s="218"/>
    </row>
    <row r="130" ht="15.75" customHeight="1">
      <c r="A130" s="217" t="s">
        <v>4021</v>
      </c>
      <c r="B130" s="217" t="s">
        <v>4075</v>
      </c>
      <c r="C130" s="217" t="s">
        <v>3092</v>
      </c>
      <c r="D130" s="217" t="s">
        <v>4076</v>
      </c>
      <c r="E130" s="218"/>
      <c r="F130" s="218"/>
      <c r="G130" s="218"/>
      <c r="H130" s="218"/>
    </row>
    <row r="131" ht="15.75" customHeight="1">
      <c r="A131" s="217" t="s">
        <v>4027</v>
      </c>
      <c r="B131" s="217" t="s">
        <v>4077</v>
      </c>
      <c r="C131" s="217" t="s">
        <v>3109</v>
      </c>
      <c r="D131" s="217" t="s">
        <v>4078</v>
      </c>
      <c r="E131" s="218"/>
      <c r="F131" s="218"/>
      <c r="G131" s="218"/>
      <c r="H131" s="218"/>
    </row>
    <row r="132" ht="15.75" customHeight="1">
      <c r="A132" s="217" t="s">
        <v>4027</v>
      </c>
      <c r="B132" s="217" t="s">
        <v>4079</v>
      </c>
      <c r="C132" s="217" t="s">
        <v>3109</v>
      </c>
      <c r="D132" s="217" t="s">
        <v>4080</v>
      </c>
      <c r="E132" s="218"/>
      <c r="F132" s="218"/>
      <c r="G132" s="218"/>
      <c r="H132" s="218"/>
    </row>
    <row r="133" ht="15.75" customHeight="1">
      <c r="A133" s="217" t="s">
        <v>4034</v>
      </c>
      <c r="B133" s="217" t="s">
        <v>4081</v>
      </c>
      <c r="C133" s="217" t="s">
        <v>3720</v>
      </c>
      <c r="D133" s="217" t="s">
        <v>4082</v>
      </c>
      <c r="E133" s="218"/>
      <c r="F133" s="218"/>
      <c r="G133" s="218"/>
      <c r="H133" s="218"/>
    </row>
    <row r="134" ht="15.75" customHeight="1">
      <c r="A134" s="217" t="s">
        <v>4034</v>
      </c>
      <c r="B134" s="217" t="s">
        <v>4083</v>
      </c>
      <c r="C134" s="217" t="s">
        <v>3109</v>
      </c>
      <c r="D134" s="217" t="s">
        <v>4084</v>
      </c>
      <c r="E134" s="218"/>
      <c r="F134" s="218"/>
      <c r="G134" s="218"/>
      <c r="H134" s="218"/>
    </row>
    <row r="135" ht="15.75" customHeight="1">
      <c r="A135" s="217" t="s">
        <v>4034</v>
      </c>
      <c r="B135" s="217" t="s">
        <v>4085</v>
      </c>
      <c r="C135" s="217" t="s">
        <v>3720</v>
      </c>
      <c r="D135" s="217" t="s">
        <v>4086</v>
      </c>
      <c r="E135" s="218"/>
      <c r="F135" s="218"/>
      <c r="G135" s="218"/>
      <c r="H135" s="218"/>
    </row>
    <row r="136" ht="15.75" customHeight="1">
      <c r="A136" s="217" t="s">
        <v>4044</v>
      </c>
      <c r="B136" s="217" t="s">
        <v>4087</v>
      </c>
      <c r="C136" s="217" t="s">
        <v>3087</v>
      </c>
      <c r="D136" s="217" t="s">
        <v>4088</v>
      </c>
      <c r="E136" s="218"/>
      <c r="F136" s="218"/>
      <c r="G136" s="218"/>
      <c r="H136" s="218"/>
    </row>
    <row r="137" ht="15.75" customHeight="1">
      <c r="A137" s="217" t="s">
        <v>4044</v>
      </c>
      <c r="B137" s="217" t="s">
        <v>4089</v>
      </c>
      <c r="C137" s="217" t="s">
        <v>3092</v>
      </c>
      <c r="D137" s="217" t="s">
        <v>4090</v>
      </c>
      <c r="E137" s="218"/>
      <c r="F137" s="218"/>
      <c r="G137" s="218"/>
      <c r="H137" s="218"/>
    </row>
    <row r="138" ht="15.75" customHeight="1">
      <c r="A138" s="217" t="s">
        <v>4044</v>
      </c>
      <c r="B138" s="217" t="s">
        <v>4091</v>
      </c>
      <c r="C138" s="217" t="s">
        <v>3087</v>
      </c>
      <c r="D138" s="217" t="s">
        <v>4092</v>
      </c>
      <c r="E138" s="218"/>
      <c r="F138" s="218"/>
      <c r="G138" s="218"/>
      <c r="H138" s="218"/>
    </row>
    <row r="139" ht="15.75" customHeight="1">
      <c r="A139" s="217" t="s">
        <v>4051</v>
      </c>
      <c r="B139" s="217" t="s">
        <v>4093</v>
      </c>
      <c r="C139" s="217" t="s">
        <v>3092</v>
      </c>
      <c r="D139" s="217" t="s">
        <v>4094</v>
      </c>
      <c r="E139" s="218"/>
      <c r="F139" s="218"/>
      <c r="G139" s="218"/>
      <c r="H139" s="218"/>
    </row>
    <row r="140" ht="15.75" customHeight="1">
      <c r="A140" s="217" t="s">
        <v>4051</v>
      </c>
      <c r="B140" s="217" t="s">
        <v>4095</v>
      </c>
      <c r="C140" s="217" t="s">
        <v>3092</v>
      </c>
      <c r="D140" s="217" t="s">
        <v>4096</v>
      </c>
      <c r="E140" s="218"/>
      <c r="F140" s="218"/>
      <c r="G140" s="218"/>
      <c r="H140" s="218"/>
    </row>
    <row r="141" ht="15.75" customHeight="1">
      <c r="A141" s="217" t="s">
        <v>4051</v>
      </c>
      <c r="B141" s="217" t="s">
        <v>4097</v>
      </c>
      <c r="C141" s="217" t="s">
        <v>3092</v>
      </c>
      <c r="D141" s="217" t="s">
        <v>4098</v>
      </c>
      <c r="E141" s="218"/>
      <c r="F141" s="218"/>
      <c r="G141" s="218"/>
      <c r="H141" s="218"/>
    </row>
    <row r="142" ht="15.75" customHeight="1">
      <c r="A142" s="217" t="s">
        <v>4062</v>
      </c>
      <c r="B142" s="217" t="s">
        <v>4099</v>
      </c>
      <c r="C142" s="217" t="s">
        <v>3109</v>
      </c>
      <c r="D142" s="217" t="s">
        <v>4100</v>
      </c>
      <c r="E142" s="218"/>
      <c r="F142" s="218"/>
      <c r="G142" s="218"/>
      <c r="H142" s="218"/>
    </row>
    <row r="143" ht="15.75" customHeight="1">
      <c r="A143" s="217" t="s">
        <v>4062</v>
      </c>
      <c r="B143" s="217" t="s">
        <v>4101</v>
      </c>
      <c r="C143" s="217" t="s">
        <v>3109</v>
      </c>
      <c r="D143" s="217" t="s">
        <v>4102</v>
      </c>
      <c r="E143" s="218"/>
      <c r="F143" s="218"/>
      <c r="G143" s="218"/>
      <c r="H143" s="218"/>
    </row>
    <row r="144" ht="24.75" customHeight="1">
      <c r="A144" s="223" t="s">
        <v>3052</v>
      </c>
      <c r="B144" s="224"/>
      <c r="C144" s="224"/>
      <c r="D144" s="224"/>
      <c r="E144" s="224"/>
      <c r="F144" s="224"/>
      <c r="G144" s="224"/>
      <c r="H144" s="225"/>
    </row>
    <row r="145" ht="15.75" customHeight="1">
      <c r="A145" s="217" t="s">
        <v>4103</v>
      </c>
      <c r="B145" s="218"/>
      <c r="C145" s="218"/>
      <c r="D145" s="218"/>
      <c r="E145" s="218"/>
      <c r="F145" s="218"/>
      <c r="G145" s="218"/>
      <c r="H145" s="218"/>
    </row>
    <row r="146" ht="24.75" customHeight="1">
      <c r="A146" s="223" t="s">
        <v>3052</v>
      </c>
      <c r="B146" s="224"/>
      <c r="C146" s="224"/>
      <c r="D146" s="224"/>
      <c r="E146" s="224"/>
      <c r="F146" s="224"/>
      <c r="G146" s="224"/>
      <c r="H146" s="225"/>
    </row>
    <row r="147" ht="24.75" customHeight="1">
      <c r="A147" s="229" t="s">
        <v>4004</v>
      </c>
      <c r="B147" s="224"/>
      <c r="C147" s="224"/>
      <c r="D147" s="224"/>
      <c r="E147" s="224"/>
      <c r="F147" s="224"/>
      <c r="G147" s="224"/>
      <c r="H147" s="225"/>
    </row>
    <row r="148" ht="15.75" customHeight="1">
      <c r="A148" s="228" t="s">
        <v>4005</v>
      </c>
      <c r="B148" s="218"/>
      <c r="C148" s="218"/>
      <c r="D148" s="218"/>
      <c r="E148" s="218"/>
      <c r="F148" s="218"/>
      <c r="G148" s="218"/>
      <c r="H148" s="218"/>
    </row>
    <row r="149" ht="15.75" customHeight="1">
      <c r="A149" s="218" t="s">
        <v>0</v>
      </c>
      <c r="B149" s="218" t="s">
        <v>4006</v>
      </c>
      <c r="C149" s="218" t="s">
        <v>4007</v>
      </c>
      <c r="D149" s="218" t="s">
        <v>4008</v>
      </c>
      <c r="E149" s="218" t="s">
        <v>4009</v>
      </c>
      <c r="F149" s="218" t="s">
        <v>2364</v>
      </c>
      <c r="G149" s="218" t="s">
        <v>4010</v>
      </c>
      <c r="H149" s="218" t="s">
        <v>13</v>
      </c>
    </row>
    <row r="150" ht="15.75" customHeight="1">
      <c r="A150" s="218" t="s">
        <v>2103</v>
      </c>
      <c r="B150" s="218" t="s">
        <v>4011</v>
      </c>
      <c r="C150" s="218" t="s">
        <v>4012</v>
      </c>
      <c r="D150" s="218" t="s">
        <v>1897</v>
      </c>
      <c r="E150" s="218" t="s">
        <v>3665</v>
      </c>
      <c r="F150" s="218" t="s">
        <v>4013</v>
      </c>
      <c r="G150" s="218" t="s">
        <v>3087</v>
      </c>
      <c r="H150" s="218" t="s">
        <v>4014</v>
      </c>
    </row>
    <row r="151" ht="15.75" customHeight="1">
      <c r="A151" s="218" t="s">
        <v>2109</v>
      </c>
      <c r="B151" s="218" t="s">
        <v>2115</v>
      </c>
      <c r="C151" s="218" t="s">
        <v>4012</v>
      </c>
      <c r="D151" s="218" t="s">
        <v>3287</v>
      </c>
      <c r="E151" s="218" t="s">
        <v>3665</v>
      </c>
      <c r="F151" s="218" t="s">
        <v>4013</v>
      </c>
      <c r="G151" s="218" t="s">
        <v>3087</v>
      </c>
      <c r="H151" s="218" t="s">
        <v>4015</v>
      </c>
    </row>
    <row r="152" ht="15.75" customHeight="1">
      <c r="A152" s="218" t="s">
        <v>2114</v>
      </c>
      <c r="B152" s="218" t="s">
        <v>4016</v>
      </c>
      <c r="C152" s="218" t="s">
        <v>4012</v>
      </c>
      <c r="D152" s="218" t="s">
        <v>1897</v>
      </c>
      <c r="E152" s="218" t="s">
        <v>4017</v>
      </c>
      <c r="F152" s="218" t="s">
        <v>4018</v>
      </c>
      <c r="G152" s="218" t="s">
        <v>3087</v>
      </c>
      <c r="H152" s="218" t="s">
        <v>4019</v>
      </c>
    </row>
    <row r="153" ht="15.75" customHeight="1">
      <c r="A153" s="218" t="s">
        <v>2117</v>
      </c>
      <c r="B153" s="218" t="s">
        <v>4020</v>
      </c>
      <c r="C153" s="218" t="s">
        <v>4021</v>
      </c>
      <c r="D153" s="218" t="s">
        <v>1897</v>
      </c>
      <c r="E153" s="218" t="s">
        <v>4022</v>
      </c>
      <c r="F153" s="218" t="s">
        <v>4013</v>
      </c>
      <c r="G153" s="218" t="s">
        <v>3092</v>
      </c>
      <c r="H153" s="218" t="s">
        <v>4023</v>
      </c>
    </row>
    <row r="154" ht="15.75" customHeight="1">
      <c r="A154" s="218" t="s">
        <v>2121</v>
      </c>
      <c r="B154" s="218" t="s">
        <v>4024</v>
      </c>
      <c r="C154" s="218" t="s">
        <v>4021</v>
      </c>
      <c r="D154" s="218" t="s">
        <v>1897</v>
      </c>
      <c r="E154" s="218" t="s">
        <v>4025</v>
      </c>
      <c r="F154" s="218" t="s">
        <v>4013</v>
      </c>
      <c r="G154" s="218" t="s">
        <v>3092</v>
      </c>
      <c r="H154" s="218" t="s">
        <v>4023</v>
      </c>
    </row>
    <row r="155" ht="15.75" customHeight="1">
      <c r="A155" s="218" t="s">
        <v>2124</v>
      </c>
      <c r="B155" s="218" t="s">
        <v>4026</v>
      </c>
      <c r="C155" s="218" t="s">
        <v>4027</v>
      </c>
      <c r="D155" s="218" t="s">
        <v>1897</v>
      </c>
      <c r="E155" s="218" t="s">
        <v>4028</v>
      </c>
      <c r="F155" s="218" t="s">
        <v>4013</v>
      </c>
      <c r="G155" s="218" t="s">
        <v>3092</v>
      </c>
      <c r="H155" s="218" t="s">
        <v>4029</v>
      </c>
    </row>
    <row r="156" ht="15.75" customHeight="1">
      <c r="A156" s="218" t="s">
        <v>2127</v>
      </c>
      <c r="B156" s="218" t="s">
        <v>4030</v>
      </c>
      <c r="C156" s="218" t="s">
        <v>4027</v>
      </c>
      <c r="D156" s="218" t="s">
        <v>1897</v>
      </c>
      <c r="E156" s="218" t="s">
        <v>4028</v>
      </c>
      <c r="F156" s="218" t="s">
        <v>4013</v>
      </c>
      <c r="G156" s="218" t="s">
        <v>3092</v>
      </c>
      <c r="H156" s="218" t="s">
        <v>4029</v>
      </c>
    </row>
    <row r="157" ht="15.75" customHeight="1">
      <c r="A157" s="218" t="s">
        <v>2131</v>
      </c>
      <c r="B157" s="218" t="s">
        <v>4031</v>
      </c>
      <c r="C157" s="218" t="s">
        <v>4027</v>
      </c>
      <c r="D157" s="218" t="s">
        <v>1897</v>
      </c>
      <c r="E157" s="218" t="s">
        <v>4028</v>
      </c>
      <c r="F157" s="218" t="s">
        <v>4013</v>
      </c>
      <c r="G157" s="218" t="s">
        <v>3087</v>
      </c>
      <c r="H157" s="218" t="s">
        <v>4029</v>
      </c>
    </row>
    <row r="158" ht="15.75" customHeight="1">
      <c r="A158" s="218" t="s">
        <v>2136</v>
      </c>
      <c r="B158" s="218" t="s">
        <v>4032</v>
      </c>
      <c r="C158" s="218" t="s">
        <v>4027</v>
      </c>
      <c r="D158" s="218" t="s">
        <v>1897</v>
      </c>
      <c r="E158" s="218" t="s">
        <v>4028</v>
      </c>
      <c r="F158" s="218" t="s">
        <v>4013</v>
      </c>
      <c r="G158" s="218" t="s">
        <v>3087</v>
      </c>
      <c r="H158" s="218" t="s">
        <v>4029</v>
      </c>
    </row>
    <row r="159" ht="15.75" customHeight="1">
      <c r="A159" s="218" t="s">
        <v>2140</v>
      </c>
      <c r="B159" s="218" t="s">
        <v>4033</v>
      </c>
      <c r="C159" s="218" t="s">
        <v>4034</v>
      </c>
      <c r="D159" s="218" t="s">
        <v>3665</v>
      </c>
      <c r="E159" s="218" t="s">
        <v>4035</v>
      </c>
      <c r="F159" s="218" t="s">
        <v>4013</v>
      </c>
      <c r="G159" s="218" t="s">
        <v>3287</v>
      </c>
      <c r="H159" s="218" t="s">
        <v>4036</v>
      </c>
    </row>
    <row r="160" ht="15.75" customHeight="1">
      <c r="A160" s="218" t="s">
        <v>2144</v>
      </c>
      <c r="B160" s="218" t="s">
        <v>4037</v>
      </c>
      <c r="C160" s="218" t="s">
        <v>4034</v>
      </c>
      <c r="D160" s="218" t="s">
        <v>3665</v>
      </c>
      <c r="E160" s="218" t="s">
        <v>4035</v>
      </c>
      <c r="F160" s="218" t="s">
        <v>4013</v>
      </c>
      <c r="G160" s="218" t="s">
        <v>3287</v>
      </c>
      <c r="H160" s="218" t="s">
        <v>4038</v>
      </c>
    </row>
    <row r="161" ht="15.75" customHeight="1">
      <c r="A161" s="218" t="s">
        <v>2146</v>
      </c>
      <c r="B161" s="218" t="s">
        <v>4039</v>
      </c>
      <c r="C161" s="218" t="s">
        <v>4034</v>
      </c>
      <c r="D161" s="218" t="s">
        <v>1897</v>
      </c>
      <c r="E161" s="218" t="s">
        <v>4040</v>
      </c>
      <c r="F161" s="218" t="s">
        <v>4013</v>
      </c>
      <c r="G161" s="218" t="s">
        <v>3087</v>
      </c>
      <c r="H161" s="218" t="s">
        <v>4038</v>
      </c>
    </row>
    <row r="162" ht="15.75" customHeight="1">
      <c r="A162" s="218" t="s">
        <v>2150</v>
      </c>
      <c r="B162" s="218" t="s">
        <v>2128</v>
      </c>
      <c r="C162" s="218" t="s">
        <v>4034</v>
      </c>
      <c r="D162" s="218" t="s">
        <v>1897</v>
      </c>
      <c r="E162" s="218" t="s">
        <v>4041</v>
      </c>
      <c r="F162" s="218" t="s">
        <v>4018</v>
      </c>
      <c r="G162" s="218" t="s">
        <v>3087</v>
      </c>
      <c r="H162" s="218" t="s">
        <v>4042</v>
      </c>
    </row>
    <row r="163" ht="15.75" customHeight="1">
      <c r="A163" s="218" t="s">
        <v>2153</v>
      </c>
      <c r="B163" s="218" t="s">
        <v>4043</v>
      </c>
      <c r="C163" s="218" t="s">
        <v>4044</v>
      </c>
      <c r="D163" s="218" t="s">
        <v>3665</v>
      </c>
      <c r="E163" s="218" t="s">
        <v>4035</v>
      </c>
      <c r="F163" s="218" t="s">
        <v>4013</v>
      </c>
      <c r="G163" s="218" t="s">
        <v>3287</v>
      </c>
      <c r="H163" s="218"/>
    </row>
    <row r="164" ht="15.75" customHeight="1">
      <c r="A164" s="218" t="s">
        <v>2160</v>
      </c>
      <c r="B164" s="218" t="s">
        <v>2165</v>
      </c>
      <c r="C164" s="218" t="s">
        <v>4044</v>
      </c>
      <c r="D164" s="218" t="s">
        <v>3665</v>
      </c>
      <c r="E164" s="218" t="s">
        <v>4035</v>
      </c>
      <c r="F164" s="218" t="s">
        <v>4013</v>
      </c>
      <c r="G164" s="218" t="s">
        <v>3287</v>
      </c>
      <c r="H164" s="218"/>
    </row>
    <row r="165" ht="15.75" customHeight="1">
      <c r="A165" s="218" t="s">
        <v>2164</v>
      </c>
      <c r="B165" s="218" t="s">
        <v>4045</v>
      </c>
      <c r="C165" s="218" t="s">
        <v>4044</v>
      </c>
      <c r="D165" s="218" t="s">
        <v>1897</v>
      </c>
      <c r="E165" s="218" t="s">
        <v>4046</v>
      </c>
      <c r="F165" s="218" t="s">
        <v>4013</v>
      </c>
      <c r="G165" s="218" t="s">
        <v>3287</v>
      </c>
      <c r="H165" s="218" t="s">
        <v>4047</v>
      </c>
    </row>
    <row r="166" ht="15.75" customHeight="1">
      <c r="A166" s="218" t="s">
        <v>2166</v>
      </c>
      <c r="B166" s="218" t="s">
        <v>4048</v>
      </c>
      <c r="C166" s="218" t="s">
        <v>4044</v>
      </c>
      <c r="D166" s="218" t="s">
        <v>3665</v>
      </c>
      <c r="E166" s="218" t="s">
        <v>4035</v>
      </c>
      <c r="F166" s="218" t="s">
        <v>4013</v>
      </c>
      <c r="G166" s="218" t="s">
        <v>3287</v>
      </c>
      <c r="H166" s="218"/>
    </row>
    <row r="167" ht="15.75" customHeight="1">
      <c r="A167" s="218" t="s">
        <v>2169</v>
      </c>
      <c r="B167" s="218" t="s">
        <v>4049</v>
      </c>
      <c r="C167" s="218" t="s">
        <v>4044</v>
      </c>
      <c r="D167" s="218" t="s">
        <v>3665</v>
      </c>
      <c r="E167" s="218" t="s">
        <v>4035</v>
      </c>
      <c r="F167" s="218" t="s">
        <v>4013</v>
      </c>
      <c r="G167" s="218" t="s">
        <v>3287</v>
      </c>
      <c r="H167" s="218"/>
    </row>
    <row r="168" ht="15.75" customHeight="1">
      <c r="A168" s="218" t="s">
        <v>2172</v>
      </c>
      <c r="B168" s="218" t="s">
        <v>4050</v>
      </c>
      <c r="C168" s="218" t="s">
        <v>4051</v>
      </c>
      <c r="D168" s="218" t="s">
        <v>3287</v>
      </c>
      <c r="E168" s="218" t="s">
        <v>4052</v>
      </c>
      <c r="F168" s="218" t="s">
        <v>4053</v>
      </c>
      <c r="G168" s="218" t="s">
        <v>3287</v>
      </c>
      <c r="H168" s="218" t="s">
        <v>4054</v>
      </c>
    </row>
    <row r="169" ht="15.75" customHeight="1">
      <c r="A169" s="218" t="s">
        <v>2174</v>
      </c>
      <c r="B169" s="218" t="s">
        <v>4055</v>
      </c>
      <c r="C169" s="218" t="s">
        <v>4051</v>
      </c>
      <c r="D169" s="218" t="s">
        <v>3287</v>
      </c>
      <c r="E169" s="218" t="s">
        <v>4056</v>
      </c>
      <c r="F169" s="218" t="s">
        <v>4053</v>
      </c>
      <c r="G169" s="218" t="s">
        <v>3287</v>
      </c>
      <c r="H169" s="218" t="s">
        <v>4057</v>
      </c>
    </row>
    <row r="170" ht="15.75" customHeight="1">
      <c r="A170" s="218" t="s">
        <v>2178</v>
      </c>
      <c r="B170" s="218" t="s">
        <v>4058</v>
      </c>
      <c r="C170" s="218" t="s">
        <v>4051</v>
      </c>
      <c r="D170" s="218" t="s">
        <v>3665</v>
      </c>
      <c r="E170" s="218" t="s">
        <v>4059</v>
      </c>
      <c r="F170" s="218" t="s">
        <v>4013</v>
      </c>
      <c r="G170" s="218" t="s">
        <v>3287</v>
      </c>
      <c r="H170" s="218"/>
    </row>
    <row r="171" ht="15.75" customHeight="1">
      <c r="A171" s="218" t="s">
        <v>2182</v>
      </c>
      <c r="B171" s="218" t="s">
        <v>4060</v>
      </c>
      <c r="C171" s="218" t="s">
        <v>4051</v>
      </c>
      <c r="D171" s="218" t="s">
        <v>3665</v>
      </c>
      <c r="E171" s="218" t="s">
        <v>4059</v>
      </c>
      <c r="F171" s="218" t="s">
        <v>4013</v>
      </c>
      <c r="G171" s="218" t="s">
        <v>3287</v>
      </c>
      <c r="H171" s="218"/>
    </row>
    <row r="172" ht="15.75" customHeight="1">
      <c r="A172" s="218" t="s">
        <v>2186</v>
      </c>
      <c r="B172" s="218" t="s">
        <v>4061</v>
      </c>
      <c r="C172" s="218" t="s">
        <v>4062</v>
      </c>
      <c r="D172" s="218" t="s">
        <v>1897</v>
      </c>
      <c r="E172" s="218" t="s">
        <v>3665</v>
      </c>
      <c r="F172" s="218" t="s">
        <v>4063</v>
      </c>
      <c r="G172" s="218" t="s">
        <v>3087</v>
      </c>
      <c r="H172" s="218" t="s">
        <v>4064</v>
      </c>
    </row>
    <row r="173" ht="15.75" customHeight="1">
      <c r="A173" s="218" t="s">
        <v>4104</v>
      </c>
      <c r="B173" s="218"/>
      <c r="C173" s="218"/>
      <c r="D173" s="218"/>
      <c r="E173" s="218"/>
      <c r="F173" s="218"/>
      <c r="G173" s="218"/>
      <c r="H173" s="218"/>
    </row>
    <row r="174" ht="24.75" customHeight="1">
      <c r="A174" s="223" t="s">
        <v>3052</v>
      </c>
      <c r="B174" s="224"/>
      <c r="C174" s="224"/>
      <c r="D174" s="224"/>
      <c r="E174" s="224"/>
      <c r="F174" s="224"/>
      <c r="G174" s="224"/>
      <c r="H174" s="225"/>
    </row>
    <row r="175" ht="15.75" customHeight="1">
      <c r="A175" s="226" t="s">
        <v>4105</v>
      </c>
      <c r="B175" s="218"/>
      <c r="C175" s="218"/>
      <c r="D175" s="218"/>
      <c r="E175" s="218"/>
      <c r="F175" s="218"/>
      <c r="G175" s="218"/>
      <c r="H175" s="218"/>
    </row>
    <row r="176" ht="24.75" customHeight="1">
      <c r="A176" s="223" t="s">
        <v>3052</v>
      </c>
      <c r="B176" s="224"/>
      <c r="C176" s="224"/>
      <c r="D176" s="224"/>
      <c r="E176" s="224"/>
      <c r="F176" s="224"/>
      <c r="G176" s="224"/>
      <c r="H176" s="225"/>
    </row>
    <row r="177" ht="15.75" customHeight="1">
      <c r="A177" s="218" t="s">
        <v>3956</v>
      </c>
      <c r="B177" s="218" t="s">
        <v>3857</v>
      </c>
      <c r="C177" s="218"/>
      <c r="D177" s="218"/>
      <c r="E177" s="218"/>
      <c r="F177" s="218"/>
      <c r="G177" s="218"/>
      <c r="H177" s="218"/>
    </row>
    <row r="178" ht="15.75" customHeight="1">
      <c r="A178" s="218" t="s">
        <v>4106</v>
      </c>
      <c r="B178" s="218" t="s">
        <v>4107</v>
      </c>
      <c r="C178" s="218"/>
      <c r="D178" s="218"/>
      <c r="E178" s="218"/>
      <c r="F178" s="218"/>
      <c r="G178" s="218"/>
      <c r="H178" s="218"/>
    </row>
    <row r="179" ht="15.75" customHeight="1">
      <c r="A179" s="218" t="s">
        <v>4108</v>
      </c>
      <c r="B179" s="218" t="s">
        <v>4109</v>
      </c>
      <c r="C179" s="218"/>
      <c r="D179" s="218"/>
      <c r="E179" s="218"/>
      <c r="F179" s="218"/>
      <c r="G179" s="218"/>
      <c r="H179" s="218"/>
    </row>
    <row r="180" ht="15.75" customHeight="1">
      <c r="A180" s="218" t="s">
        <v>4110</v>
      </c>
      <c r="B180" s="218" t="s">
        <v>4111</v>
      </c>
      <c r="C180" s="218"/>
      <c r="D180" s="218"/>
      <c r="E180" s="218"/>
      <c r="F180" s="218"/>
      <c r="G180" s="218"/>
      <c r="H180" s="218"/>
    </row>
    <row r="181" ht="15.75" customHeight="1">
      <c r="A181" s="218" t="s">
        <v>4112</v>
      </c>
      <c r="B181" s="218" t="s">
        <v>4113</v>
      </c>
      <c r="C181" s="218"/>
      <c r="D181" s="218"/>
      <c r="E181" s="218"/>
      <c r="F181" s="218"/>
      <c r="G181" s="218"/>
      <c r="H181" s="218"/>
    </row>
    <row r="182" ht="15.75" customHeight="1">
      <c r="A182" s="218" t="s">
        <v>3916</v>
      </c>
      <c r="B182" s="218" t="s">
        <v>4114</v>
      </c>
      <c r="C182" s="218"/>
      <c r="D182" s="218"/>
      <c r="E182" s="218"/>
      <c r="F182" s="218"/>
      <c r="G182" s="218"/>
      <c r="H182" s="218"/>
    </row>
    <row r="183" ht="24.75" customHeight="1">
      <c r="A183" s="223" t="s">
        <v>3052</v>
      </c>
      <c r="B183" s="224"/>
      <c r="C183" s="224"/>
      <c r="D183" s="224"/>
      <c r="E183" s="224"/>
      <c r="F183" s="224"/>
      <c r="G183" s="224"/>
      <c r="H183" s="225"/>
    </row>
    <row r="184" ht="15.75" customHeight="1">
      <c r="A184" s="226" t="s">
        <v>4115</v>
      </c>
      <c r="B184" s="218"/>
      <c r="C184" s="218"/>
      <c r="D184" s="218"/>
      <c r="E184" s="218"/>
      <c r="F184" s="218"/>
      <c r="G184" s="218"/>
      <c r="H184" s="218"/>
    </row>
    <row r="185" ht="24.75" customHeight="1">
      <c r="A185" s="223" t="s">
        <v>3052</v>
      </c>
      <c r="B185" s="224"/>
      <c r="C185" s="224"/>
      <c r="D185" s="224"/>
      <c r="E185" s="224"/>
      <c r="F185" s="224"/>
      <c r="G185" s="224"/>
      <c r="H185" s="225"/>
    </row>
    <row r="186" ht="15.75" customHeight="1">
      <c r="A186" s="218" t="s">
        <v>4116</v>
      </c>
      <c r="B186" s="218"/>
      <c r="C186" s="218"/>
      <c r="D186" s="218"/>
      <c r="E186" s="218"/>
      <c r="F186" s="218"/>
      <c r="G186" s="218"/>
      <c r="H186" s="218"/>
    </row>
    <row r="187" ht="15.75" customHeight="1">
      <c r="A187" s="218" t="s">
        <v>4117</v>
      </c>
      <c r="B187" s="218" t="s">
        <v>4118</v>
      </c>
      <c r="C187" s="218" t="s">
        <v>3975</v>
      </c>
      <c r="D187" s="218" t="s">
        <v>4119</v>
      </c>
      <c r="E187" s="218"/>
      <c r="F187" s="218"/>
      <c r="G187" s="218"/>
      <c r="H187" s="218"/>
    </row>
    <row r="188" ht="15.75" customHeight="1">
      <c r="A188" s="218" t="s">
        <v>4120</v>
      </c>
      <c r="B188" s="218" t="s">
        <v>4121</v>
      </c>
      <c r="C188" s="218" t="s">
        <v>4122</v>
      </c>
      <c r="D188" s="218" t="s">
        <v>4123</v>
      </c>
      <c r="E188" s="218"/>
      <c r="F188" s="218"/>
      <c r="G188" s="218"/>
      <c r="H188" s="218"/>
    </row>
    <row r="189" ht="15.75" customHeight="1">
      <c r="A189" s="218" t="s">
        <v>4124</v>
      </c>
      <c r="B189" s="218" t="s">
        <v>4125</v>
      </c>
      <c r="C189" s="218" t="s">
        <v>4126</v>
      </c>
      <c r="D189" s="218" t="s">
        <v>4127</v>
      </c>
      <c r="E189" s="218"/>
      <c r="F189" s="218"/>
      <c r="G189" s="218"/>
      <c r="H189" s="218"/>
    </row>
    <row r="190" ht="15.75" customHeight="1">
      <c r="A190" s="218" t="s">
        <v>4128</v>
      </c>
      <c r="B190" s="218" t="s">
        <v>4129</v>
      </c>
      <c r="C190" s="218" t="s">
        <v>4130</v>
      </c>
      <c r="D190" s="218" t="s">
        <v>4131</v>
      </c>
      <c r="E190" s="218"/>
      <c r="F190" s="218"/>
      <c r="G190" s="218"/>
      <c r="H190" s="218"/>
    </row>
    <row r="191" ht="15.75" customHeight="1">
      <c r="A191" s="218" t="s">
        <v>4132</v>
      </c>
      <c r="B191" s="218" t="s">
        <v>4133</v>
      </c>
      <c r="C191" s="218" t="s">
        <v>4134</v>
      </c>
      <c r="D191" s="218" t="s">
        <v>4135</v>
      </c>
      <c r="E191" s="218"/>
      <c r="F191" s="218"/>
      <c r="G191" s="218"/>
      <c r="H191" s="218"/>
    </row>
    <row r="192" ht="15.75" customHeight="1">
      <c r="A192" s="218" t="s">
        <v>4136</v>
      </c>
      <c r="B192" s="218" t="s">
        <v>4137</v>
      </c>
      <c r="C192" s="218" t="s">
        <v>4138</v>
      </c>
      <c r="D192" s="218" t="s">
        <v>4135</v>
      </c>
      <c r="E192" s="218"/>
      <c r="F192" s="218"/>
      <c r="G192" s="218"/>
      <c r="H192" s="218"/>
    </row>
    <row r="193" ht="15.75" customHeight="1">
      <c r="A193" s="218" t="s">
        <v>4139</v>
      </c>
      <c r="B193" s="218" t="s">
        <v>4140</v>
      </c>
      <c r="C193" s="218" t="s">
        <v>4141</v>
      </c>
      <c r="D193" s="218" t="s">
        <v>2464</v>
      </c>
      <c r="E193" s="218"/>
      <c r="F193" s="218"/>
      <c r="G193" s="218"/>
      <c r="H193" s="218"/>
    </row>
    <row r="194" ht="15.75" customHeight="1">
      <c r="A194" s="218" t="s">
        <v>4142</v>
      </c>
      <c r="B194" s="218" t="s">
        <v>4143</v>
      </c>
      <c r="C194" s="218" t="s">
        <v>4144</v>
      </c>
      <c r="D194" s="218" t="s">
        <v>4145</v>
      </c>
      <c r="E194" s="218"/>
      <c r="F194" s="218"/>
      <c r="G194" s="218"/>
      <c r="H194" s="218"/>
    </row>
    <row r="195" ht="15.75" customHeight="1">
      <c r="A195" s="218" t="s">
        <v>4146</v>
      </c>
      <c r="B195" s="218" t="s">
        <v>4147</v>
      </c>
      <c r="C195" s="218" t="s">
        <v>4148</v>
      </c>
      <c r="D195" s="218" t="s">
        <v>4149</v>
      </c>
      <c r="E195" s="218"/>
      <c r="F195" s="218"/>
      <c r="G195" s="218"/>
      <c r="H195" s="218"/>
    </row>
    <row r="196" ht="15.75" customHeight="1">
      <c r="A196" s="218" t="s">
        <v>4150</v>
      </c>
      <c r="B196" s="218"/>
      <c r="C196" s="218"/>
      <c r="D196" s="218"/>
      <c r="E196" s="218"/>
      <c r="F196" s="218"/>
      <c r="G196" s="218"/>
      <c r="H196" s="218"/>
    </row>
    <row r="197" ht="15.75" customHeight="1">
      <c r="A197" s="218" t="s">
        <v>4151</v>
      </c>
      <c r="B197" s="218"/>
      <c r="C197" s="218"/>
      <c r="D197" s="218"/>
      <c r="E197" s="218"/>
      <c r="F197" s="218"/>
      <c r="G197" s="218"/>
      <c r="H197" s="218"/>
    </row>
    <row r="198" ht="15.75" customHeight="1">
      <c r="A198" s="227" t="s">
        <v>4152</v>
      </c>
      <c r="B198" s="218"/>
      <c r="C198" s="218"/>
      <c r="D198" s="218"/>
      <c r="E198" s="218"/>
      <c r="F198" s="218"/>
      <c r="G198" s="218"/>
      <c r="H198" s="218"/>
    </row>
    <row r="199" ht="15.75" customHeight="1">
      <c r="A199" s="217" t="s">
        <v>3365</v>
      </c>
      <c r="B199" s="217" t="s">
        <v>4153</v>
      </c>
      <c r="C199" s="217" t="s">
        <v>4154</v>
      </c>
      <c r="D199" s="217" t="s">
        <v>4155</v>
      </c>
      <c r="E199" s="218"/>
      <c r="F199" s="218"/>
      <c r="G199" s="218"/>
      <c r="H199" s="218"/>
    </row>
    <row r="200" ht="15.75" customHeight="1">
      <c r="A200" s="218" t="s">
        <v>4156</v>
      </c>
      <c r="B200" s="218" t="s">
        <v>4157</v>
      </c>
      <c r="C200" s="218" t="s">
        <v>3271</v>
      </c>
      <c r="D200" s="218" t="s">
        <v>4158</v>
      </c>
      <c r="E200" s="218"/>
      <c r="F200" s="218"/>
      <c r="G200" s="218"/>
      <c r="H200" s="218"/>
    </row>
    <row r="201" ht="15.75" customHeight="1">
      <c r="A201" s="218" t="s">
        <v>4159</v>
      </c>
      <c r="B201" s="218" t="s">
        <v>4160</v>
      </c>
      <c r="C201" s="218" t="s">
        <v>4161</v>
      </c>
      <c r="D201" s="218" t="s">
        <v>4162</v>
      </c>
      <c r="E201" s="218"/>
      <c r="F201" s="218"/>
      <c r="G201" s="218"/>
      <c r="H201" s="218"/>
    </row>
    <row r="202" ht="15.75" customHeight="1">
      <c r="A202" s="218" t="s">
        <v>4163</v>
      </c>
      <c r="B202" s="218" t="s">
        <v>4164</v>
      </c>
      <c r="C202" s="218" t="s">
        <v>4165</v>
      </c>
      <c r="D202" s="218" t="s">
        <v>4166</v>
      </c>
      <c r="E202" s="218"/>
      <c r="F202" s="218"/>
      <c r="G202" s="218"/>
      <c r="H202" s="218"/>
    </row>
    <row r="203" ht="15.75" customHeight="1">
      <c r="A203" s="218" t="s">
        <v>4167</v>
      </c>
      <c r="B203" s="218" t="s">
        <v>4168</v>
      </c>
      <c r="C203" s="218" t="s">
        <v>3275</v>
      </c>
      <c r="D203" s="218" t="s">
        <v>4169</v>
      </c>
      <c r="E203" s="218"/>
      <c r="F203" s="218"/>
      <c r="G203" s="218"/>
      <c r="H203" s="218"/>
    </row>
    <row r="204" ht="15.75" customHeight="1">
      <c r="A204" s="227" t="s">
        <v>4170</v>
      </c>
      <c r="B204" s="218"/>
      <c r="C204" s="218"/>
      <c r="D204" s="218"/>
      <c r="E204" s="218"/>
      <c r="F204" s="218"/>
      <c r="G204" s="218"/>
      <c r="H204" s="218"/>
    </row>
    <row r="205" ht="15.75" customHeight="1">
      <c r="A205" s="218" t="s">
        <v>4171</v>
      </c>
      <c r="B205" s="218" t="s">
        <v>4172</v>
      </c>
      <c r="C205" s="218" t="s">
        <v>4173</v>
      </c>
      <c r="D205" s="218" t="s">
        <v>4174</v>
      </c>
      <c r="E205" s="218"/>
      <c r="F205" s="218"/>
      <c r="G205" s="218"/>
      <c r="H205" s="218"/>
    </row>
    <row r="206" ht="15.75" customHeight="1">
      <c r="A206" s="218" t="s">
        <v>4175</v>
      </c>
      <c r="B206" s="218" t="s">
        <v>4176</v>
      </c>
      <c r="C206" s="218" t="s">
        <v>4177</v>
      </c>
      <c r="D206" s="218" t="s">
        <v>4178</v>
      </c>
      <c r="E206" s="218"/>
      <c r="F206" s="218"/>
      <c r="G206" s="218"/>
      <c r="H206" s="218"/>
    </row>
    <row r="207" ht="15.75" customHeight="1">
      <c r="A207" s="218" t="s">
        <v>4179</v>
      </c>
      <c r="B207" s="218" t="s">
        <v>4180</v>
      </c>
      <c r="C207" s="218" t="s">
        <v>4181</v>
      </c>
      <c r="D207" s="218" t="s">
        <v>4182</v>
      </c>
      <c r="E207" s="218"/>
      <c r="F207" s="218"/>
      <c r="G207" s="218"/>
      <c r="H207" s="218"/>
    </row>
    <row r="208" ht="15.75" customHeight="1">
      <c r="A208" s="227" t="s">
        <v>4183</v>
      </c>
      <c r="B208" s="218"/>
      <c r="C208" s="218"/>
      <c r="D208" s="218"/>
      <c r="E208" s="218"/>
      <c r="F208" s="218"/>
      <c r="G208" s="218"/>
      <c r="H208" s="218"/>
    </row>
    <row r="209" ht="15.75" customHeight="1">
      <c r="A209" s="217" t="s">
        <v>3365</v>
      </c>
      <c r="B209" s="217" t="s">
        <v>2993</v>
      </c>
      <c r="C209" s="217" t="s">
        <v>3493</v>
      </c>
      <c r="D209" s="218"/>
      <c r="E209" s="218"/>
      <c r="F209" s="218"/>
      <c r="G209" s="218"/>
      <c r="H209" s="218"/>
    </row>
    <row r="210" ht="15.75" customHeight="1">
      <c r="A210" s="218" t="s">
        <v>4184</v>
      </c>
      <c r="B210" s="218" t="s">
        <v>4185</v>
      </c>
      <c r="C210" s="218" t="s">
        <v>4186</v>
      </c>
      <c r="D210" s="218"/>
      <c r="E210" s="218"/>
      <c r="F210" s="218"/>
      <c r="G210" s="218"/>
      <c r="H210" s="218"/>
    </row>
    <row r="211" ht="15.75" customHeight="1">
      <c r="A211" s="218" t="s">
        <v>1864</v>
      </c>
      <c r="B211" s="218" t="s">
        <v>4187</v>
      </c>
      <c r="C211" s="218" t="s">
        <v>4188</v>
      </c>
      <c r="D211" s="218"/>
      <c r="E211" s="218"/>
      <c r="F211" s="218"/>
      <c r="G211" s="218"/>
      <c r="H211" s="218"/>
    </row>
    <row r="212" ht="15.75" customHeight="1">
      <c r="A212" s="218" t="s">
        <v>4189</v>
      </c>
      <c r="B212" s="218" t="s">
        <v>4190</v>
      </c>
      <c r="C212" s="218" t="s">
        <v>4191</v>
      </c>
      <c r="D212" s="218"/>
      <c r="E212" s="218"/>
      <c r="F212" s="218"/>
      <c r="G212" s="218"/>
      <c r="H212" s="218"/>
    </row>
    <row r="213" ht="15.75" customHeight="1">
      <c r="A213" s="227" t="s">
        <v>4192</v>
      </c>
      <c r="B213" s="218"/>
      <c r="C213" s="218"/>
      <c r="D213" s="218"/>
      <c r="E213" s="218"/>
      <c r="F213" s="218"/>
      <c r="G213" s="218"/>
      <c r="H213" s="218"/>
    </row>
    <row r="214" ht="15.75" customHeight="1">
      <c r="A214" s="218" t="s">
        <v>4189</v>
      </c>
      <c r="B214" s="218" t="s">
        <v>4193</v>
      </c>
      <c r="C214" s="218" t="s">
        <v>4194</v>
      </c>
      <c r="D214" s="218" t="s">
        <v>4195</v>
      </c>
      <c r="E214" s="218" t="s">
        <v>4196</v>
      </c>
      <c r="F214" s="218"/>
      <c r="G214" s="218"/>
      <c r="H214" s="218"/>
    </row>
    <row r="215" ht="15.75" customHeight="1">
      <c r="A215" s="218" t="s">
        <v>4197</v>
      </c>
      <c r="B215" s="218" t="s">
        <v>4198</v>
      </c>
      <c r="C215" s="218" t="s">
        <v>3489</v>
      </c>
      <c r="D215" s="218" t="s">
        <v>4199</v>
      </c>
      <c r="E215" s="218" t="s">
        <v>4200</v>
      </c>
      <c r="F215" s="218"/>
      <c r="G215" s="218"/>
      <c r="H215" s="218"/>
    </row>
    <row r="216" ht="15.75" customHeight="1">
      <c r="A216" s="218" t="s">
        <v>4201</v>
      </c>
      <c r="B216" s="218" t="s">
        <v>4202</v>
      </c>
      <c r="C216" s="218" t="s">
        <v>4203</v>
      </c>
      <c r="D216" s="218" t="s">
        <v>4204</v>
      </c>
      <c r="E216" s="218" t="s">
        <v>4205</v>
      </c>
      <c r="F216" s="218"/>
      <c r="G216" s="218"/>
      <c r="H216" s="218"/>
    </row>
    <row r="217" ht="15.75" customHeight="1">
      <c r="A217" s="218" t="s">
        <v>4206</v>
      </c>
      <c r="B217" s="218" t="s">
        <v>4207</v>
      </c>
      <c r="C217" s="218" t="s">
        <v>4208</v>
      </c>
      <c r="D217" s="218" t="s">
        <v>4209</v>
      </c>
      <c r="E217" s="218" t="s">
        <v>4210</v>
      </c>
      <c r="F217" s="218"/>
      <c r="G217" s="218"/>
      <c r="H217" s="218"/>
    </row>
    <row r="218" ht="15.75" customHeight="1">
      <c r="A218" s="227" t="s">
        <v>4211</v>
      </c>
      <c r="B218" s="218"/>
      <c r="C218" s="218"/>
      <c r="D218" s="218"/>
      <c r="E218" s="218"/>
      <c r="F218" s="218"/>
      <c r="G218" s="218"/>
      <c r="H218" s="218"/>
    </row>
    <row r="219" ht="15.75" customHeight="1">
      <c r="A219" s="218" t="s">
        <v>4212</v>
      </c>
      <c r="B219" s="218" t="s">
        <v>3415</v>
      </c>
      <c r="C219" s="218"/>
      <c r="D219" s="218"/>
      <c r="E219" s="218"/>
      <c r="F219" s="218"/>
      <c r="G219" s="218"/>
      <c r="H219" s="218"/>
    </row>
    <row r="220" ht="15.75" customHeight="1">
      <c r="A220" s="218" t="s">
        <v>4213</v>
      </c>
      <c r="B220" s="218" t="s">
        <v>4214</v>
      </c>
      <c r="C220" s="218"/>
      <c r="D220" s="218"/>
      <c r="E220" s="218"/>
      <c r="F220" s="218"/>
      <c r="G220" s="218"/>
      <c r="H220" s="218"/>
    </row>
    <row r="221" ht="15.75" customHeight="1">
      <c r="A221" s="218" t="s">
        <v>4215</v>
      </c>
      <c r="B221" s="218" t="s">
        <v>4216</v>
      </c>
      <c r="C221" s="218"/>
      <c r="D221" s="218"/>
      <c r="E221" s="218"/>
      <c r="F221" s="218"/>
      <c r="G221" s="218"/>
      <c r="H221" s="218"/>
    </row>
    <row r="222" ht="15.75" customHeight="1">
      <c r="A222" s="218" t="s">
        <v>4217</v>
      </c>
      <c r="B222" s="218" t="s">
        <v>4218</v>
      </c>
      <c r="C222" s="218"/>
      <c r="D222" s="218"/>
      <c r="E222" s="218"/>
      <c r="F222" s="218"/>
      <c r="G222" s="218"/>
      <c r="H222" s="218"/>
    </row>
    <row r="223" ht="15.75" customHeight="1">
      <c r="A223" s="218" t="s">
        <v>4219</v>
      </c>
      <c r="B223" s="218" t="s">
        <v>4220</v>
      </c>
      <c r="C223" s="218"/>
      <c r="D223" s="218"/>
      <c r="E223" s="218"/>
      <c r="F223" s="218"/>
      <c r="G223" s="218"/>
      <c r="H223" s="218"/>
    </row>
    <row r="224" ht="15.75" customHeight="1">
      <c r="A224" s="218" t="s">
        <v>4221</v>
      </c>
      <c r="B224" s="218"/>
      <c r="C224" s="218"/>
      <c r="D224" s="218"/>
      <c r="E224" s="218"/>
      <c r="F224" s="218"/>
      <c r="G224" s="218"/>
      <c r="H224" s="218"/>
    </row>
    <row r="225" ht="15.75" customHeight="1">
      <c r="A225" s="218" t="s">
        <v>4222</v>
      </c>
      <c r="B225" s="218"/>
      <c r="C225" s="218"/>
      <c r="D225" s="218"/>
      <c r="E225" s="218"/>
      <c r="F225" s="218"/>
      <c r="G225" s="218"/>
      <c r="H225" s="218"/>
    </row>
    <row r="226" ht="15.75" customHeight="1">
      <c r="A226" s="227" t="s">
        <v>4223</v>
      </c>
      <c r="B226" s="218"/>
      <c r="C226" s="218"/>
      <c r="D226" s="218"/>
      <c r="E226" s="218"/>
      <c r="F226" s="218"/>
      <c r="G226" s="218"/>
      <c r="H226" s="218"/>
    </row>
    <row r="227" ht="15.75" customHeight="1">
      <c r="A227" s="218" t="s">
        <v>4224</v>
      </c>
      <c r="B227" s="218" t="s">
        <v>4225</v>
      </c>
      <c r="C227" s="218" t="s">
        <v>3493</v>
      </c>
      <c r="D227" s="218" t="s">
        <v>4226</v>
      </c>
      <c r="E227" s="218"/>
      <c r="F227" s="218"/>
      <c r="G227" s="218"/>
      <c r="H227" s="218"/>
    </row>
    <row r="228" ht="15.75" customHeight="1">
      <c r="A228" s="218" t="s">
        <v>4227</v>
      </c>
      <c r="B228" s="218" t="s">
        <v>4228</v>
      </c>
      <c r="C228" s="218" t="s">
        <v>4229</v>
      </c>
      <c r="D228" s="218" t="s">
        <v>4230</v>
      </c>
      <c r="E228" s="218"/>
      <c r="F228" s="218"/>
      <c r="G228" s="218"/>
      <c r="H228" s="218"/>
    </row>
    <row r="229" ht="15.75" customHeight="1">
      <c r="A229" s="218" t="s">
        <v>4231</v>
      </c>
      <c r="B229" s="218" t="s">
        <v>4232</v>
      </c>
      <c r="C229" s="218" t="s">
        <v>4233</v>
      </c>
      <c r="D229" s="218" t="s">
        <v>4234</v>
      </c>
      <c r="E229" s="218"/>
      <c r="F229" s="218"/>
      <c r="G229" s="218"/>
      <c r="H229" s="218"/>
    </row>
    <row r="230" ht="15.75" customHeight="1">
      <c r="A230" s="227" t="s">
        <v>4235</v>
      </c>
      <c r="B230" s="218"/>
      <c r="C230" s="218"/>
      <c r="D230" s="218"/>
      <c r="E230" s="218"/>
      <c r="F230" s="218"/>
      <c r="G230" s="218"/>
      <c r="H230" s="218"/>
    </row>
    <row r="231" ht="15.75" customHeight="1">
      <c r="A231" s="218" t="s">
        <v>4236</v>
      </c>
      <c r="B231" s="218" t="s">
        <v>4237</v>
      </c>
      <c r="C231" s="218" t="s">
        <v>4238</v>
      </c>
      <c r="D231" s="218" t="s">
        <v>3493</v>
      </c>
      <c r="E231" s="218"/>
      <c r="F231" s="218"/>
      <c r="G231" s="218"/>
      <c r="H231" s="218"/>
    </row>
    <row r="232" ht="15.75" customHeight="1">
      <c r="A232" s="218" t="s">
        <v>4239</v>
      </c>
      <c r="B232" s="218" t="s">
        <v>4240</v>
      </c>
      <c r="C232" s="218" t="s">
        <v>4241</v>
      </c>
      <c r="D232" s="218" t="s">
        <v>4242</v>
      </c>
      <c r="E232" s="218"/>
      <c r="F232" s="218"/>
      <c r="G232" s="218"/>
      <c r="H232" s="218"/>
    </row>
    <row r="233" ht="15.75" customHeight="1">
      <c r="A233" s="218" t="s">
        <v>4243</v>
      </c>
      <c r="B233" s="218" t="s">
        <v>4244</v>
      </c>
      <c r="C233" s="218" t="s">
        <v>4245</v>
      </c>
      <c r="D233" s="218" t="s">
        <v>4246</v>
      </c>
      <c r="E233" s="218"/>
      <c r="F233" s="218"/>
      <c r="G233" s="218"/>
      <c r="H233" s="218"/>
    </row>
    <row r="234" ht="15.75" customHeight="1">
      <c r="A234" s="227" t="s">
        <v>4247</v>
      </c>
      <c r="B234" s="218"/>
      <c r="C234" s="218"/>
      <c r="D234" s="218"/>
      <c r="E234" s="218"/>
      <c r="F234" s="218"/>
      <c r="G234" s="218"/>
      <c r="H234" s="218"/>
    </row>
    <row r="235" ht="15.75" customHeight="1">
      <c r="A235" s="217" t="s">
        <v>3365</v>
      </c>
      <c r="B235" s="217" t="s">
        <v>2993</v>
      </c>
      <c r="C235" s="218"/>
      <c r="D235" s="218"/>
      <c r="E235" s="218"/>
      <c r="F235" s="218"/>
      <c r="G235" s="218"/>
      <c r="H235" s="218"/>
    </row>
    <row r="236" ht="15.75" customHeight="1">
      <c r="A236" s="218" t="s">
        <v>4225</v>
      </c>
      <c r="B236" s="218" t="s">
        <v>4248</v>
      </c>
      <c r="C236" s="218"/>
      <c r="D236" s="218"/>
      <c r="E236" s="218"/>
      <c r="F236" s="218"/>
      <c r="G236" s="218"/>
      <c r="H236" s="218"/>
    </row>
    <row r="237" ht="15.75" customHeight="1">
      <c r="A237" s="218" t="s">
        <v>3493</v>
      </c>
      <c r="B237" s="218" t="s">
        <v>4249</v>
      </c>
      <c r="C237" s="218"/>
      <c r="D237" s="218"/>
      <c r="E237" s="218"/>
      <c r="F237" s="218"/>
      <c r="G237" s="218"/>
      <c r="H237" s="218"/>
    </row>
    <row r="238" ht="15.75" customHeight="1">
      <c r="A238" s="218" t="s">
        <v>4250</v>
      </c>
      <c r="B238" s="218" t="s">
        <v>4251</v>
      </c>
      <c r="C238" s="218"/>
      <c r="D238" s="218"/>
      <c r="E238" s="218"/>
      <c r="F238" s="218"/>
      <c r="G238" s="218"/>
      <c r="H238" s="218"/>
    </row>
    <row r="239" ht="15.75" customHeight="1">
      <c r="A239" s="218" t="s">
        <v>3211</v>
      </c>
      <c r="B239" s="218" t="s">
        <v>4252</v>
      </c>
      <c r="C239" s="218"/>
      <c r="D239" s="218"/>
      <c r="E239" s="218"/>
      <c r="F239" s="218"/>
      <c r="G239" s="218"/>
      <c r="H239" s="218"/>
    </row>
    <row r="240" ht="15.75" customHeight="1">
      <c r="A240" s="227" t="s">
        <v>4253</v>
      </c>
      <c r="B240" s="218"/>
      <c r="C240" s="218"/>
      <c r="D240" s="218"/>
      <c r="E240" s="218"/>
      <c r="F240" s="218"/>
      <c r="G240" s="218"/>
      <c r="H240" s="218"/>
    </row>
    <row r="241" ht="15.75" customHeight="1">
      <c r="A241" s="217" t="s">
        <v>3365</v>
      </c>
      <c r="B241" s="217" t="s">
        <v>2993</v>
      </c>
      <c r="C241" s="218"/>
      <c r="D241" s="218"/>
      <c r="E241" s="218"/>
      <c r="F241" s="218"/>
      <c r="G241" s="218"/>
      <c r="H241" s="218"/>
    </row>
    <row r="242" ht="15.75" customHeight="1">
      <c r="A242" s="218" t="s">
        <v>4225</v>
      </c>
      <c r="B242" s="218" t="s">
        <v>4254</v>
      </c>
      <c r="C242" s="218"/>
      <c r="D242" s="218"/>
      <c r="E242" s="218"/>
      <c r="F242" s="218"/>
      <c r="G242" s="218"/>
      <c r="H242" s="218"/>
    </row>
    <row r="243" ht="15.75" customHeight="1">
      <c r="A243" s="218" t="s">
        <v>3481</v>
      </c>
      <c r="B243" s="218" t="s">
        <v>4255</v>
      </c>
      <c r="C243" s="218"/>
      <c r="D243" s="218"/>
      <c r="E243" s="218"/>
      <c r="F243" s="218"/>
      <c r="G243" s="218"/>
      <c r="H243" s="218"/>
    </row>
    <row r="244" ht="15.75" customHeight="1">
      <c r="A244" s="218" t="s">
        <v>4155</v>
      </c>
      <c r="B244" s="218" t="s">
        <v>4256</v>
      </c>
      <c r="C244" s="218"/>
      <c r="D244" s="218"/>
      <c r="E244" s="218"/>
      <c r="F244" s="218"/>
      <c r="G244" s="218"/>
      <c r="H244" s="218"/>
    </row>
    <row r="245" ht="15.75" customHeight="1">
      <c r="A245" s="227" t="s">
        <v>4257</v>
      </c>
      <c r="B245" s="218"/>
      <c r="C245" s="218"/>
      <c r="D245" s="218"/>
      <c r="E245" s="218"/>
      <c r="F245" s="218"/>
      <c r="G245" s="218"/>
      <c r="H245" s="218"/>
    </row>
    <row r="246" ht="15.75" customHeight="1">
      <c r="A246" s="218" t="s">
        <v>4258</v>
      </c>
      <c r="B246" s="218" t="s">
        <v>3211</v>
      </c>
      <c r="C246" s="218" t="s">
        <v>2993</v>
      </c>
      <c r="D246" s="218" t="s">
        <v>1805</v>
      </c>
      <c r="E246" s="218"/>
      <c r="F246" s="218"/>
      <c r="G246" s="218"/>
      <c r="H246" s="218"/>
    </row>
    <row r="247" ht="15.75" customHeight="1">
      <c r="A247" s="217" t="s">
        <v>4259</v>
      </c>
      <c r="B247" s="217" t="s">
        <v>4260</v>
      </c>
      <c r="C247" s="217" t="s">
        <v>4261</v>
      </c>
      <c r="D247" s="217" t="s">
        <v>4262</v>
      </c>
      <c r="E247" s="218"/>
      <c r="F247" s="218"/>
      <c r="G247" s="218"/>
      <c r="H247" s="218"/>
    </row>
    <row r="248" ht="15.75" customHeight="1">
      <c r="A248" s="217" t="s">
        <v>4263</v>
      </c>
      <c r="B248" s="217" t="s">
        <v>4264</v>
      </c>
      <c r="C248" s="217" t="s">
        <v>4265</v>
      </c>
      <c r="D248" s="217" t="s">
        <v>4266</v>
      </c>
      <c r="E248" s="218"/>
      <c r="F248" s="218"/>
      <c r="G248" s="218"/>
      <c r="H248" s="218"/>
    </row>
    <row r="249" ht="15.75" customHeight="1">
      <c r="A249" s="217" t="s">
        <v>4267</v>
      </c>
      <c r="B249" s="217" t="s">
        <v>3639</v>
      </c>
      <c r="C249" s="217" t="s">
        <v>4268</v>
      </c>
      <c r="D249" s="217" t="s">
        <v>4269</v>
      </c>
      <c r="E249" s="218"/>
      <c r="F249" s="218"/>
      <c r="G249" s="218"/>
      <c r="H249" s="218"/>
    </row>
    <row r="250" ht="15.75" customHeight="1">
      <c r="A250" s="227" t="s">
        <v>4270</v>
      </c>
      <c r="B250" s="218"/>
      <c r="C250" s="218"/>
      <c r="D250" s="218"/>
      <c r="E250" s="218"/>
      <c r="F250" s="218"/>
      <c r="G250" s="218"/>
      <c r="H250" s="218"/>
    </row>
    <row r="251" ht="15.75" customHeight="1">
      <c r="A251" s="218" t="s">
        <v>4271</v>
      </c>
      <c r="B251" s="218" t="s">
        <v>4272</v>
      </c>
      <c r="C251" s="218"/>
      <c r="D251" s="218"/>
      <c r="E251" s="218"/>
      <c r="F251" s="218"/>
      <c r="G251" s="218"/>
      <c r="H251" s="218"/>
    </row>
    <row r="252" ht="15.75" customHeight="1">
      <c r="A252" s="218" t="s">
        <v>4273</v>
      </c>
      <c r="B252" s="218" t="s">
        <v>4274</v>
      </c>
      <c r="C252" s="218"/>
      <c r="D252" s="218"/>
      <c r="E252" s="218"/>
      <c r="F252" s="218"/>
      <c r="G252" s="218"/>
      <c r="H252" s="218"/>
    </row>
    <row r="253" ht="15.75" customHeight="1">
      <c r="A253" s="218" t="s">
        <v>4275</v>
      </c>
      <c r="B253" s="218" t="s">
        <v>4276</v>
      </c>
      <c r="C253" s="218"/>
      <c r="D253" s="218"/>
      <c r="E253" s="218"/>
      <c r="F253" s="218"/>
      <c r="G253" s="218"/>
      <c r="H253" s="218"/>
    </row>
    <row r="254" ht="15.75" customHeight="1">
      <c r="A254" s="218" t="s">
        <v>4226</v>
      </c>
      <c r="B254" s="218" t="s">
        <v>4277</v>
      </c>
      <c r="C254" s="218"/>
      <c r="D254" s="218"/>
      <c r="E254" s="218"/>
      <c r="F254" s="218"/>
      <c r="G254" s="218"/>
      <c r="H254" s="218"/>
    </row>
    <row r="255" ht="15.75" customHeight="1"/>
    <row r="256" ht="15.75" customHeight="1"/>
    <row r="257" ht="15.75" customHeight="1"/>
  </sheetData>
  <mergeCells count="25">
    <mergeCell ref="A1:H1"/>
    <mergeCell ref="A2:H2"/>
    <mergeCell ref="A22:H22"/>
    <mergeCell ref="A24:H24"/>
    <mergeCell ref="A25:H25"/>
    <mergeCell ref="A41:H41"/>
    <mergeCell ref="A57:H57"/>
    <mergeCell ref="A59:H59"/>
    <mergeCell ref="A60:H60"/>
    <mergeCell ref="A78:H78"/>
    <mergeCell ref="A80:H80"/>
    <mergeCell ref="A81:H81"/>
    <mergeCell ref="A92:H92"/>
    <mergeCell ref="A94:H94"/>
    <mergeCell ref="A174:H174"/>
    <mergeCell ref="A176:H176"/>
    <mergeCell ref="A183:H183"/>
    <mergeCell ref="A185:H185"/>
    <mergeCell ref="A95:H95"/>
    <mergeCell ref="A121:H121"/>
    <mergeCell ref="A123:H123"/>
    <mergeCell ref="A124:H124"/>
    <mergeCell ref="A144:H144"/>
    <mergeCell ref="A146:H146"/>
    <mergeCell ref="A147:H147"/>
  </mergeCell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43"/>
    <col customWidth="1" min="2" max="2" width="40.0"/>
    <col customWidth="1" min="3" max="3" width="48.0"/>
    <col customWidth="1" min="4" max="4" width="25.0"/>
    <col customWidth="1" min="5" max="5" width="20.0"/>
    <col customWidth="1" min="6" max="8" width="15.0"/>
    <col customWidth="1" min="9" max="26" width="8.71"/>
  </cols>
  <sheetData>
    <row r="1" ht="49.5" customHeight="1">
      <c r="A1" s="215" t="s">
        <v>4278</v>
      </c>
      <c r="B1" s="183"/>
      <c r="C1" s="183"/>
      <c r="D1" s="183"/>
      <c r="E1" s="183"/>
      <c r="F1" s="183"/>
      <c r="G1" s="183"/>
      <c r="H1" s="184"/>
    </row>
    <row r="2">
      <c r="A2" s="216" t="s">
        <v>4279</v>
      </c>
    </row>
    <row r="3">
      <c r="A3" s="115" t="s">
        <v>4280</v>
      </c>
    </row>
    <row r="4">
      <c r="A4" s="217" t="s">
        <v>4281</v>
      </c>
    </row>
    <row r="5">
      <c r="A5" s="218" t="s">
        <v>4282</v>
      </c>
      <c r="B5" s="218"/>
      <c r="C5" s="218" t="s">
        <v>4283</v>
      </c>
      <c r="D5" s="218" t="s">
        <v>4284</v>
      </c>
      <c r="E5" s="218"/>
      <c r="F5" s="218"/>
      <c r="G5" s="218"/>
      <c r="H5" s="218"/>
    </row>
    <row r="6">
      <c r="A6" s="218" t="s">
        <v>4285</v>
      </c>
      <c r="B6" s="218"/>
      <c r="C6" s="218"/>
      <c r="D6" s="218"/>
      <c r="E6" s="218"/>
      <c r="F6" s="218"/>
      <c r="G6" s="218"/>
      <c r="H6" s="218"/>
    </row>
    <row r="7">
      <c r="A7" s="218" t="s">
        <v>4286</v>
      </c>
      <c r="B7" s="218"/>
      <c r="C7" s="218" t="s">
        <v>4283</v>
      </c>
      <c r="D7" s="218" t="s">
        <v>4287</v>
      </c>
      <c r="E7" s="218"/>
      <c r="F7" s="218"/>
      <c r="G7" s="218"/>
      <c r="H7" s="218"/>
    </row>
    <row r="8">
      <c r="A8" s="218" t="s">
        <v>4193</v>
      </c>
      <c r="B8" s="218"/>
      <c r="C8" s="218" t="s">
        <v>1816</v>
      </c>
      <c r="D8" s="218" t="s">
        <v>4288</v>
      </c>
      <c r="E8" s="218"/>
      <c r="F8" s="218"/>
      <c r="G8" s="218"/>
      <c r="H8" s="218"/>
    </row>
    <row r="9">
      <c r="A9" s="218" t="s">
        <v>4193</v>
      </c>
      <c r="B9" s="218"/>
      <c r="C9" s="218" t="s">
        <v>4289</v>
      </c>
      <c r="D9" s="218" t="s">
        <v>4290</v>
      </c>
      <c r="E9" s="218"/>
      <c r="F9" s="218"/>
      <c r="G9" s="218"/>
      <c r="H9" s="218"/>
    </row>
    <row r="10">
      <c r="A10" s="217" t="s">
        <v>4291</v>
      </c>
      <c r="B10" s="218"/>
      <c r="C10" s="218"/>
      <c r="D10" s="218"/>
      <c r="E10" s="218"/>
      <c r="F10" s="218"/>
      <c r="G10" s="218"/>
      <c r="H10" s="218"/>
    </row>
    <row r="11">
      <c r="A11" s="218" t="s">
        <v>4292</v>
      </c>
      <c r="B11" s="218">
        <f>B5-B6</f>
        <v>0</v>
      </c>
      <c r="C11" s="218" t="s">
        <v>4283</v>
      </c>
      <c r="D11" s="218" t="s">
        <v>4293</v>
      </c>
      <c r="E11" s="218"/>
      <c r="F11" s="218"/>
      <c r="G11" s="218"/>
      <c r="H11" s="218"/>
    </row>
    <row r="12">
      <c r="A12" s="218" t="s">
        <v>4294</v>
      </c>
      <c r="B12" s="218">
        <f>B11*0.2828</f>
        <v>0</v>
      </c>
      <c r="C12" s="218" t="s">
        <v>4283</v>
      </c>
      <c r="D12" s="218" t="s">
        <v>4295</v>
      </c>
      <c r="E12" s="218"/>
      <c r="F12" s="218"/>
      <c r="G12" s="218"/>
      <c r="H12" s="218"/>
    </row>
    <row r="13">
      <c r="A13" s="218" t="s">
        <v>4296</v>
      </c>
      <c r="B13" s="218">
        <f>B12*12</f>
        <v>0</v>
      </c>
      <c r="C13" s="218" t="s">
        <v>4283</v>
      </c>
      <c r="D13" s="218" t="s">
        <v>4297</v>
      </c>
      <c r="E13" s="218"/>
      <c r="F13" s="218"/>
      <c r="G13" s="218"/>
      <c r="H13" s="218"/>
    </row>
    <row r="14">
      <c r="A14" s="217" t="s">
        <v>4298</v>
      </c>
      <c r="B14" s="218"/>
      <c r="C14" s="218"/>
      <c r="D14" s="218"/>
      <c r="E14" s="218"/>
      <c r="F14" s="218"/>
      <c r="G14" s="218"/>
      <c r="H14" s="218"/>
    </row>
    <row r="15">
      <c r="A15" s="217" t="s">
        <v>4299</v>
      </c>
      <c r="B15" s="217">
        <f>B12*B7*B8</f>
        <v>0</v>
      </c>
      <c r="C15" s="217" t="s">
        <v>4283</v>
      </c>
      <c r="D15" s="217" t="s">
        <v>4300</v>
      </c>
      <c r="E15" s="218"/>
      <c r="F15" s="218"/>
      <c r="G15" s="218"/>
      <c r="H15" s="218"/>
    </row>
    <row r="16">
      <c r="A16" s="217" t="s">
        <v>4301</v>
      </c>
      <c r="B16" s="218"/>
      <c r="C16" s="218"/>
      <c r="D16" s="218"/>
      <c r="E16" s="218"/>
      <c r="F16" s="218"/>
      <c r="G16" s="218"/>
      <c r="H16" s="218"/>
    </row>
    <row r="17">
      <c r="A17" s="217" t="s">
        <v>3365</v>
      </c>
      <c r="B17" s="217" t="s">
        <v>4302</v>
      </c>
      <c r="C17" s="217" t="s">
        <v>2081</v>
      </c>
      <c r="D17" s="217" t="s">
        <v>13</v>
      </c>
      <c r="E17" s="218"/>
      <c r="F17" s="218"/>
      <c r="G17" s="218"/>
      <c r="H17" s="218"/>
    </row>
    <row r="18">
      <c r="A18" s="218" t="s">
        <v>4303</v>
      </c>
      <c r="B18" s="218" t="s">
        <v>4304</v>
      </c>
      <c r="C18" s="218">
        <f>B16*0.5</f>
        <v>0</v>
      </c>
      <c r="D18" s="218" t="s">
        <v>4305</v>
      </c>
      <c r="E18" s="218" t="str">
        <f>D20/B8</f>
        <v>#VALUE!</v>
      </c>
      <c r="F18" s="218" t="s">
        <v>4283</v>
      </c>
      <c r="G18" s="218"/>
      <c r="H18" s="218"/>
    </row>
    <row r="19">
      <c r="A19" s="218" t="s">
        <v>4306</v>
      </c>
      <c r="B19" s="218" t="s">
        <v>2306</v>
      </c>
      <c r="C19" s="218">
        <f>B16*0.2</f>
        <v>0</v>
      </c>
      <c r="D19" s="218" t="s">
        <v>3934</v>
      </c>
      <c r="E19" s="218"/>
      <c r="F19" s="218"/>
      <c r="G19" s="218"/>
      <c r="H19" s="218"/>
    </row>
    <row r="20">
      <c r="A20" s="218" t="s">
        <v>4307</v>
      </c>
      <c r="B20" s="218" t="s">
        <v>3282</v>
      </c>
      <c r="C20" s="218">
        <f>B16*0.3</f>
        <v>0</v>
      </c>
      <c r="D20" s="218" t="s">
        <v>4308</v>
      </c>
      <c r="E20" s="218"/>
      <c r="F20" s="218"/>
      <c r="G20" s="218"/>
      <c r="H20" s="218"/>
    </row>
    <row r="21" ht="15.75" customHeight="1">
      <c r="A21" s="218" t="s">
        <v>2357</v>
      </c>
      <c r="B21" s="218" t="s">
        <v>4157</v>
      </c>
      <c r="C21" s="218" t="str">
        <f>SUM(C20:C22)</f>
        <v>#REF!</v>
      </c>
      <c r="D21" s="218"/>
      <c r="E21" s="218"/>
      <c r="F21" s="218"/>
      <c r="G21" s="218"/>
      <c r="H21" s="218"/>
    </row>
    <row r="22" ht="15.75" customHeight="1">
      <c r="A22" s="218" t="s">
        <v>4309</v>
      </c>
      <c r="B22" s="218"/>
      <c r="C22" s="218"/>
      <c r="D22" s="218"/>
      <c r="E22" s="218"/>
      <c r="F22" s="218"/>
      <c r="G22" s="218"/>
      <c r="H22" s="218"/>
    </row>
    <row r="23" ht="15.75" customHeight="1">
      <c r="A23" s="218" t="s">
        <v>4310</v>
      </c>
      <c r="B23" s="218">
        <f t="shared" ref="B23:B24" si="1">B25*12</f>
        <v>0</v>
      </c>
      <c r="C23" s="218" t="s">
        <v>4311</v>
      </c>
      <c r="D23" s="218" t="s">
        <v>4312</v>
      </c>
      <c r="E23" s="218"/>
      <c r="F23" s="218"/>
      <c r="G23" s="218"/>
      <c r="H23" s="218"/>
    </row>
    <row r="24" ht="15.75" customHeight="1">
      <c r="A24" s="218" t="s">
        <v>4313</v>
      </c>
      <c r="B24" s="218" t="str">
        <f t="shared" si="1"/>
        <v>#VALUE!</v>
      </c>
      <c r="C24" s="218" t="s">
        <v>4314</v>
      </c>
      <c r="D24" s="218" t="s">
        <v>4315</v>
      </c>
      <c r="E24" s="218"/>
      <c r="F24" s="218"/>
      <c r="G24" s="218"/>
      <c r="H24" s="218"/>
    </row>
    <row r="25" ht="15.75" customHeight="1">
      <c r="A25" s="218" t="s">
        <v>4316</v>
      </c>
      <c r="B25" s="218"/>
      <c r="C25" s="218"/>
      <c r="D25" s="218"/>
      <c r="E25" s="218"/>
      <c r="F25" s="218"/>
      <c r="G25" s="218"/>
      <c r="H25" s="218"/>
    </row>
    <row r="26" ht="15.75" customHeight="1">
      <c r="A26" s="218" t="s">
        <v>4317</v>
      </c>
      <c r="B26" s="218" t="s">
        <v>4318</v>
      </c>
      <c r="C26" s="218" t="s">
        <v>4319</v>
      </c>
      <c r="D26" s="218" t="s">
        <v>4320</v>
      </c>
      <c r="E26" s="218" t="s">
        <v>4321</v>
      </c>
      <c r="F26" s="218" t="s">
        <v>4322</v>
      </c>
      <c r="G26" s="218"/>
      <c r="H26" s="218"/>
    </row>
    <row r="27" ht="15.75" customHeight="1">
      <c r="A27" s="218" t="s">
        <v>4323</v>
      </c>
      <c r="B27" s="218" t="s">
        <v>4324</v>
      </c>
      <c r="C27" s="218" t="s">
        <v>4325</v>
      </c>
      <c r="D27" s="218" t="s">
        <v>4325</v>
      </c>
      <c r="E27" s="218" t="s">
        <v>4326</v>
      </c>
      <c r="F27" s="218" t="s">
        <v>4327</v>
      </c>
      <c r="G27" s="218"/>
      <c r="H27" s="218"/>
    </row>
    <row r="28" ht="15.75" customHeight="1">
      <c r="A28" s="218" t="s">
        <v>4328</v>
      </c>
      <c r="B28" s="218" t="s">
        <v>4329</v>
      </c>
      <c r="C28" s="218" t="s">
        <v>4330</v>
      </c>
      <c r="D28" s="218" t="s">
        <v>4330</v>
      </c>
      <c r="E28" s="218" t="s">
        <v>4331</v>
      </c>
      <c r="F28" s="218" t="s">
        <v>4332</v>
      </c>
      <c r="G28" s="218"/>
      <c r="H28" s="218"/>
    </row>
    <row r="29" ht="15.75" customHeight="1">
      <c r="A29" s="218" t="s">
        <v>2357</v>
      </c>
      <c r="B29" s="218" t="s">
        <v>4333</v>
      </c>
      <c r="C29" s="218" t="s">
        <v>4334</v>
      </c>
      <c r="D29" s="218" t="s">
        <v>4334</v>
      </c>
      <c r="E29" s="218" t="s">
        <v>3287</v>
      </c>
      <c r="F29" s="218" t="s">
        <v>3287</v>
      </c>
      <c r="G29" s="218"/>
      <c r="H29" s="218"/>
    </row>
    <row r="30" ht="15.75" customHeight="1">
      <c r="A30" s="218" t="s">
        <v>4335</v>
      </c>
      <c r="B30" s="218"/>
      <c r="C30" s="218"/>
      <c r="D30" s="218"/>
      <c r="E30" s="218"/>
      <c r="F30" s="218"/>
      <c r="G30" s="218"/>
      <c r="H30" s="218"/>
    </row>
    <row r="31" ht="15.75" customHeight="1">
      <c r="A31" s="218" t="s">
        <v>4336</v>
      </c>
      <c r="B31" s="218"/>
      <c r="C31" s="218"/>
      <c r="D31" s="218"/>
      <c r="E31" s="218"/>
      <c r="F31" s="218"/>
      <c r="G31" s="218"/>
      <c r="H31" s="218"/>
    </row>
    <row r="32" ht="15.75" customHeight="1">
      <c r="A32" s="218" t="s">
        <v>4337</v>
      </c>
      <c r="B32" s="218" t="s">
        <v>4292</v>
      </c>
      <c r="C32" s="218" t="s">
        <v>4338</v>
      </c>
      <c r="D32" s="218"/>
      <c r="E32" s="218"/>
      <c r="F32" s="218"/>
      <c r="G32" s="218"/>
      <c r="H32" s="218"/>
    </row>
    <row r="33" ht="15.75" customHeight="1">
      <c r="A33" s="218" t="s">
        <v>4339</v>
      </c>
      <c r="B33" s="218" t="s">
        <v>4294</v>
      </c>
      <c r="C33" s="218" t="s">
        <v>4340</v>
      </c>
      <c r="D33" s="218"/>
      <c r="E33" s="218"/>
      <c r="F33" s="218"/>
      <c r="G33" s="218"/>
      <c r="H33" s="218"/>
    </row>
    <row r="34" ht="15.75" customHeight="1">
      <c r="A34" s="218" t="s">
        <v>4341</v>
      </c>
      <c r="B34" s="218" t="s">
        <v>4342</v>
      </c>
      <c r="C34" s="218" t="s">
        <v>4343</v>
      </c>
      <c r="D34" s="218"/>
      <c r="E34" s="218"/>
      <c r="F34" s="218"/>
      <c r="G34" s="218"/>
      <c r="H34" s="218"/>
    </row>
    <row r="35" ht="15.75" customHeight="1">
      <c r="B35" s="115" t="s">
        <v>4344</v>
      </c>
      <c r="C35" s="115" t="s">
        <v>4345</v>
      </c>
    </row>
    <row r="36" ht="15.75" customHeight="1">
      <c r="B36" s="115" t="s">
        <v>4306</v>
      </c>
      <c r="C36" s="115" t="s">
        <v>4346</v>
      </c>
    </row>
    <row r="37" ht="15.75" customHeight="1">
      <c r="B37" s="115" t="s">
        <v>4307</v>
      </c>
      <c r="C37" s="115" t="s">
        <v>4347</v>
      </c>
    </row>
    <row r="38" ht="15.75" customHeight="1">
      <c r="A38" s="222" t="s">
        <v>4348</v>
      </c>
    </row>
    <row r="39" ht="15.75" customHeight="1">
      <c r="A39" s="115" t="s">
        <v>4349</v>
      </c>
      <c r="B39" s="115" t="s">
        <v>4350</v>
      </c>
      <c r="C39" s="115" t="s">
        <v>4155</v>
      </c>
    </row>
    <row r="40" ht="15.75" customHeight="1">
      <c r="A40" s="115" t="s">
        <v>4351</v>
      </c>
      <c r="B40" s="115">
        <f>B5-B6</f>
        <v>0</v>
      </c>
      <c r="C40" s="115" t="s">
        <v>4352</v>
      </c>
    </row>
    <row r="41" ht="15.75" customHeight="1">
      <c r="A41" s="115" t="s">
        <v>4353</v>
      </c>
      <c r="B41" s="115">
        <f>B11*0.2828</f>
        <v>0</v>
      </c>
      <c r="C41" s="115" t="s">
        <v>4354</v>
      </c>
    </row>
    <row r="42" ht="15.75" customHeight="1">
      <c r="A42" s="115" t="s">
        <v>4355</v>
      </c>
      <c r="B42" s="115">
        <f>B12*12</f>
        <v>0</v>
      </c>
      <c r="C42" s="115" t="s">
        <v>4356</v>
      </c>
    </row>
    <row r="43" ht="15.75" customHeight="1">
      <c r="A43" s="217" t="s">
        <v>4357</v>
      </c>
      <c r="B43" s="217">
        <f>B12*B7*B8</f>
        <v>0</v>
      </c>
      <c r="C43" s="217" t="s">
        <v>4358</v>
      </c>
    </row>
    <row r="44" ht="15.75" customHeight="1">
      <c r="A44" s="218" t="s">
        <v>4359</v>
      </c>
      <c r="B44" s="218">
        <f>B16*0.5</f>
        <v>0</v>
      </c>
      <c r="C44" s="218" t="s">
        <v>4360</v>
      </c>
      <c r="D44" s="218"/>
      <c r="E44" s="218"/>
      <c r="F44" s="218"/>
      <c r="G44" s="218"/>
      <c r="H44" s="218"/>
    </row>
    <row r="45" ht="15.75" customHeight="1">
      <c r="A45" s="218" t="s">
        <v>4361</v>
      </c>
      <c r="B45" s="218">
        <f>B16*0.2</f>
        <v>0</v>
      </c>
      <c r="C45" s="218" t="s">
        <v>4362</v>
      </c>
      <c r="D45" s="218"/>
      <c r="E45" s="218"/>
      <c r="F45" s="218"/>
      <c r="G45" s="218"/>
      <c r="H45" s="218"/>
    </row>
    <row r="46" ht="15.75" customHeight="1">
      <c r="A46" s="218" t="s">
        <v>4363</v>
      </c>
      <c r="B46" s="218">
        <f>B16*0.3</f>
        <v>0</v>
      </c>
      <c r="C46" s="218" t="s">
        <v>4364</v>
      </c>
      <c r="D46" s="218"/>
      <c r="E46" s="218"/>
      <c r="F46" s="218"/>
      <c r="G46" s="218"/>
      <c r="H46" s="218"/>
    </row>
    <row r="47" ht="15.75" customHeight="1">
      <c r="A47" s="218" t="s">
        <v>4365</v>
      </c>
      <c r="B47" s="218" t="str">
        <f>SUM(C20:C22)</f>
        <v>#REF!</v>
      </c>
      <c r="C47" s="218"/>
      <c r="D47" s="218"/>
      <c r="E47" s="218"/>
      <c r="F47" s="218"/>
      <c r="G47" s="218"/>
      <c r="H47" s="218"/>
    </row>
    <row r="48" ht="15.75" customHeight="1">
      <c r="A48" s="218" t="s">
        <v>4366</v>
      </c>
      <c r="B48" s="218" t="str">
        <f>IF(ABS(B16-C23)&lt;1,"✓合計一致","✗エラー")</f>
        <v>#VALUE!</v>
      </c>
      <c r="C48" s="218"/>
      <c r="D48" s="218"/>
      <c r="E48" s="218"/>
      <c r="F48" s="218"/>
      <c r="G48" s="218"/>
      <c r="H48" s="218"/>
    </row>
    <row r="49" ht="15.75" customHeight="1">
      <c r="A49" s="218" t="s">
        <v>4367</v>
      </c>
      <c r="B49" s="218"/>
      <c r="C49" s="218"/>
      <c r="D49" s="218"/>
      <c r="E49" s="218"/>
      <c r="F49" s="218"/>
      <c r="G49" s="218"/>
      <c r="H49" s="218"/>
    </row>
    <row r="50" ht="15.75" customHeight="1">
      <c r="A50" s="218" t="s">
        <v>4368</v>
      </c>
      <c r="B50" s="218" t="str">
        <f>IF(B6&gt;B5,"✓正常","✗エラー:変更後&gt;変更前")</f>
        <v>✗エラー:変更後&gt;変更前</v>
      </c>
      <c r="C50" s="218"/>
      <c r="D50" s="218"/>
      <c r="E50" s="218"/>
      <c r="F50" s="218"/>
      <c r="G50" s="218"/>
      <c r="H50" s="218"/>
    </row>
    <row r="51" ht="15.75" customHeight="1">
      <c r="A51" s="218" t="s">
        <v>4369</v>
      </c>
      <c r="B51" s="218" t="str">
        <f>IF(B11&gt;0,"✓正常","✗エラー:差額が0以下")</f>
        <v>✗エラー:差額が0以下</v>
      </c>
      <c r="C51" s="218"/>
      <c r="D51" s="218"/>
      <c r="E51" s="218"/>
      <c r="F51" s="218"/>
      <c r="G51" s="218"/>
      <c r="H51" s="218"/>
    </row>
    <row r="52" ht="15.75" customHeight="1">
      <c r="A52" s="218" t="s">
        <v>4370</v>
      </c>
      <c r="B52" s="218" t="str">
        <f>IF(B7&gt;=1,"✓正常","✗エラー:月数が0")</f>
        <v>✗エラー:月数が0</v>
      </c>
      <c r="C52" s="218"/>
      <c r="D52" s="218"/>
      <c r="E52" s="218"/>
      <c r="F52" s="218"/>
      <c r="G52" s="218"/>
      <c r="H52" s="218"/>
    </row>
    <row r="53" ht="15.75" customHeight="1">
      <c r="A53" s="218" t="s">
        <v>4371</v>
      </c>
      <c r="B53" s="218" t="str">
        <f>IF(B8&gt;=1,"✓正常","✗エラー:人数が0")</f>
        <v>✗エラー:人数が0</v>
      </c>
      <c r="C53" s="218"/>
      <c r="D53" s="218"/>
      <c r="E53" s="218"/>
      <c r="F53" s="218"/>
      <c r="G53" s="218"/>
      <c r="H53" s="218"/>
    </row>
    <row r="54" ht="15.75" customHeight="1">
      <c r="A54" s="227" t="s">
        <v>4372</v>
      </c>
      <c r="B54" s="218"/>
      <c r="C54" s="218"/>
      <c r="D54" s="218"/>
      <c r="E54" s="218"/>
      <c r="F54" s="218"/>
      <c r="G54" s="218"/>
      <c r="H54" s="218"/>
    </row>
    <row r="55" ht="15.75" customHeight="1">
      <c r="A55" s="218" t="s">
        <v>3973</v>
      </c>
      <c r="B55" s="218" t="s">
        <v>4373</v>
      </c>
      <c r="C55" s="218" t="s">
        <v>2168</v>
      </c>
      <c r="D55" s="218" t="s">
        <v>1153</v>
      </c>
      <c r="E55" s="218" t="s">
        <v>2357</v>
      </c>
      <c r="F55" s="218"/>
      <c r="G55" s="218"/>
      <c r="H55" s="218"/>
    </row>
    <row r="56" ht="15.75" customHeight="1">
      <c r="A56" s="218" t="s">
        <v>4374</v>
      </c>
      <c r="B56" s="218">
        <f>B16*0.15</f>
        <v>0</v>
      </c>
      <c r="C56" s="218">
        <f>B16*0.05</f>
        <v>0</v>
      </c>
      <c r="D56" s="218">
        <f>B16*0</f>
        <v>0</v>
      </c>
      <c r="E56" s="218">
        <f t="shared" ref="E56:E58" si="2">SUM(B65:E65)</f>
        <v>0</v>
      </c>
      <c r="F56" s="218"/>
      <c r="G56" s="218"/>
      <c r="H56" s="218"/>
    </row>
    <row r="57" ht="15.75" customHeight="1">
      <c r="A57" s="218" t="s">
        <v>4375</v>
      </c>
      <c r="B57" s="218">
        <f>B16*0.14</f>
        <v>0</v>
      </c>
      <c r="C57" s="218">
        <f>B16*0.05</f>
        <v>0</v>
      </c>
      <c r="D57" s="218">
        <f>B16*0.01</f>
        <v>0</v>
      </c>
      <c r="E57" s="218">
        <f t="shared" si="2"/>
        <v>0</v>
      </c>
      <c r="F57" s="218"/>
      <c r="G57" s="218"/>
      <c r="H57" s="218"/>
    </row>
    <row r="58" ht="15.75" customHeight="1">
      <c r="A58" s="218" t="s">
        <v>4376</v>
      </c>
      <c r="B58" s="218">
        <f>B16*0.12</f>
        <v>0</v>
      </c>
      <c r="C58" s="218">
        <f>B16*0.05</f>
        <v>0</v>
      </c>
      <c r="D58" s="218">
        <f>B16*0.03</f>
        <v>0</v>
      </c>
      <c r="E58" s="218">
        <f t="shared" si="2"/>
        <v>0</v>
      </c>
      <c r="F58" s="218"/>
      <c r="G58" s="218"/>
      <c r="H58" s="218"/>
    </row>
    <row r="59" ht="15.75" customHeight="1">
      <c r="A59" s="227" t="s">
        <v>4377</v>
      </c>
      <c r="B59" s="218"/>
      <c r="C59" s="218"/>
      <c r="D59" s="218"/>
      <c r="E59" s="218"/>
      <c r="F59" s="218"/>
      <c r="G59" s="218"/>
      <c r="H59" s="218"/>
    </row>
    <row r="60" ht="15.75" customHeight="1">
      <c r="A60" s="218" t="s">
        <v>4378</v>
      </c>
      <c r="B60" s="218" t="s">
        <v>4379</v>
      </c>
      <c r="C60" s="218"/>
      <c r="D60" s="218"/>
      <c r="E60" s="218"/>
      <c r="F60" s="218"/>
      <c r="G60" s="218"/>
      <c r="H60" s="218"/>
    </row>
    <row r="61" ht="15.75" customHeight="1">
      <c r="A61" s="217" t="s">
        <v>3365</v>
      </c>
      <c r="B61" s="217" t="s">
        <v>2081</v>
      </c>
      <c r="C61" s="218"/>
      <c r="D61" s="218"/>
      <c r="E61" s="218"/>
      <c r="F61" s="218"/>
      <c r="G61" s="218"/>
      <c r="H61" s="218"/>
    </row>
    <row r="62" ht="15.75" customHeight="1">
      <c r="A62" s="218" t="s">
        <v>4380</v>
      </c>
      <c r="B62" s="218" t="s">
        <v>4381</v>
      </c>
      <c r="C62" s="218"/>
      <c r="D62" s="218"/>
      <c r="E62" s="218"/>
      <c r="F62" s="218"/>
      <c r="G62" s="218"/>
      <c r="H62" s="218"/>
    </row>
    <row r="63" ht="15.75" customHeight="1">
      <c r="A63" s="218" t="s">
        <v>4382</v>
      </c>
      <c r="B63" s="218"/>
      <c r="C63" s="218"/>
      <c r="D63" s="218"/>
      <c r="E63" s="218"/>
      <c r="F63" s="218"/>
      <c r="G63" s="218"/>
      <c r="H63" s="218"/>
    </row>
    <row r="64" ht="15.75" customHeight="1">
      <c r="A64" s="218" t="s">
        <v>4383</v>
      </c>
      <c r="B64" s="218" t="s">
        <v>4384</v>
      </c>
      <c r="C64" s="218"/>
      <c r="D64" s="218"/>
      <c r="E64" s="218"/>
      <c r="F64" s="218"/>
      <c r="G64" s="218"/>
      <c r="H64" s="218"/>
    </row>
    <row r="65" ht="15.75" customHeight="1">
      <c r="A65" s="218" t="s">
        <v>4385</v>
      </c>
      <c r="B65" s="218" t="s">
        <v>4386</v>
      </c>
      <c r="C65" s="218"/>
      <c r="D65" s="218"/>
      <c r="E65" s="218"/>
      <c r="F65" s="218"/>
      <c r="G65" s="218"/>
      <c r="H65" s="218"/>
    </row>
    <row r="66" ht="15.75" customHeight="1">
      <c r="A66" s="218" t="s">
        <v>4387</v>
      </c>
      <c r="B66" s="218" t="s">
        <v>4381</v>
      </c>
      <c r="C66" s="218" t="s">
        <v>4388</v>
      </c>
      <c r="D66" s="218"/>
      <c r="E66" s="218"/>
      <c r="F66" s="218"/>
      <c r="G66" s="218"/>
      <c r="H66" s="218"/>
    </row>
    <row r="67" ht="15.75" customHeight="1">
      <c r="A67" s="230" t="s">
        <v>4389</v>
      </c>
      <c r="B67" s="230"/>
      <c r="C67" s="230"/>
      <c r="D67" s="230"/>
      <c r="E67" s="230"/>
      <c r="F67" s="230"/>
      <c r="G67" s="230"/>
      <c r="H67" s="230"/>
    </row>
    <row r="68" ht="15.75" customHeight="1">
      <c r="A68" s="231" t="s">
        <v>4390</v>
      </c>
      <c r="B68" s="231" t="s">
        <v>4391</v>
      </c>
      <c r="C68" s="231" t="s">
        <v>4392</v>
      </c>
      <c r="D68" s="231" t="s">
        <v>4393</v>
      </c>
      <c r="E68" s="231" t="s">
        <v>4394</v>
      </c>
      <c r="F68" s="231" t="s">
        <v>4395</v>
      </c>
      <c r="G68" s="231" t="s">
        <v>4396</v>
      </c>
      <c r="H68" s="231" t="s">
        <v>4397</v>
      </c>
    </row>
    <row r="69" ht="15.75" customHeight="1">
      <c r="A69" s="231">
        <v>1.0</v>
      </c>
      <c r="B69" s="231"/>
      <c r="C69" s="231"/>
      <c r="D69" s="231"/>
      <c r="E69" s="231"/>
      <c r="F69" s="231"/>
      <c r="G69" s="231" t="str">
        <f t="shared" ref="G69:G168" si="3">IF(ISBLANK(B6),"",D6-E6)</f>
        <v/>
      </c>
      <c r="H69" s="231" t="str">
        <f t="shared" ref="H69:H168" si="4">IF(ISBLANK(B6),"",G6*0.2828)</f>
        <v/>
      </c>
    </row>
    <row r="70" ht="15.75" customHeight="1">
      <c r="A70" s="231">
        <v>2.0</v>
      </c>
      <c r="B70" s="231"/>
      <c r="C70" s="231"/>
      <c r="D70" s="231"/>
      <c r="E70" s="231"/>
      <c r="F70" s="231"/>
      <c r="G70" s="231" t="str">
        <f t="shared" si="3"/>
        <v/>
      </c>
      <c r="H70" s="231" t="str">
        <f t="shared" si="4"/>
        <v/>
      </c>
    </row>
    <row r="71" ht="15.75" customHeight="1">
      <c r="A71" s="231">
        <v>3.0</v>
      </c>
      <c r="B71" s="231"/>
      <c r="C71" s="231"/>
      <c r="D71" s="231"/>
      <c r="E71" s="231"/>
      <c r="F71" s="231"/>
      <c r="G71" s="231" t="str">
        <f t="shared" si="3"/>
        <v/>
      </c>
      <c r="H71" s="231" t="str">
        <f t="shared" si="4"/>
        <v/>
      </c>
    </row>
    <row r="72" ht="15.75" customHeight="1">
      <c r="A72" s="231">
        <v>4.0</v>
      </c>
      <c r="B72" s="231"/>
      <c r="C72" s="231"/>
      <c r="D72" s="231"/>
      <c r="E72" s="231"/>
      <c r="F72" s="231"/>
      <c r="G72" s="231" t="str">
        <f t="shared" si="3"/>
        <v/>
      </c>
      <c r="H72" s="231" t="str">
        <f t="shared" si="4"/>
        <v/>
      </c>
    </row>
    <row r="73" ht="15.75" customHeight="1">
      <c r="A73" s="231">
        <v>5.0</v>
      </c>
      <c r="B73" s="231"/>
      <c r="C73" s="231"/>
      <c r="D73" s="231"/>
      <c r="E73" s="231"/>
      <c r="F73" s="231"/>
      <c r="G73" s="231" t="str">
        <f t="shared" si="3"/>
        <v/>
      </c>
      <c r="H73" s="231" t="str">
        <f t="shared" si="4"/>
        <v/>
      </c>
    </row>
    <row r="74" ht="15.75" customHeight="1">
      <c r="A74" s="231">
        <v>6.0</v>
      </c>
      <c r="B74" s="231"/>
      <c r="C74" s="231"/>
      <c r="D74" s="231"/>
      <c r="E74" s="231"/>
      <c r="F74" s="231"/>
      <c r="G74" s="231" t="str">
        <f t="shared" si="3"/>
        <v>#VALUE!</v>
      </c>
      <c r="H74" s="231">
        <f t="shared" si="4"/>
        <v>0</v>
      </c>
    </row>
    <row r="75" ht="15.75" customHeight="1">
      <c r="A75" s="231">
        <v>7.0</v>
      </c>
      <c r="B75" s="231"/>
      <c r="C75" s="231"/>
      <c r="D75" s="231"/>
      <c r="E75" s="231"/>
      <c r="F75" s="231"/>
      <c r="G75" s="231" t="str">
        <f t="shared" si="3"/>
        <v>#VALUE!</v>
      </c>
      <c r="H75" s="231">
        <f t="shared" si="4"/>
        <v>0</v>
      </c>
    </row>
    <row r="76" ht="15.75" customHeight="1">
      <c r="A76" s="231">
        <v>8.0</v>
      </c>
      <c r="B76" s="231"/>
      <c r="C76" s="231"/>
      <c r="D76" s="231"/>
      <c r="E76" s="231"/>
      <c r="F76" s="231"/>
      <c r="G76" s="231" t="str">
        <f t="shared" si="3"/>
        <v>#VALUE!</v>
      </c>
      <c r="H76" s="231">
        <f t="shared" si="4"/>
        <v>0</v>
      </c>
    </row>
    <row r="77" ht="15.75" customHeight="1">
      <c r="A77" s="231">
        <v>9.0</v>
      </c>
      <c r="B77" s="231"/>
      <c r="C77" s="231"/>
      <c r="D77" s="231"/>
      <c r="E77" s="231"/>
      <c r="F77" s="231"/>
      <c r="G77" s="231" t="str">
        <f t="shared" si="3"/>
        <v/>
      </c>
      <c r="H77" s="231" t="str">
        <f t="shared" si="4"/>
        <v/>
      </c>
    </row>
    <row r="78" ht="15.75" customHeight="1">
      <c r="A78" s="231">
        <v>10.0</v>
      </c>
      <c r="B78" s="231"/>
      <c r="C78" s="231"/>
      <c r="D78" s="231"/>
      <c r="E78" s="231"/>
      <c r="F78" s="231"/>
      <c r="G78" s="231" t="str">
        <f t="shared" si="3"/>
        <v>#VALUE!</v>
      </c>
      <c r="H78" s="231">
        <f t="shared" si="4"/>
        <v>0</v>
      </c>
    </row>
    <row r="79" ht="15.75" customHeight="1">
      <c r="A79" s="231">
        <v>11.0</v>
      </c>
      <c r="B79" s="231"/>
      <c r="C79" s="231"/>
      <c r="D79" s="231"/>
      <c r="E79" s="231"/>
      <c r="F79" s="231"/>
      <c r="G79" s="231" t="str">
        <f t="shared" si="3"/>
        <v/>
      </c>
      <c r="H79" s="231" t="str">
        <f t="shared" si="4"/>
        <v/>
      </c>
    </row>
    <row r="80" ht="15.75" customHeight="1">
      <c r="A80" s="231">
        <v>12.0</v>
      </c>
      <c r="B80" s="231"/>
      <c r="C80" s="231"/>
      <c r="D80" s="231"/>
      <c r="E80" s="231"/>
      <c r="F80" s="231"/>
      <c r="G80" s="231" t="str">
        <f t="shared" si="3"/>
        <v>#VALUE!</v>
      </c>
      <c r="H80" s="231">
        <f t="shared" si="4"/>
        <v>0</v>
      </c>
    </row>
    <row r="81" ht="15.75" customHeight="1">
      <c r="A81" s="231">
        <v>13.0</v>
      </c>
      <c r="B81" s="231"/>
      <c r="C81" s="231"/>
      <c r="D81" s="231"/>
      <c r="E81" s="231"/>
      <c r="F81" s="231"/>
      <c r="G81" s="231" t="str">
        <f t="shared" si="3"/>
        <v>#VALUE!</v>
      </c>
      <c r="H81" s="231">
        <f t="shared" si="4"/>
        <v>0</v>
      </c>
    </row>
    <row r="82" ht="15.75" customHeight="1">
      <c r="A82" s="231">
        <v>14.0</v>
      </c>
      <c r="B82" s="231"/>
      <c r="C82" s="231"/>
      <c r="D82" s="231"/>
      <c r="E82" s="231"/>
      <c r="F82" s="231"/>
      <c r="G82" s="231" t="str">
        <f t="shared" si="3"/>
        <v>#VALUE!</v>
      </c>
      <c r="H82" s="231">
        <f t="shared" si="4"/>
        <v>0</v>
      </c>
    </row>
    <row r="83" ht="15.75" customHeight="1">
      <c r="A83" s="231">
        <v>15.0</v>
      </c>
      <c r="B83" s="231"/>
      <c r="C83" s="231"/>
      <c r="D83" s="231"/>
      <c r="E83" s="231"/>
      <c r="F83" s="231"/>
      <c r="G83" s="231" t="str">
        <f t="shared" si="3"/>
        <v>#VALUE!</v>
      </c>
      <c r="H83" s="231">
        <f t="shared" si="4"/>
        <v>0</v>
      </c>
    </row>
    <row r="84" ht="15.75" customHeight="1">
      <c r="A84" s="231">
        <v>16.0</v>
      </c>
      <c r="B84" s="231"/>
      <c r="C84" s="231"/>
      <c r="D84" s="231"/>
      <c r="E84" s="231"/>
      <c r="F84" s="231"/>
      <c r="G84" s="231">
        <f t="shared" si="3"/>
        <v>0</v>
      </c>
      <c r="H84" s="231">
        <f t="shared" si="4"/>
        <v>0</v>
      </c>
    </row>
    <row r="85" ht="15.75" customHeight="1">
      <c r="A85" s="231">
        <v>17.0</v>
      </c>
      <c r="B85" s="231"/>
      <c r="C85" s="231"/>
      <c r="D85" s="231"/>
      <c r="E85" s="231"/>
      <c r="F85" s="231"/>
      <c r="G85" s="231" t="str">
        <f t="shared" si="3"/>
        <v/>
      </c>
      <c r="H85" s="231" t="str">
        <f t="shared" si="4"/>
        <v/>
      </c>
    </row>
    <row r="86" ht="15.75" customHeight="1">
      <c r="A86" s="231">
        <v>18.0</v>
      </c>
      <c r="B86" s="231"/>
      <c r="C86" s="231"/>
      <c r="D86" s="231"/>
      <c r="E86" s="231"/>
      <c r="F86" s="231"/>
      <c r="G86" s="231" t="str">
        <f t="shared" si="3"/>
        <v>#VALUE!</v>
      </c>
      <c r="H86" s="231">
        <f t="shared" si="4"/>
        <v>0</v>
      </c>
    </row>
    <row r="87" ht="15.75" customHeight="1">
      <c r="A87" s="231">
        <v>19.0</v>
      </c>
      <c r="B87" s="231"/>
      <c r="C87" s="231"/>
      <c r="D87" s="231"/>
      <c r="E87" s="231"/>
      <c r="F87" s="231"/>
      <c r="G87" s="231" t="str">
        <f t="shared" si="3"/>
        <v>#VALUE!</v>
      </c>
      <c r="H87" s="231">
        <f t="shared" si="4"/>
        <v>0</v>
      </c>
    </row>
    <row r="88" ht="15.75" customHeight="1">
      <c r="A88" s="231">
        <v>20.0</v>
      </c>
      <c r="B88" s="231"/>
      <c r="C88" s="231"/>
      <c r="D88" s="231"/>
      <c r="E88" s="231"/>
      <c r="F88" s="231"/>
      <c r="G88" s="231" t="str">
        <f t="shared" si="3"/>
        <v/>
      </c>
      <c r="H88" s="231" t="str">
        <f t="shared" si="4"/>
        <v/>
      </c>
    </row>
    <row r="89" ht="15.75" customHeight="1">
      <c r="A89" s="231">
        <v>21.0</v>
      </c>
      <c r="B89" s="231"/>
      <c r="C89" s="231"/>
      <c r="D89" s="231"/>
      <c r="E89" s="231"/>
      <c r="F89" s="231"/>
      <c r="G89" s="231" t="str">
        <f t="shared" si="3"/>
        <v>#VALUE!</v>
      </c>
      <c r="H89" s="231">
        <f t="shared" si="4"/>
        <v>0</v>
      </c>
    </row>
    <row r="90" ht="15.75" customHeight="1">
      <c r="A90" s="231">
        <v>22.0</v>
      </c>
      <c r="B90" s="231"/>
      <c r="C90" s="231"/>
      <c r="D90" s="231"/>
      <c r="E90" s="231"/>
      <c r="F90" s="231"/>
      <c r="G90" s="231" t="str">
        <f t="shared" si="3"/>
        <v>#VALUE!</v>
      </c>
      <c r="H90" s="231">
        <f t="shared" si="4"/>
        <v>0</v>
      </c>
    </row>
    <row r="91" ht="15.75" customHeight="1">
      <c r="A91" s="231">
        <v>23.0</v>
      </c>
      <c r="B91" s="231"/>
      <c r="C91" s="231"/>
      <c r="D91" s="231"/>
      <c r="E91" s="231"/>
      <c r="F91" s="231"/>
      <c r="G91" s="231" t="str">
        <f t="shared" si="3"/>
        <v>#VALUE!</v>
      </c>
      <c r="H91" s="231">
        <f t="shared" si="4"/>
        <v>0</v>
      </c>
    </row>
    <row r="92" ht="15.75" customHeight="1">
      <c r="A92" s="231">
        <v>24.0</v>
      </c>
      <c r="B92" s="231"/>
      <c r="C92" s="231"/>
      <c r="D92" s="231"/>
      <c r="E92" s="231"/>
      <c r="F92" s="231"/>
      <c r="G92" s="231" t="str">
        <f t="shared" si="3"/>
        <v>#VALUE!</v>
      </c>
      <c r="H92" s="231">
        <f t="shared" si="4"/>
        <v>0</v>
      </c>
    </row>
    <row r="93" ht="15.75" customHeight="1">
      <c r="A93" s="231">
        <v>25.0</v>
      </c>
      <c r="B93" s="231"/>
      <c r="C93" s="231"/>
      <c r="D93" s="231"/>
      <c r="E93" s="231"/>
      <c r="F93" s="231"/>
      <c r="G93" s="231" t="str">
        <f t="shared" si="3"/>
        <v/>
      </c>
      <c r="H93" s="231" t="str">
        <f t="shared" si="4"/>
        <v/>
      </c>
    </row>
    <row r="94" ht="15.75" customHeight="1">
      <c r="A94" s="231">
        <v>26.0</v>
      </c>
      <c r="B94" s="231"/>
      <c r="C94" s="231"/>
      <c r="D94" s="231"/>
      <c r="E94" s="231"/>
      <c r="F94" s="231"/>
      <c r="G94" s="231" t="str">
        <f t="shared" si="3"/>
        <v/>
      </c>
      <c r="H94" s="231" t="str">
        <f t="shared" si="4"/>
        <v/>
      </c>
    </row>
    <row r="95" ht="15.75" customHeight="1">
      <c r="A95" s="231">
        <v>27.0</v>
      </c>
      <c r="B95" s="231"/>
      <c r="C95" s="231"/>
      <c r="D95" s="231"/>
      <c r="E95" s="231"/>
      <c r="F95" s="231"/>
      <c r="G95" s="231">
        <f t="shared" si="3"/>
        <v>0</v>
      </c>
      <c r="H95" s="231">
        <f t="shared" si="4"/>
        <v>0</v>
      </c>
    </row>
    <row r="96" ht="15.75" customHeight="1">
      <c r="A96" s="231">
        <v>28.0</v>
      </c>
      <c r="B96" s="231"/>
      <c r="C96" s="231"/>
      <c r="D96" s="231"/>
      <c r="E96" s="231"/>
      <c r="F96" s="231"/>
      <c r="G96" s="231">
        <f t="shared" si="3"/>
        <v>0</v>
      </c>
      <c r="H96" s="231">
        <f t="shared" si="4"/>
        <v>0</v>
      </c>
    </row>
    <row r="97" ht="15.75" customHeight="1">
      <c r="A97" s="231">
        <v>29.0</v>
      </c>
      <c r="B97" s="231"/>
      <c r="C97" s="231"/>
      <c r="D97" s="231"/>
      <c r="E97" s="231"/>
      <c r="F97" s="231"/>
      <c r="G97" s="231">
        <f t="shared" si="3"/>
        <v>0</v>
      </c>
      <c r="H97" s="231">
        <f t="shared" si="4"/>
        <v>0</v>
      </c>
    </row>
    <row r="98" ht="15.75" customHeight="1">
      <c r="A98" s="231">
        <v>30.0</v>
      </c>
      <c r="B98" s="231"/>
      <c r="C98" s="231"/>
      <c r="D98" s="231"/>
      <c r="E98" s="231"/>
      <c r="F98" s="231"/>
      <c r="G98" s="231">
        <f t="shared" si="3"/>
        <v>0</v>
      </c>
      <c r="H98" s="231">
        <f t="shared" si="4"/>
        <v>0</v>
      </c>
    </row>
    <row r="99" ht="15.75" customHeight="1">
      <c r="A99" s="231">
        <v>31.0</v>
      </c>
      <c r="B99" s="231"/>
      <c r="C99" s="231"/>
      <c r="D99" s="231"/>
      <c r="E99" s="231"/>
      <c r="F99" s="231"/>
      <c r="G99" s="231">
        <f t="shared" si="3"/>
        <v>0</v>
      </c>
      <c r="H99" s="231">
        <f t="shared" si="4"/>
        <v>0</v>
      </c>
    </row>
    <row r="100" ht="15.75" customHeight="1">
      <c r="A100" s="231">
        <v>32.0</v>
      </c>
      <c r="B100" s="231"/>
      <c r="C100" s="231"/>
      <c r="D100" s="231"/>
      <c r="E100" s="231"/>
      <c r="F100" s="231"/>
      <c r="G100" s="231">
        <f t="shared" si="3"/>
        <v>0</v>
      </c>
      <c r="H100" s="231">
        <f t="shared" si="4"/>
        <v>0</v>
      </c>
    </row>
    <row r="101" ht="15.75" customHeight="1">
      <c r="A101" s="231">
        <v>33.0</v>
      </c>
      <c r="B101" s="231"/>
      <c r="C101" s="231"/>
      <c r="D101" s="231"/>
      <c r="E101" s="231"/>
      <c r="F101" s="231"/>
      <c r="G101" s="231" t="str">
        <f t="shared" si="3"/>
        <v/>
      </c>
      <c r="H101" s="231" t="str">
        <f t="shared" si="4"/>
        <v/>
      </c>
    </row>
    <row r="102" ht="15.75" customHeight="1">
      <c r="A102" s="231">
        <v>34.0</v>
      </c>
      <c r="B102" s="231"/>
      <c r="C102" s="231"/>
      <c r="D102" s="231"/>
      <c r="E102" s="231"/>
      <c r="F102" s="231"/>
      <c r="G102" s="231">
        <f t="shared" si="3"/>
        <v>0</v>
      </c>
      <c r="H102" s="231">
        <f t="shared" si="4"/>
        <v>0</v>
      </c>
    </row>
    <row r="103" ht="15.75" customHeight="1">
      <c r="A103" s="231">
        <v>35.0</v>
      </c>
      <c r="B103" s="231"/>
      <c r="C103" s="231"/>
      <c r="D103" s="231"/>
      <c r="E103" s="231"/>
      <c r="F103" s="231"/>
      <c r="G103" s="231">
        <f t="shared" si="3"/>
        <v>0</v>
      </c>
      <c r="H103" s="231">
        <f t="shared" si="4"/>
        <v>0</v>
      </c>
    </row>
    <row r="104" ht="15.75" customHeight="1">
      <c r="A104" s="231">
        <v>36.0</v>
      </c>
      <c r="B104" s="231"/>
      <c r="C104" s="231"/>
      <c r="D104" s="231"/>
      <c r="E104" s="231"/>
      <c r="F104" s="231"/>
      <c r="G104" s="231">
        <f t="shared" si="3"/>
        <v>0</v>
      </c>
      <c r="H104" s="231">
        <f t="shared" si="4"/>
        <v>0</v>
      </c>
    </row>
    <row r="105" ht="15.75" customHeight="1">
      <c r="A105" s="231">
        <v>37.0</v>
      </c>
      <c r="B105" s="231"/>
      <c r="C105" s="231"/>
      <c r="D105" s="231"/>
      <c r="E105" s="231"/>
      <c r="F105" s="231"/>
      <c r="G105" s="231">
        <f t="shared" si="3"/>
        <v>0</v>
      </c>
      <c r="H105" s="231">
        <f t="shared" si="4"/>
        <v>0</v>
      </c>
    </row>
    <row r="106" ht="15.75" customHeight="1">
      <c r="A106" s="231">
        <v>38.0</v>
      </c>
      <c r="B106" s="231"/>
      <c r="C106" s="231"/>
      <c r="D106" s="231"/>
      <c r="E106" s="231"/>
      <c r="F106" s="231"/>
      <c r="G106" s="231">
        <f t="shared" si="3"/>
        <v>0</v>
      </c>
      <c r="H106" s="231">
        <f t="shared" si="4"/>
        <v>0</v>
      </c>
    </row>
    <row r="107" ht="15.75" customHeight="1">
      <c r="A107" s="231">
        <v>39.0</v>
      </c>
      <c r="B107" s="231"/>
      <c r="C107" s="231"/>
      <c r="D107" s="231"/>
      <c r="E107" s="231"/>
      <c r="F107" s="231"/>
      <c r="G107" s="231">
        <f t="shared" si="3"/>
        <v>0</v>
      </c>
      <c r="H107" s="231">
        <f t="shared" si="4"/>
        <v>0</v>
      </c>
    </row>
    <row r="108" ht="15.75" customHeight="1">
      <c r="A108" s="231">
        <v>40.0</v>
      </c>
      <c r="B108" s="231"/>
      <c r="C108" s="231"/>
      <c r="D108" s="231"/>
      <c r="E108" s="231"/>
      <c r="F108" s="231"/>
      <c r="G108" s="231">
        <f t="shared" si="3"/>
        <v>0</v>
      </c>
      <c r="H108" s="231">
        <f t="shared" si="4"/>
        <v>0</v>
      </c>
    </row>
    <row r="109" ht="15.75" customHeight="1">
      <c r="A109" s="231">
        <v>41.0</v>
      </c>
      <c r="B109" s="231"/>
      <c r="C109" s="231"/>
      <c r="D109" s="231"/>
      <c r="E109" s="231"/>
      <c r="F109" s="231"/>
      <c r="G109" s="231">
        <f t="shared" si="3"/>
        <v>0</v>
      </c>
      <c r="H109" s="231">
        <f t="shared" si="4"/>
        <v>0</v>
      </c>
    </row>
    <row r="110" ht="15.75" customHeight="1">
      <c r="A110" s="231">
        <v>42.0</v>
      </c>
      <c r="B110" s="231"/>
      <c r="C110" s="231"/>
      <c r="D110" s="231"/>
      <c r="E110" s="231"/>
      <c r="F110" s="231"/>
      <c r="G110" s="231">
        <f t="shared" si="3"/>
        <v>0</v>
      </c>
      <c r="H110" s="231">
        <f t="shared" si="4"/>
        <v>0</v>
      </c>
    </row>
    <row r="111" ht="15.75" customHeight="1">
      <c r="A111" s="231">
        <v>43.0</v>
      </c>
      <c r="B111" s="231"/>
      <c r="C111" s="231"/>
      <c r="D111" s="231"/>
      <c r="E111" s="231"/>
      <c r="F111" s="231"/>
      <c r="G111" s="231">
        <f t="shared" si="3"/>
        <v>0</v>
      </c>
      <c r="H111" s="231">
        <f t="shared" si="4"/>
        <v>0</v>
      </c>
    </row>
    <row r="112" ht="15.75" customHeight="1">
      <c r="A112" s="231">
        <v>44.0</v>
      </c>
      <c r="B112" s="231"/>
      <c r="C112" s="231"/>
      <c r="D112" s="231"/>
      <c r="E112" s="231"/>
      <c r="F112" s="231"/>
      <c r="G112" s="231" t="str">
        <f t="shared" si="3"/>
        <v/>
      </c>
      <c r="H112" s="231" t="str">
        <f t="shared" si="4"/>
        <v/>
      </c>
    </row>
    <row r="113" ht="15.75" customHeight="1">
      <c r="A113" s="231">
        <v>45.0</v>
      </c>
      <c r="B113" s="231"/>
      <c r="C113" s="231"/>
      <c r="D113" s="231"/>
      <c r="E113" s="231"/>
      <c r="F113" s="231"/>
      <c r="G113" s="231">
        <f t="shared" si="3"/>
        <v>0</v>
      </c>
      <c r="H113" s="231">
        <f t="shared" si="4"/>
        <v>0</v>
      </c>
    </row>
    <row r="114" ht="15.75" customHeight="1">
      <c r="A114" s="231">
        <v>46.0</v>
      </c>
      <c r="B114" s="231"/>
      <c r="C114" s="231"/>
      <c r="D114" s="231"/>
      <c r="E114" s="231"/>
      <c r="F114" s="231"/>
      <c r="G114" s="231">
        <f t="shared" si="3"/>
        <v>0</v>
      </c>
      <c r="H114" s="231">
        <f t="shared" si="4"/>
        <v>0</v>
      </c>
    </row>
    <row r="115" ht="15.75" customHeight="1">
      <c r="A115" s="231">
        <v>47.0</v>
      </c>
      <c r="B115" s="231"/>
      <c r="C115" s="231"/>
      <c r="D115" s="231"/>
      <c r="E115" s="231"/>
      <c r="F115" s="231"/>
      <c r="G115" s="231">
        <f t="shared" si="3"/>
        <v>0</v>
      </c>
      <c r="H115" s="231">
        <f t="shared" si="4"/>
        <v>0</v>
      </c>
    </row>
    <row r="116" ht="15.75" customHeight="1">
      <c r="A116" s="231">
        <v>48.0</v>
      </c>
      <c r="B116" s="231"/>
      <c r="C116" s="231"/>
      <c r="D116" s="231"/>
      <c r="E116" s="231"/>
      <c r="F116" s="231"/>
      <c r="G116" s="231">
        <f t="shared" si="3"/>
        <v>0</v>
      </c>
      <c r="H116" s="231">
        <f t="shared" si="4"/>
        <v>0</v>
      </c>
    </row>
    <row r="117" ht="15.75" customHeight="1">
      <c r="A117" s="231">
        <v>49.0</v>
      </c>
      <c r="B117" s="231"/>
      <c r="C117" s="231"/>
      <c r="D117" s="231"/>
      <c r="E117" s="231"/>
      <c r="F117" s="231"/>
      <c r="G117" s="231" t="str">
        <f t="shared" si="3"/>
        <v/>
      </c>
      <c r="H117" s="231" t="str">
        <f t="shared" si="4"/>
        <v/>
      </c>
    </row>
    <row r="118" ht="15.75" customHeight="1">
      <c r="A118" s="231">
        <v>50.0</v>
      </c>
      <c r="B118" s="231"/>
      <c r="C118" s="231"/>
      <c r="D118" s="231"/>
      <c r="E118" s="231"/>
      <c r="F118" s="231"/>
      <c r="G118" s="231" t="str">
        <f t="shared" si="3"/>
        <v>#VALUE!</v>
      </c>
      <c r="H118" s="231">
        <f t="shared" si="4"/>
        <v>0</v>
      </c>
    </row>
    <row r="119" ht="15.75" customHeight="1">
      <c r="A119" s="231">
        <v>51.0</v>
      </c>
      <c r="B119" s="231"/>
      <c r="C119" s="231"/>
      <c r="D119" s="231"/>
      <c r="E119" s="231"/>
      <c r="F119" s="231"/>
      <c r="G119" s="231">
        <f t="shared" si="3"/>
        <v>0</v>
      </c>
      <c r="H119" s="231">
        <f t="shared" si="4"/>
        <v>0</v>
      </c>
    </row>
    <row r="120" ht="15.75" customHeight="1">
      <c r="A120" s="231">
        <v>52.0</v>
      </c>
      <c r="B120" s="231"/>
      <c r="C120" s="231"/>
      <c r="D120" s="231"/>
      <c r="E120" s="231"/>
      <c r="F120" s="231"/>
      <c r="G120" s="231">
        <f t="shared" si="3"/>
        <v>0</v>
      </c>
      <c r="H120" s="231">
        <f t="shared" si="4"/>
        <v>0</v>
      </c>
    </row>
    <row r="121" ht="15.75" customHeight="1">
      <c r="A121" s="231">
        <v>53.0</v>
      </c>
      <c r="B121" s="231"/>
      <c r="C121" s="231"/>
      <c r="D121" s="231"/>
      <c r="E121" s="231"/>
      <c r="F121" s="231"/>
      <c r="G121" s="231">
        <f t="shared" si="3"/>
        <v>0</v>
      </c>
      <c r="H121" s="231">
        <f t="shared" si="4"/>
        <v>0</v>
      </c>
    </row>
    <row r="122" ht="15.75" customHeight="1">
      <c r="A122" s="231">
        <v>54.0</v>
      </c>
      <c r="B122" s="231"/>
      <c r="C122" s="231"/>
      <c r="D122" s="231"/>
      <c r="E122" s="231"/>
      <c r="F122" s="231"/>
      <c r="G122" s="231" t="str">
        <f t="shared" si="3"/>
        <v/>
      </c>
      <c r="H122" s="231" t="str">
        <f t="shared" si="4"/>
        <v/>
      </c>
    </row>
    <row r="123" ht="15.75" customHeight="1">
      <c r="A123" s="231">
        <v>55.0</v>
      </c>
      <c r="B123" s="231"/>
      <c r="C123" s="231"/>
      <c r="D123" s="231"/>
      <c r="E123" s="231"/>
      <c r="F123" s="231"/>
      <c r="G123" s="231">
        <f t="shared" si="3"/>
        <v>0</v>
      </c>
      <c r="H123" s="231">
        <f t="shared" si="4"/>
        <v>0</v>
      </c>
    </row>
    <row r="124" ht="15.75" customHeight="1">
      <c r="A124" s="231">
        <v>56.0</v>
      </c>
      <c r="B124" s="231"/>
      <c r="C124" s="231"/>
      <c r="D124" s="231"/>
      <c r="E124" s="231"/>
      <c r="F124" s="231"/>
      <c r="G124" s="231">
        <f t="shared" si="3"/>
        <v>0</v>
      </c>
      <c r="H124" s="231">
        <f t="shared" si="4"/>
        <v>0</v>
      </c>
    </row>
    <row r="125" ht="15.75" customHeight="1">
      <c r="A125" s="231">
        <v>57.0</v>
      </c>
      <c r="B125" s="231"/>
      <c r="C125" s="231"/>
      <c r="D125" s="231"/>
      <c r="E125" s="231"/>
      <c r="F125" s="231"/>
      <c r="G125" s="231">
        <f t="shared" si="3"/>
        <v>0</v>
      </c>
      <c r="H125" s="231">
        <f t="shared" si="4"/>
        <v>0</v>
      </c>
    </row>
    <row r="126" ht="15.75" customHeight="1">
      <c r="A126" s="231">
        <v>58.0</v>
      </c>
      <c r="B126" s="231"/>
      <c r="C126" s="231"/>
      <c r="D126" s="231"/>
      <c r="E126" s="231"/>
      <c r="F126" s="231"/>
      <c r="G126" s="231" t="str">
        <f t="shared" si="3"/>
        <v/>
      </c>
      <c r="H126" s="231" t="str">
        <f t="shared" si="4"/>
        <v/>
      </c>
    </row>
    <row r="127" ht="15.75" customHeight="1">
      <c r="A127" s="231">
        <v>59.0</v>
      </c>
      <c r="B127" s="231"/>
      <c r="C127" s="231"/>
      <c r="D127" s="231"/>
      <c r="E127" s="231"/>
      <c r="F127" s="231"/>
      <c r="G127" s="231">
        <f t="shared" si="3"/>
        <v>0</v>
      </c>
      <c r="H127" s="231">
        <f t="shared" si="4"/>
        <v>0</v>
      </c>
    </row>
    <row r="128" ht="15.75" customHeight="1">
      <c r="A128" s="231">
        <v>60.0</v>
      </c>
      <c r="B128" s="231"/>
      <c r="C128" s="231"/>
      <c r="D128" s="231"/>
      <c r="E128" s="231"/>
      <c r="F128" s="231"/>
      <c r="G128" s="231">
        <f t="shared" si="3"/>
        <v>0</v>
      </c>
      <c r="H128" s="231">
        <f t="shared" si="4"/>
        <v>0</v>
      </c>
    </row>
    <row r="129" ht="15.75" customHeight="1">
      <c r="A129" s="231">
        <v>61.0</v>
      </c>
      <c r="B129" s="231"/>
      <c r="C129" s="231"/>
      <c r="D129" s="231"/>
      <c r="E129" s="231"/>
      <c r="F129" s="231"/>
      <c r="G129" s="231">
        <f t="shared" si="3"/>
        <v>0</v>
      </c>
      <c r="H129" s="231">
        <f t="shared" si="4"/>
        <v>0</v>
      </c>
    </row>
    <row r="130" ht="15.75" customHeight="1">
      <c r="A130" s="231">
        <v>62.0</v>
      </c>
      <c r="B130" s="231"/>
      <c r="C130" s="231"/>
      <c r="D130" s="231"/>
      <c r="E130" s="231"/>
      <c r="F130" s="231"/>
      <c r="G130" s="231" t="str">
        <f t="shared" si="3"/>
        <v/>
      </c>
      <c r="H130" s="231" t="str">
        <f t="shared" si="4"/>
        <v/>
      </c>
    </row>
    <row r="131" ht="15.75" customHeight="1">
      <c r="A131" s="231">
        <v>63.0</v>
      </c>
      <c r="B131" s="231"/>
      <c r="C131" s="231"/>
      <c r="D131" s="231"/>
      <c r="E131" s="231"/>
      <c r="F131" s="231"/>
      <c r="G131" s="231" t="str">
        <f t="shared" si="3"/>
        <v>#VALUE!</v>
      </c>
      <c r="H131" s="231" t="str">
        <f t="shared" si="4"/>
        <v>#VALUE!</v>
      </c>
    </row>
    <row r="132" ht="15.75" customHeight="1">
      <c r="A132" s="231">
        <v>64.0</v>
      </c>
      <c r="B132" s="231"/>
      <c r="C132" s="231"/>
      <c r="D132" s="231"/>
      <c r="E132" s="231"/>
      <c r="F132" s="231"/>
      <c r="G132" s="231" t="str">
        <f t="shared" si="3"/>
        <v/>
      </c>
      <c r="H132" s="231" t="str">
        <f t="shared" si="4"/>
        <v/>
      </c>
    </row>
    <row r="133" ht="15.75" customHeight="1">
      <c r="A133" s="231">
        <v>65.0</v>
      </c>
      <c r="B133" s="231"/>
      <c r="C133" s="231"/>
      <c r="D133" s="231"/>
      <c r="E133" s="231"/>
      <c r="F133" s="231"/>
      <c r="G133" s="231" t="str">
        <f t="shared" si="3"/>
        <v/>
      </c>
      <c r="H133" s="231" t="str">
        <f t="shared" si="4"/>
        <v/>
      </c>
    </row>
    <row r="134" ht="15.75" customHeight="1">
      <c r="A134" s="231">
        <v>66.0</v>
      </c>
      <c r="B134" s="231"/>
      <c r="C134" s="231"/>
      <c r="D134" s="231"/>
      <c r="E134" s="231"/>
      <c r="F134" s="231"/>
      <c r="G134" s="231" t="str">
        <f t="shared" si="3"/>
        <v/>
      </c>
      <c r="H134" s="231" t="str">
        <f t="shared" si="4"/>
        <v/>
      </c>
    </row>
    <row r="135" ht="15.75" customHeight="1">
      <c r="A135" s="231">
        <v>67.0</v>
      </c>
      <c r="B135" s="231"/>
      <c r="C135" s="231"/>
      <c r="D135" s="231"/>
      <c r="E135" s="231"/>
      <c r="F135" s="231"/>
      <c r="G135" s="231" t="str">
        <f t="shared" si="3"/>
        <v/>
      </c>
      <c r="H135" s="231" t="str">
        <f t="shared" si="4"/>
        <v/>
      </c>
    </row>
    <row r="136" ht="15.75" customHeight="1">
      <c r="A136" s="231">
        <v>68.0</v>
      </c>
      <c r="B136" s="231"/>
      <c r="C136" s="231"/>
      <c r="D136" s="231"/>
      <c r="E136" s="231"/>
      <c r="F136" s="231"/>
      <c r="G136" s="231" t="str">
        <f t="shared" si="3"/>
        <v/>
      </c>
      <c r="H136" s="231" t="str">
        <f t="shared" si="4"/>
        <v/>
      </c>
    </row>
    <row r="137" ht="15.75" customHeight="1">
      <c r="A137" s="231">
        <v>69.0</v>
      </c>
      <c r="B137" s="231"/>
      <c r="C137" s="231"/>
      <c r="D137" s="231"/>
      <c r="E137" s="231"/>
      <c r="F137" s="231"/>
      <c r="G137" s="231" t="str">
        <f t="shared" si="3"/>
        <v/>
      </c>
      <c r="H137" s="231" t="str">
        <f t="shared" si="4"/>
        <v/>
      </c>
    </row>
    <row r="138" ht="15.75" customHeight="1">
      <c r="A138" s="231">
        <v>70.0</v>
      </c>
      <c r="B138" s="231"/>
      <c r="C138" s="231"/>
      <c r="D138" s="231"/>
      <c r="E138" s="231"/>
      <c r="F138" s="231"/>
      <c r="G138" s="231" t="str">
        <f t="shared" si="3"/>
        <v/>
      </c>
      <c r="H138" s="231" t="str">
        <f t="shared" si="4"/>
        <v/>
      </c>
    </row>
    <row r="139" ht="15.75" customHeight="1">
      <c r="A139" s="231">
        <v>71.0</v>
      </c>
      <c r="B139" s="231"/>
      <c r="C139" s="231"/>
      <c r="D139" s="231"/>
      <c r="E139" s="231"/>
      <c r="F139" s="231"/>
      <c r="G139" s="231" t="str">
        <f t="shared" si="3"/>
        <v/>
      </c>
      <c r="H139" s="231" t="str">
        <f t="shared" si="4"/>
        <v/>
      </c>
    </row>
    <row r="140" ht="15.75" customHeight="1">
      <c r="A140" s="231">
        <v>72.0</v>
      </c>
      <c r="B140" s="231"/>
      <c r="C140" s="231"/>
      <c r="D140" s="231"/>
      <c r="E140" s="231"/>
      <c r="F140" s="231"/>
      <c r="G140" s="231" t="str">
        <f t="shared" si="3"/>
        <v/>
      </c>
      <c r="H140" s="231" t="str">
        <f t="shared" si="4"/>
        <v/>
      </c>
    </row>
    <row r="141" ht="15.75" customHeight="1">
      <c r="A141" s="231">
        <v>73.0</v>
      </c>
      <c r="B141" s="231"/>
      <c r="C141" s="231"/>
      <c r="D141" s="231"/>
      <c r="E141" s="231"/>
      <c r="F141" s="231"/>
      <c r="G141" s="231" t="str">
        <f t="shared" si="3"/>
        <v/>
      </c>
      <c r="H141" s="231" t="str">
        <f t="shared" si="4"/>
        <v/>
      </c>
    </row>
    <row r="142" ht="15.75" customHeight="1">
      <c r="A142" s="231">
        <v>74.0</v>
      </c>
      <c r="B142" s="231"/>
      <c r="C142" s="231"/>
      <c r="D142" s="231"/>
      <c r="E142" s="231"/>
      <c r="F142" s="231"/>
      <c r="G142" s="231" t="str">
        <f t="shared" si="3"/>
        <v/>
      </c>
      <c r="H142" s="231" t="str">
        <f t="shared" si="4"/>
        <v/>
      </c>
    </row>
    <row r="143" ht="15.75" customHeight="1">
      <c r="A143" s="231">
        <v>75.0</v>
      </c>
      <c r="B143" s="231"/>
      <c r="C143" s="231"/>
      <c r="D143" s="231"/>
      <c r="E143" s="231"/>
      <c r="F143" s="231"/>
      <c r="G143" s="231" t="str">
        <f t="shared" si="3"/>
        <v/>
      </c>
      <c r="H143" s="231" t="str">
        <f t="shared" si="4"/>
        <v/>
      </c>
    </row>
    <row r="144" ht="15.75" customHeight="1">
      <c r="A144" s="231">
        <v>76.0</v>
      </c>
      <c r="B144" s="231"/>
      <c r="C144" s="231"/>
      <c r="D144" s="231"/>
      <c r="E144" s="231"/>
      <c r="F144" s="231"/>
      <c r="G144" s="231" t="str">
        <f t="shared" si="3"/>
        <v/>
      </c>
      <c r="H144" s="231" t="str">
        <f t="shared" si="4"/>
        <v/>
      </c>
    </row>
    <row r="145" ht="15.75" customHeight="1">
      <c r="A145" s="231">
        <v>77.0</v>
      </c>
      <c r="B145" s="231"/>
      <c r="C145" s="231"/>
      <c r="D145" s="231"/>
      <c r="E145" s="231"/>
      <c r="F145" s="231"/>
      <c r="G145" s="231" t="str">
        <f t="shared" si="3"/>
        <v/>
      </c>
      <c r="H145" s="231" t="str">
        <f t="shared" si="4"/>
        <v/>
      </c>
    </row>
    <row r="146" ht="15.75" customHeight="1">
      <c r="A146" s="231">
        <v>78.0</v>
      </c>
      <c r="B146" s="231"/>
      <c r="C146" s="231"/>
      <c r="D146" s="231"/>
      <c r="E146" s="231"/>
      <c r="F146" s="231"/>
      <c r="G146" s="231" t="str">
        <f t="shared" si="3"/>
        <v/>
      </c>
      <c r="H146" s="231" t="str">
        <f t="shared" si="4"/>
        <v/>
      </c>
    </row>
    <row r="147" ht="15.75" customHeight="1">
      <c r="A147" s="231">
        <v>79.0</v>
      </c>
      <c r="B147" s="231"/>
      <c r="C147" s="231"/>
      <c r="D147" s="231"/>
      <c r="E147" s="231"/>
      <c r="F147" s="231"/>
      <c r="G147" s="231" t="str">
        <f t="shared" si="3"/>
        <v/>
      </c>
      <c r="H147" s="231" t="str">
        <f t="shared" si="4"/>
        <v/>
      </c>
    </row>
    <row r="148" ht="15.75" customHeight="1">
      <c r="A148" s="231">
        <v>80.0</v>
      </c>
      <c r="B148" s="231"/>
      <c r="C148" s="231"/>
      <c r="D148" s="231"/>
      <c r="E148" s="231"/>
      <c r="F148" s="231"/>
      <c r="G148" s="231" t="str">
        <f t="shared" si="3"/>
        <v/>
      </c>
      <c r="H148" s="231" t="str">
        <f t="shared" si="4"/>
        <v/>
      </c>
    </row>
    <row r="149" ht="15.75" customHeight="1">
      <c r="A149" s="231">
        <v>81.0</v>
      </c>
      <c r="B149" s="231"/>
      <c r="C149" s="231"/>
      <c r="D149" s="231"/>
      <c r="E149" s="231"/>
      <c r="F149" s="231"/>
      <c r="G149" s="231" t="str">
        <f t="shared" si="3"/>
        <v/>
      </c>
      <c r="H149" s="231" t="str">
        <f t="shared" si="4"/>
        <v/>
      </c>
    </row>
    <row r="150" ht="15.75" customHeight="1">
      <c r="A150" s="231">
        <v>82.0</v>
      </c>
      <c r="B150" s="231"/>
      <c r="C150" s="231"/>
      <c r="D150" s="231"/>
      <c r="E150" s="231"/>
      <c r="F150" s="231"/>
      <c r="G150" s="231" t="str">
        <f t="shared" si="3"/>
        <v/>
      </c>
      <c r="H150" s="231" t="str">
        <f t="shared" si="4"/>
        <v/>
      </c>
    </row>
    <row r="151" ht="15.75" customHeight="1">
      <c r="A151" s="231">
        <v>83.0</v>
      </c>
      <c r="B151" s="231"/>
      <c r="C151" s="231"/>
      <c r="D151" s="231"/>
      <c r="E151" s="231"/>
      <c r="F151" s="231"/>
      <c r="G151" s="231" t="str">
        <f t="shared" si="3"/>
        <v/>
      </c>
      <c r="H151" s="231" t="str">
        <f t="shared" si="4"/>
        <v/>
      </c>
    </row>
    <row r="152" ht="15.75" customHeight="1">
      <c r="A152" s="231">
        <v>84.0</v>
      </c>
      <c r="B152" s="231"/>
      <c r="C152" s="231"/>
      <c r="D152" s="231"/>
      <c r="E152" s="231"/>
      <c r="F152" s="231"/>
      <c r="G152" s="231" t="str">
        <f t="shared" si="3"/>
        <v/>
      </c>
      <c r="H152" s="231" t="str">
        <f t="shared" si="4"/>
        <v/>
      </c>
    </row>
    <row r="153" ht="15.75" customHeight="1">
      <c r="A153" s="231">
        <v>85.0</v>
      </c>
      <c r="B153" s="231"/>
      <c r="C153" s="231"/>
      <c r="D153" s="231"/>
      <c r="E153" s="231"/>
      <c r="F153" s="231"/>
      <c r="G153" s="231" t="str">
        <f t="shared" si="3"/>
        <v/>
      </c>
      <c r="H153" s="231" t="str">
        <f t="shared" si="4"/>
        <v/>
      </c>
    </row>
    <row r="154" ht="15.75" customHeight="1">
      <c r="A154" s="231">
        <v>86.0</v>
      </c>
      <c r="B154" s="231"/>
      <c r="C154" s="231"/>
      <c r="D154" s="231"/>
      <c r="E154" s="231"/>
      <c r="F154" s="231"/>
      <c r="G154" s="231" t="str">
        <f t="shared" si="3"/>
        <v/>
      </c>
      <c r="H154" s="231" t="str">
        <f t="shared" si="4"/>
        <v/>
      </c>
    </row>
    <row r="155" ht="15.75" customHeight="1">
      <c r="A155" s="231">
        <v>87.0</v>
      </c>
      <c r="B155" s="231"/>
      <c r="C155" s="231"/>
      <c r="D155" s="231"/>
      <c r="E155" s="231"/>
      <c r="F155" s="231"/>
      <c r="G155" s="231" t="str">
        <f t="shared" si="3"/>
        <v/>
      </c>
      <c r="H155" s="231" t="str">
        <f t="shared" si="4"/>
        <v/>
      </c>
    </row>
    <row r="156" ht="15.75" customHeight="1">
      <c r="A156" s="231">
        <v>88.0</v>
      </c>
      <c r="B156" s="231"/>
      <c r="C156" s="231"/>
      <c r="D156" s="231"/>
      <c r="E156" s="231"/>
      <c r="F156" s="231"/>
      <c r="G156" s="231" t="str">
        <f t="shared" si="3"/>
        <v/>
      </c>
      <c r="H156" s="231" t="str">
        <f t="shared" si="4"/>
        <v/>
      </c>
    </row>
    <row r="157" ht="15.75" customHeight="1">
      <c r="A157" s="231">
        <v>89.0</v>
      </c>
      <c r="B157" s="231"/>
      <c r="C157" s="231"/>
      <c r="D157" s="231"/>
      <c r="E157" s="231"/>
      <c r="F157" s="231"/>
      <c r="G157" s="231" t="str">
        <f t="shared" si="3"/>
        <v/>
      </c>
      <c r="H157" s="231" t="str">
        <f t="shared" si="4"/>
        <v/>
      </c>
    </row>
    <row r="158" ht="15.75" customHeight="1">
      <c r="A158" s="231">
        <v>90.0</v>
      </c>
      <c r="B158" s="231"/>
      <c r="C158" s="231"/>
      <c r="D158" s="231"/>
      <c r="E158" s="231"/>
      <c r="F158" s="231"/>
      <c r="G158" s="231" t="str">
        <f t="shared" si="3"/>
        <v/>
      </c>
      <c r="H158" s="231" t="str">
        <f t="shared" si="4"/>
        <v/>
      </c>
    </row>
    <row r="159" ht="15.75" customHeight="1">
      <c r="A159" s="231">
        <v>91.0</v>
      </c>
      <c r="B159" s="231"/>
      <c r="C159" s="231"/>
      <c r="D159" s="231"/>
      <c r="E159" s="231"/>
      <c r="F159" s="231"/>
      <c r="G159" s="231" t="str">
        <f t="shared" si="3"/>
        <v/>
      </c>
      <c r="H159" s="231" t="str">
        <f t="shared" si="4"/>
        <v/>
      </c>
    </row>
    <row r="160" ht="15.75" customHeight="1">
      <c r="A160" s="231">
        <v>92.0</v>
      </c>
      <c r="B160" s="231"/>
      <c r="C160" s="231"/>
      <c r="D160" s="231"/>
      <c r="E160" s="231"/>
      <c r="F160" s="231"/>
      <c r="G160" s="231" t="str">
        <f t="shared" si="3"/>
        <v/>
      </c>
      <c r="H160" s="231" t="str">
        <f t="shared" si="4"/>
        <v/>
      </c>
    </row>
    <row r="161" ht="15.75" customHeight="1">
      <c r="A161" s="231">
        <v>93.0</v>
      </c>
      <c r="B161" s="231"/>
      <c r="C161" s="231"/>
      <c r="D161" s="231"/>
      <c r="E161" s="231"/>
      <c r="F161" s="231"/>
      <c r="G161" s="231" t="str">
        <f t="shared" si="3"/>
        <v/>
      </c>
      <c r="H161" s="231" t="str">
        <f t="shared" si="4"/>
        <v/>
      </c>
    </row>
    <row r="162" ht="15.75" customHeight="1">
      <c r="A162" s="231">
        <v>94.0</v>
      </c>
      <c r="B162" s="231"/>
      <c r="C162" s="231"/>
      <c r="D162" s="231"/>
      <c r="E162" s="231"/>
      <c r="F162" s="231"/>
      <c r="G162" s="231" t="str">
        <f t="shared" si="3"/>
        <v/>
      </c>
      <c r="H162" s="231" t="str">
        <f t="shared" si="4"/>
        <v/>
      </c>
    </row>
    <row r="163" ht="15.75" customHeight="1">
      <c r="A163" s="231">
        <v>95.0</v>
      </c>
      <c r="B163" s="231"/>
      <c r="C163" s="231"/>
      <c r="D163" s="231"/>
      <c r="E163" s="231"/>
      <c r="F163" s="231"/>
      <c r="G163" s="231" t="str">
        <f t="shared" si="3"/>
        <v/>
      </c>
      <c r="H163" s="231" t="str">
        <f t="shared" si="4"/>
        <v/>
      </c>
    </row>
    <row r="164" ht="15.75" customHeight="1">
      <c r="A164" s="231">
        <v>96.0</v>
      </c>
      <c r="B164" s="231"/>
      <c r="C164" s="231"/>
      <c r="D164" s="231"/>
      <c r="E164" s="231"/>
      <c r="F164" s="231"/>
      <c r="G164" s="231" t="str">
        <f t="shared" si="3"/>
        <v/>
      </c>
      <c r="H164" s="231" t="str">
        <f t="shared" si="4"/>
        <v/>
      </c>
    </row>
    <row r="165" ht="15.75" customHeight="1">
      <c r="A165" s="231">
        <v>97.0</v>
      </c>
      <c r="B165" s="231"/>
      <c r="C165" s="231"/>
      <c r="D165" s="231"/>
      <c r="E165" s="231"/>
      <c r="F165" s="231"/>
      <c r="G165" s="231" t="str">
        <f t="shared" si="3"/>
        <v/>
      </c>
      <c r="H165" s="231" t="str">
        <f t="shared" si="4"/>
        <v/>
      </c>
    </row>
    <row r="166" ht="15.75" customHeight="1">
      <c r="A166" s="231">
        <v>98.0</v>
      </c>
      <c r="B166" s="231"/>
      <c r="C166" s="231"/>
      <c r="D166" s="231"/>
      <c r="E166" s="231"/>
      <c r="F166" s="231"/>
      <c r="G166" s="231" t="str">
        <f t="shared" si="3"/>
        <v/>
      </c>
      <c r="H166" s="231" t="str">
        <f t="shared" si="4"/>
        <v/>
      </c>
    </row>
    <row r="167" ht="15.75" customHeight="1">
      <c r="A167" s="231">
        <v>99.0</v>
      </c>
      <c r="B167" s="231"/>
      <c r="C167" s="231"/>
      <c r="D167" s="231"/>
      <c r="E167" s="231"/>
      <c r="F167" s="231"/>
      <c r="G167" s="231" t="str">
        <f t="shared" si="3"/>
        <v/>
      </c>
      <c r="H167" s="231" t="str">
        <f t="shared" si="4"/>
        <v/>
      </c>
    </row>
    <row r="168" ht="15.75" customHeight="1">
      <c r="A168" s="231">
        <v>100.0</v>
      </c>
      <c r="B168" s="231"/>
      <c r="C168" s="231"/>
      <c r="D168" s="231"/>
      <c r="E168" s="231"/>
      <c r="F168" s="231"/>
      <c r="G168" s="231" t="str">
        <f t="shared" si="3"/>
        <v/>
      </c>
      <c r="H168" s="231" t="str">
        <f t="shared" si="4"/>
        <v/>
      </c>
    </row>
    <row r="169" ht="15.75" customHeight="1">
      <c r="A169" s="232" t="s">
        <v>4398</v>
      </c>
      <c r="B169" s="233"/>
      <c r="C169" s="233"/>
      <c r="D169" s="233"/>
      <c r="E169" s="233"/>
      <c r="F169" s="233"/>
      <c r="G169" s="233"/>
      <c r="H169" s="233"/>
    </row>
    <row r="170" ht="15.75" customHeight="1">
      <c r="A170" s="218" t="s">
        <v>4399</v>
      </c>
      <c r="B170" s="218">
        <f>COUNTA(B6:B105)</f>
        <v>46</v>
      </c>
      <c r="C170" s="218"/>
      <c r="D170" s="218"/>
      <c r="E170" s="218"/>
      <c r="F170" s="218"/>
      <c r="G170" s="218"/>
      <c r="H170" s="218"/>
    </row>
    <row r="171" ht="15.75" customHeight="1">
      <c r="A171" s="217" t="s">
        <v>4299</v>
      </c>
      <c r="B171" s="217">
        <f>SUM(I6:I105)</f>
        <v>0</v>
      </c>
      <c r="C171" s="218"/>
      <c r="D171" s="218"/>
      <c r="E171" s="218"/>
      <c r="F171" s="218"/>
      <c r="G171" s="218"/>
      <c r="H171" s="218"/>
    </row>
    <row r="172" ht="15.75" customHeight="1">
      <c r="A172" s="218" t="s">
        <v>4400</v>
      </c>
      <c r="B172" s="218">
        <f>SUM(J6:J105)</f>
        <v>0</v>
      </c>
      <c r="C172" s="218" t="s">
        <v>4289</v>
      </c>
      <c r="D172" s="218"/>
      <c r="E172" s="218"/>
      <c r="F172" s="218"/>
      <c r="G172" s="218"/>
      <c r="H172" s="218"/>
    </row>
    <row r="173" ht="15.75" customHeight="1">
      <c r="A173" s="218" t="s">
        <v>4401</v>
      </c>
      <c r="B173" s="218">
        <f>SUM(K6:K105)</f>
        <v>0</v>
      </c>
      <c r="C173" s="218" t="s">
        <v>4283</v>
      </c>
      <c r="D173" s="218" t="s">
        <v>4402</v>
      </c>
      <c r="E173" s="218"/>
      <c r="F173" s="218"/>
      <c r="G173" s="218"/>
      <c r="H173" s="218"/>
    </row>
    <row r="174" ht="15.75" customHeight="1">
      <c r="A174" s="218" t="s">
        <v>4403</v>
      </c>
      <c r="B174" s="218">
        <f>SUM(L6:L105)</f>
        <v>0</v>
      </c>
      <c r="C174" s="218" t="s">
        <v>4283</v>
      </c>
      <c r="D174" s="218" t="s">
        <v>4404</v>
      </c>
      <c r="E174" s="218"/>
      <c r="F174" s="218"/>
      <c r="G174" s="218"/>
      <c r="H174" s="218"/>
    </row>
    <row r="175" ht="15.75" customHeight="1">
      <c r="A175" s="217" t="s">
        <v>4405</v>
      </c>
      <c r="B175" s="217">
        <f>IF(B108=0,0,B109/B108)</f>
        <v>0</v>
      </c>
      <c r="C175" s="217" t="s">
        <v>4283</v>
      </c>
      <c r="D175" s="217" t="s">
        <v>3934</v>
      </c>
      <c r="E175" s="218"/>
      <c r="F175" s="218"/>
      <c r="G175" s="218"/>
      <c r="H175" s="218"/>
    </row>
    <row r="176" ht="15.75" customHeight="1">
      <c r="A176" s="218" t="s">
        <v>4406</v>
      </c>
      <c r="B176" s="218">
        <f>SUM(H6:H105)</f>
        <v>0</v>
      </c>
      <c r="C176" s="218" t="s">
        <v>4283</v>
      </c>
      <c r="D176" s="218" t="s">
        <v>4308</v>
      </c>
      <c r="E176" s="218"/>
      <c r="F176" s="218"/>
      <c r="G176" s="218"/>
      <c r="H176" s="218"/>
    </row>
    <row r="177" ht="15.75" customHeight="1">
      <c r="A177" s="218" t="s">
        <v>4407</v>
      </c>
      <c r="B177" s="218">
        <f>B114*12</f>
        <v>0</v>
      </c>
      <c r="C177" s="218"/>
      <c r="D177" s="218"/>
      <c r="E177" s="218"/>
      <c r="F177" s="218"/>
      <c r="G177" s="218"/>
      <c r="H177" s="218"/>
    </row>
    <row r="178" ht="15.75" customHeight="1">
      <c r="A178" s="218" t="s">
        <v>4408</v>
      </c>
      <c r="B178" s="218">
        <f>IF(B109=0,0,J111/B109)</f>
        <v>0</v>
      </c>
      <c r="C178" s="218" t="s">
        <v>4283</v>
      </c>
      <c r="D178" s="218" t="s">
        <v>4409</v>
      </c>
      <c r="E178" s="218"/>
      <c r="F178" s="218"/>
      <c r="G178" s="218"/>
      <c r="H178" s="218"/>
    </row>
    <row r="179" ht="15.75" customHeight="1">
      <c r="A179" s="218" t="s">
        <v>4365</v>
      </c>
      <c r="B179" s="218">
        <f>B110+B111+B112</f>
        <v>0</v>
      </c>
      <c r="C179" s="218" t="s">
        <v>4311</v>
      </c>
      <c r="D179" s="218" t="s">
        <v>4410</v>
      </c>
      <c r="E179" s="218"/>
      <c r="F179" s="218"/>
      <c r="G179" s="218"/>
      <c r="H179" s="218"/>
    </row>
    <row r="180" ht="15.75" customHeight="1">
      <c r="A180" s="218" t="s">
        <v>4366</v>
      </c>
      <c r="B180" s="218" t="str">
        <f>IF(ABS(B117-B109)&lt;1,"✓合計一致","✗エラー")</f>
        <v>✓合計一致</v>
      </c>
      <c r="C180" s="218" t="s">
        <v>4314</v>
      </c>
      <c r="D180" s="218" t="s">
        <v>4411</v>
      </c>
      <c r="E180" s="218"/>
      <c r="F180" s="218"/>
      <c r="G180" s="218"/>
      <c r="H180" s="218"/>
    </row>
    <row r="181" ht="15.75" customHeight="1">
      <c r="A181" s="227" t="s">
        <v>4372</v>
      </c>
      <c r="B181" s="218"/>
      <c r="C181" s="218"/>
      <c r="D181" s="218"/>
      <c r="E181" s="218"/>
      <c r="F181" s="218"/>
      <c r="G181" s="218"/>
      <c r="H181" s="218"/>
    </row>
    <row r="182" ht="15.75" customHeight="1">
      <c r="A182" s="218" t="s">
        <v>4412</v>
      </c>
      <c r="B182" s="218">
        <f>B112*0.75</f>
        <v>0</v>
      </c>
      <c r="C182" s="218"/>
      <c r="D182" s="218"/>
      <c r="E182" s="218"/>
      <c r="F182" s="218"/>
      <c r="G182" s="218"/>
      <c r="H182" s="218"/>
    </row>
    <row r="183" ht="15.75" customHeight="1">
      <c r="A183" s="218" t="s">
        <v>4413</v>
      </c>
      <c r="B183" s="218">
        <f>B112*0.25</f>
        <v>0</v>
      </c>
      <c r="C183" s="218" t="s">
        <v>4155</v>
      </c>
      <c r="D183" s="218"/>
      <c r="E183" s="218"/>
      <c r="F183" s="218"/>
      <c r="G183" s="218"/>
      <c r="H183" s="218"/>
    </row>
    <row r="184" ht="15.75" customHeight="1">
      <c r="A184" s="218" t="s">
        <v>4414</v>
      </c>
      <c r="B184" s="218" t="s">
        <v>4415</v>
      </c>
      <c r="C184" s="218" t="s">
        <v>4352</v>
      </c>
      <c r="D184" s="218"/>
      <c r="E184" s="218"/>
      <c r="F184" s="218"/>
      <c r="G184" s="218"/>
      <c r="H184" s="218"/>
    </row>
    <row r="185" ht="15.75" customHeight="1">
      <c r="A185" s="218" t="s">
        <v>4416</v>
      </c>
      <c r="B185" s="218" t="str">
        <f>G列*0.2828</f>
        <v>#NAME?</v>
      </c>
      <c r="C185" s="218" t="s">
        <v>4295</v>
      </c>
      <c r="D185" s="218"/>
      <c r="E185" s="218"/>
      <c r="F185" s="218"/>
      <c r="G185" s="218"/>
      <c r="H185" s="218"/>
    </row>
    <row r="186" ht="15.75" customHeight="1">
      <c r="A186" s="218" t="s">
        <v>4417</v>
      </c>
      <c r="B186" s="218" t="str">
        <f>H列*F列</f>
        <v>#NAME?</v>
      </c>
      <c r="C186" s="218" t="s">
        <v>4418</v>
      </c>
      <c r="D186" s="218"/>
      <c r="E186" s="218"/>
      <c r="F186" s="218"/>
      <c r="G186" s="218"/>
      <c r="H186" s="218"/>
    </row>
    <row r="187" ht="15.75" customHeight="1">
      <c r="A187" s="218" t="s">
        <v>4419</v>
      </c>
      <c r="B187" s="218" t="str">
        <f>I列*0.5</f>
        <v>#NAME?</v>
      </c>
      <c r="C187" s="218" t="s">
        <v>4420</v>
      </c>
      <c r="D187" s="218"/>
      <c r="E187" s="218"/>
      <c r="F187" s="218"/>
      <c r="G187" s="218"/>
      <c r="H187" s="218"/>
    </row>
    <row r="188" ht="15.75" customHeight="1">
      <c r="A188" s="218" t="s">
        <v>4421</v>
      </c>
      <c r="B188" s="218" t="str">
        <f>I列*0.2</f>
        <v>#NAME?</v>
      </c>
      <c r="C188" s="218" t="s">
        <v>4422</v>
      </c>
      <c r="D188" s="218"/>
      <c r="E188" s="218"/>
      <c r="F188" s="218"/>
      <c r="G188" s="218"/>
      <c r="H188" s="218"/>
    </row>
    <row r="189" ht="15.75" customHeight="1">
      <c r="A189" s="218" t="s">
        <v>4423</v>
      </c>
      <c r="B189" s="218" t="str">
        <f>I列*0.3</f>
        <v>#NAME?</v>
      </c>
      <c r="C189" s="218" t="s">
        <v>4424</v>
      </c>
      <c r="D189" s="218"/>
      <c r="E189" s="218"/>
      <c r="F189" s="218"/>
      <c r="G189" s="218"/>
      <c r="H189" s="218"/>
    </row>
    <row r="190" ht="15.75" customHeight="1">
      <c r="A190" s="218" t="s">
        <v>4425</v>
      </c>
      <c r="B190" s="218" t="s">
        <v>4426</v>
      </c>
      <c r="C190" s="218" t="s">
        <v>4427</v>
      </c>
      <c r="D190" s="218"/>
      <c r="E190" s="218"/>
      <c r="F190" s="218"/>
      <c r="G190" s="218"/>
      <c r="H190" s="218"/>
    </row>
    <row r="191" ht="15.75" customHeight="1">
      <c r="A191" s="218" t="s">
        <v>4428</v>
      </c>
      <c r="B191" s="218"/>
      <c r="C191" s="218"/>
      <c r="D191" s="218"/>
      <c r="E191" s="218"/>
      <c r="F191" s="218"/>
      <c r="G191" s="218"/>
      <c r="H191" s="218"/>
    </row>
    <row r="192" ht="15.75" customHeight="1">
      <c r="A192" s="227" t="s">
        <v>4429</v>
      </c>
      <c r="B192" s="218"/>
      <c r="C192" s="218"/>
      <c r="D192" s="218"/>
      <c r="E192" s="218"/>
      <c r="F192" s="218"/>
      <c r="G192" s="218"/>
      <c r="H192" s="218"/>
    </row>
    <row r="193" ht="15.75" customHeight="1">
      <c r="A193" s="218" t="s">
        <v>4430</v>
      </c>
      <c r="B193" s="218"/>
      <c r="C193" s="218"/>
      <c r="D193" s="218"/>
      <c r="E193" s="218"/>
      <c r="F193" s="218"/>
      <c r="G193" s="218"/>
      <c r="H193" s="218"/>
    </row>
    <row r="194" ht="15.75" customHeight="1">
      <c r="A194" s="218" t="s">
        <v>4431</v>
      </c>
      <c r="B194" s="218"/>
      <c r="C194" s="218"/>
      <c r="D194" s="218"/>
      <c r="E194" s="218"/>
      <c r="F194" s="218"/>
      <c r="G194" s="218"/>
      <c r="H194" s="218"/>
    </row>
    <row r="195" ht="15.75" customHeight="1">
      <c r="A195" s="218" t="s">
        <v>4432</v>
      </c>
      <c r="B195" s="218"/>
      <c r="C195" s="218"/>
      <c r="D195" s="218"/>
      <c r="E195" s="218"/>
      <c r="F195" s="218"/>
      <c r="G195" s="218"/>
      <c r="H195" s="218"/>
    </row>
    <row r="196" ht="15.75" customHeight="1">
      <c r="A196" s="218" t="s">
        <v>4433</v>
      </c>
      <c r="B196" s="218"/>
      <c r="C196" s="218"/>
      <c r="D196" s="218"/>
      <c r="E196" s="218"/>
      <c r="F196" s="218"/>
      <c r="G196" s="218"/>
      <c r="H196" s="218"/>
    </row>
    <row r="197" ht="15.75" customHeight="1">
      <c r="A197" s="218" t="s">
        <v>4434</v>
      </c>
      <c r="B197" s="218"/>
      <c r="C197" s="218"/>
      <c r="D197" s="218"/>
      <c r="E197" s="218"/>
      <c r="F197" s="218"/>
      <c r="G197" s="218"/>
      <c r="H197" s="218"/>
    </row>
    <row r="198" ht="15.75" customHeight="1">
      <c r="A198" s="218" t="s">
        <v>4435</v>
      </c>
      <c r="B198" s="218"/>
      <c r="C198" s="218"/>
      <c r="D198" s="218"/>
      <c r="E198" s="218"/>
      <c r="F198" s="218"/>
      <c r="G198" s="218"/>
      <c r="H198" s="218"/>
    </row>
    <row r="199" ht="15.75" customHeight="1">
      <c r="A199" s="217" t="s">
        <v>4436</v>
      </c>
      <c r="B199" s="218"/>
      <c r="C199" s="218"/>
      <c r="D199" s="218"/>
      <c r="E199" s="218"/>
      <c r="F199" s="218"/>
      <c r="G199" s="218"/>
      <c r="H199" s="218"/>
    </row>
    <row r="200" ht="15.75" customHeight="1">
      <c r="A200" s="218" t="s">
        <v>4437</v>
      </c>
      <c r="B200" s="218"/>
      <c r="C200" s="218"/>
      <c r="D200" s="218"/>
      <c r="E200" s="218"/>
      <c r="F200" s="218"/>
      <c r="G200" s="218"/>
      <c r="H200" s="218"/>
    </row>
    <row r="201" ht="15.75" customHeight="1">
      <c r="A201" s="217" t="s">
        <v>4438</v>
      </c>
      <c r="B201" s="218"/>
      <c r="C201" s="218"/>
      <c r="D201" s="218"/>
      <c r="E201" s="218"/>
      <c r="F201" s="218"/>
      <c r="G201" s="218"/>
      <c r="H201" s="218"/>
    </row>
    <row r="202" ht="15.75" customHeight="1">
      <c r="A202" s="218" t="s">
        <v>4439</v>
      </c>
      <c r="B202" s="218"/>
      <c r="C202" s="218"/>
      <c r="D202" s="218"/>
      <c r="E202" s="218"/>
      <c r="F202" s="218"/>
      <c r="G202" s="218"/>
      <c r="H202" s="218"/>
    </row>
    <row r="203" ht="15.75" customHeight="1">
      <c r="A203" s="218" t="s">
        <v>4440</v>
      </c>
      <c r="B203" s="218"/>
      <c r="C203" s="218"/>
      <c r="D203" s="218"/>
      <c r="E203" s="218"/>
      <c r="F203" s="218"/>
      <c r="G203" s="218"/>
      <c r="H203" s="218"/>
    </row>
    <row r="204" ht="15.75" customHeight="1">
      <c r="A204" s="218" t="s">
        <v>4441</v>
      </c>
      <c r="B204" s="218"/>
      <c r="C204" s="218"/>
      <c r="D204" s="218"/>
      <c r="E204" s="218"/>
      <c r="F204" s="218"/>
      <c r="G204" s="218"/>
      <c r="H204" s="218"/>
    </row>
    <row r="205" ht="15.75" customHeight="1">
      <c r="A205" s="217" t="s">
        <v>4442</v>
      </c>
      <c r="B205" s="218"/>
      <c r="C205" s="218"/>
      <c r="D205" s="218"/>
      <c r="E205" s="218"/>
      <c r="F205" s="218"/>
      <c r="G205" s="218"/>
      <c r="H205" s="218"/>
    </row>
    <row r="206" ht="15.75" customHeight="1">
      <c r="A206" s="218" t="s">
        <v>3890</v>
      </c>
      <c r="B206" s="218" t="s">
        <v>4391</v>
      </c>
      <c r="C206" s="218" t="s">
        <v>4392</v>
      </c>
      <c r="D206" s="218" t="s">
        <v>4443</v>
      </c>
      <c r="E206" s="218" t="s">
        <v>4444</v>
      </c>
      <c r="F206" s="218"/>
      <c r="G206" s="218"/>
      <c r="H206" s="218"/>
    </row>
    <row r="207" ht="15.75" customHeight="1">
      <c r="A207" s="218">
        <v>1.0</v>
      </c>
      <c r="B207" s="218" t="str">
        <f t="array" ref="B207">IFERROR(INDEX('進捗管理_詳細シミュレーター'!B:B,MATCH(LARGE(IF('進捗管理_詳細シミュレーター'!I6:I105&lt;&gt;"",'進捗管理_詳細シミュレーター'!I6:I105),1),'進捗管理_詳細シミュレーター'!I6:I105,0)+5),"")</f>
        <v/>
      </c>
      <c r="C207" s="218" t="str">
        <f t="array" ref="C207">IFERROR(INDEX('進捗管理_詳細シミュレーター'!C:C,MATCH(LARGE(IF('進捗管理_詳細シミュレーター'!I6:I105&lt;&gt;"",'進捗管理_詳細シミュレーター'!I6:I105),1),'進捗管理_詳細シミュレーター'!I6:I105,0)+5),"")</f>
        <v/>
      </c>
      <c r="D207" s="218" t="str">
        <f>IFERROR(LARGE(IF('進捗管理_詳細シミュレーター'!I6:I105&lt;&gt;"",'進捗管理_詳細シミュレーター'!I6:I105),1),"")</f>
        <v/>
      </c>
      <c r="E207" s="218" t="str">
        <f t="shared" ref="E207:E216" si="5">IF(D25="","",D25*0.5)</f>
        <v/>
      </c>
      <c r="F207" s="218"/>
      <c r="G207" s="218"/>
      <c r="H207" s="218"/>
    </row>
    <row r="208" ht="15.75" customHeight="1">
      <c r="A208" s="218">
        <v>2.0</v>
      </c>
      <c r="B208" s="218" t="str">
        <f t="array" ref="B208">IFERROR(INDEX('進捗管理_詳細シミュレーター'!B:B,MATCH(LARGE(IF('進捗管理_詳細シミュレーター'!I6:I105&lt;&gt;"",'進捗管理_詳細シミュレーター'!I6:I105),2),'進捗管理_詳細シミュレーター'!I6:I105,0)+5),"")</f>
        <v/>
      </c>
      <c r="C208" s="218" t="str">
        <f t="array" ref="C208">IFERROR(INDEX('進捗管理_詳細シミュレーター'!C:C,MATCH(LARGE(IF('進捗管理_詳細シミュレーター'!I6:I105&lt;&gt;"",'進捗管理_詳細シミュレーター'!I6:I105),2),'進捗管理_詳細シミュレーター'!I6:I105,0)+5),"")</f>
        <v/>
      </c>
      <c r="D208" s="218" t="str">
        <f>IFERROR(LARGE(IF('進捗管理_詳細シミュレーター'!I6:I105&lt;&gt;"",'進捗管理_詳細シミュレーター'!I6:I105),2),"")</f>
        <v/>
      </c>
      <c r="E208" s="218" t="str">
        <f t="shared" si="5"/>
        <v>#VALUE!</v>
      </c>
      <c r="F208" s="218"/>
      <c r="G208" s="218"/>
      <c r="H208" s="218"/>
    </row>
    <row r="209" ht="15.75" customHeight="1">
      <c r="A209" s="218">
        <v>3.0</v>
      </c>
      <c r="B209" s="218" t="str">
        <f t="array" ref="B209">IFERROR(INDEX('進捗管理_詳細シミュレーター'!B:B,MATCH(LARGE(IF('進捗管理_詳細シミュレーター'!I6:I105&lt;&gt;"",'進捗管理_詳細シミュレーター'!I6:I105),3),'進捗管理_詳細シミュレーター'!I6:I105,0)+5),"")</f>
        <v/>
      </c>
      <c r="C209" s="218" t="str">
        <f t="array" ref="C209">IFERROR(INDEX('進捗管理_詳細シミュレーター'!C:C,MATCH(LARGE(IF('進捗管理_詳細シミュレーター'!I6:I105&lt;&gt;"",'進捗管理_詳細シミュレーター'!I6:I105),3),'進捗管理_詳細シミュレーター'!I6:I105,0)+5),"")</f>
        <v/>
      </c>
      <c r="D209" s="218" t="str">
        <f>IFERROR(LARGE(IF('進捗管理_詳細シミュレーター'!I6:I105&lt;&gt;"",'進捗管理_詳細シミュレーター'!I6:I105),3),"")</f>
        <v/>
      </c>
      <c r="E209" s="218">
        <f t="shared" si="5"/>
        <v>0.02495</v>
      </c>
      <c r="F209" s="218"/>
      <c r="G209" s="218"/>
      <c r="H209" s="218"/>
    </row>
    <row r="210" ht="15.75" customHeight="1">
      <c r="A210" s="218">
        <v>4.0</v>
      </c>
      <c r="B210" s="218" t="str">
        <f t="array" ref="B210">IFERROR(INDEX('進捗管理_詳細シミュレーター'!B:B,MATCH(LARGE(IF('進捗管理_詳細シミュレーター'!I6:I105&lt;&gt;"",'進捗管理_詳細シミュレーター'!I6:I105),4),'進捗管理_詳細シミュレーター'!I6:I105,0)+5),"")</f>
        <v/>
      </c>
      <c r="C210" s="218" t="str">
        <f t="array" ref="C210">IFERROR(INDEX('進捗管理_詳細シミュレーター'!C:C,MATCH(LARGE(IF('進捗管理_詳細シミュレーター'!I6:I105&lt;&gt;"",'進捗管理_詳細シミュレーター'!I6:I105),4),'進捗管理_詳細シミュレーター'!I6:I105,0)+5),"")</f>
        <v/>
      </c>
      <c r="D210" s="218" t="str">
        <f>IFERROR(LARGE(IF('進捗管理_詳細シミュレーター'!I6:I105&lt;&gt;"",'進捗管理_詳細シミュレーター'!I6:I105),4),"")</f>
        <v/>
      </c>
      <c r="E210" s="218">
        <f t="shared" si="5"/>
        <v>0.04575</v>
      </c>
      <c r="F210" s="218"/>
      <c r="G210" s="218"/>
      <c r="H210" s="218"/>
    </row>
    <row r="211" ht="15.75" customHeight="1">
      <c r="A211" s="218">
        <v>5.0</v>
      </c>
      <c r="B211" s="218" t="str">
        <f t="array" ref="B211">IFERROR(INDEX('進捗管理_詳細シミュレーター'!B:B,MATCH(LARGE(IF('進捗管理_詳細シミュレーター'!I6:I105&lt;&gt;"",'進捗管理_詳細シミュレーター'!I6:I105),5),'進捗管理_詳細シミュレーター'!I6:I105,0)+5),"")</f>
        <v/>
      </c>
      <c r="C211" s="218" t="str">
        <f t="array" ref="C211">IFERROR(INDEX('進捗管理_詳細シミュレーター'!C:C,MATCH(LARGE(IF('進捗管理_詳細シミュレーター'!I6:I105&lt;&gt;"",'進捗管理_詳細シミュレーター'!I6:I105),5),'進捗管理_詳細シミュレーター'!I6:I105,0)+5),"")</f>
        <v/>
      </c>
      <c r="D211" s="218" t="str">
        <f>IFERROR(LARGE(IF('進捗管理_詳細シミュレーター'!I6:I105&lt;&gt;"",'進捗管理_詳細シミュレーター'!I6:I105),5),"")</f>
        <v/>
      </c>
      <c r="E211" s="218">
        <f t="shared" si="5"/>
        <v>0.0707</v>
      </c>
      <c r="F211" s="218"/>
      <c r="G211" s="218"/>
      <c r="H211" s="218"/>
    </row>
    <row r="212" ht="15.75" customHeight="1">
      <c r="A212" s="218">
        <v>6.0</v>
      </c>
      <c r="B212" s="218" t="str">
        <f t="array" ref="B212">IFERROR(INDEX('進捗管理_詳細シミュレーター'!B:B,MATCH(LARGE(IF('進捗管理_詳細シミュレーター'!I6:I105&lt;&gt;"",'進捗管理_詳細シミュレーター'!I6:I105),6),'進捗管理_詳細シミュレーター'!I6:I105,0)+5),"")</f>
        <v/>
      </c>
      <c r="C212" s="218" t="str">
        <f t="array" ref="C212">IFERROR(INDEX('進捗管理_詳細シミュレーター'!C:C,MATCH(LARGE(IF('進捗管理_詳細シミュレーター'!I6:I105&lt;&gt;"",'進捗管理_詳細シミュレーター'!I6:I105),6),'進捗管理_詳細シミュレーター'!I6:I105,0)+5),"")</f>
        <v/>
      </c>
      <c r="D212" s="218" t="str">
        <f>IFERROR(LARGE(IF('進捗管理_詳細シミュレーター'!I6:I105&lt;&gt;"",'進捗管理_詳細シミュレーター'!I6:I105),6),"")</f>
        <v/>
      </c>
      <c r="E212" s="218" t="str">
        <f t="shared" si="5"/>
        <v/>
      </c>
      <c r="F212" s="218"/>
      <c r="G212" s="218"/>
      <c r="H212" s="218"/>
    </row>
    <row r="213" ht="15.75" customHeight="1">
      <c r="A213" s="218">
        <v>7.0</v>
      </c>
      <c r="B213" s="218" t="str">
        <f t="array" ref="B213">IFERROR(INDEX('進捗管理_詳細シミュレーター'!B:B,MATCH(LARGE(IF('進捗管理_詳細シミュレーター'!I6:I105&lt;&gt;"",'進捗管理_詳細シミュレーター'!I6:I105),7),'進捗管理_詳細シミュレーター'!I6:I105,0)+5),"")</f>
        <v/>
      </c>
      <c r="C213" s="218" t="str">
        <f t="array" ref="C213">IFERROR(INDEX('進捗管理_詳細シミュレーター'!C:C,MATCH(LARGE(IF('進捗管理_詳細シミュレーター'!I6:I105&lt;&gt;"",'進捗管理_詳細シミュレーター'!I6:I105),7),'進捗管理_詳細シミュレーター'!I6:I105,0)+5),"")</f>
        <v/>
      </c>
      <c r="D213" s="218" t="str">
        <f>IFERROR(LARGE(IF('進捗管理_詳細シミュレーター'!I6:I105&lt;&gt;"",'進捗管理_詳細シミュレーター'!I6:I105),7),"")</f>
        <v/>
      </c>
      <c r="E213" s="218" t="str">
        <f t="shared" si="5"/>
        <v/>
      </c>
      <c r="F213" s="218"/>
      <c r="G213" s="218"/>
      <c r="H213" s="218"/>
    </row>
    <row r="214" ht="15.75" customHeight="1">
      <c r="A214" s="218">
        <v>8.0</v>
      </c>
      <c r="B214" s="218" t="str">
        <f t="array" ref="B214">IFERROR(INDEX('進捗管理_詳細シミュレーター'!B:B,MATCH(LARGE(IF('進捗管理_詳細シミュレーター'!I6:I105&lt;&gt;"",'進捗管理_詳細シミュレーター'!I6:I105),8),'進捗管理_詳細シミュレーター'!I6:I105,0)+5),"")</f>
        <v/>
      </c>
      <c r="C214" s="218" t="str">
        <f t="array" ref="C214">IFERROR(INDEX('進捗管理_詳細シミュレーター'!C:C,MATCH(LARGE(IF('進捗管理_詳細シミュレーター'!I6:I105&lt;&gt;"",'進捗管理_詳細シミュレーター'!I6:I105),8),'進捗管理_詳細シミュレーター'!I6:I105,0)+5),"")</f>
        <v/>
      </c>
      <c r="D214" s="218" t="str">
        <f>IFERROR(LARGE(IF('進捗管理_詳細シミュレーター'!I6:I105&lt;&gt;"",'進捗管理_詳細シミュレーター'!I6:I105),8),"")</f>
        <v/>
      </c>
      <c r="E214" s="218" t="str">
        <f t="shared" si="5"/>
        <v/>
      </c>
      <c r="F214" s="218"/>
      <c r="G214" s="218"/>
      <c r="H214" s="218"/>
    </row>
    <row r="215" ht="15.75" customHeight="1">
      <c r="A215" s="218">
        <v>9.0</v>
      </c>
      <c r="B215" s="218" t="str">
        <f t="array" ref="B215">IFERROR(INDEX('進捗管理_詳細シミュレーター'!B:B,MATCH(LARGE(IF('進捗管理_詳細シミュレーター'!I6:I105&lt;&gt;"",'進捗管理_詳細シミュレーター'!I6:I105),9),'進捗管理_詳細シミュレーター'!I6:I105,0)+5),"")</f>
        <v/>
      </c>
      <c r="C215" s="218" t="str">
        <f t="array" ref="C215">IFERROR(INDEX('進捗管理_詳細シミュレーター'!C:C,MATCH(LARGE(IF('進捗管理_詳細シミュレーター'!I6:I105&lt;&gt;"",'進捗管理_詳細シミュレーター'!I6:I105),9),'進捗管理_詳細シミュレーター'!I6:I105,0)+5),"")</f>
        <v/>
      </c>
      <c r="D215" s="218" t="str">
        <f>IFERROR(LARGE(IF('進捗管理_詳細シミュレーター'!I6:I105&lt;&gt;"",'進捗管理_詳細シミュレーター'!I6:I105),9),"")</f>
        <v/>
      </c>
      <c r="E215" s="218" t="str">
        <f t="shared" si="5"/>
        <v/>
      </c>
      <c r="F215" s="218"/>
      <c r="G215" s="218"/>
      <c r="H215" s="218"/>
    </row>
    <row r="216" ht="15.75" customHeight="1">
      <c r="A216" s="218">
        <v>10.0</v>
      </c>
      <c r="B216" s="218" t="str">
        <f t="array" ref="B216">IFERROR(INDEX('進捗管理_詳細シミュレーター'!B:B,MATCH(LARGE(IF('進捗管理_詳細シミュレーター'!I6:I105&lt;&gt;"",'進捗管理_詳細シミュレーター'!I6:I105),10),'進捗管理_詳細シミュレーター'!I6:I105,0)+5),"")</f>
        <v/>
      </c>
      <c r="C216" s="218" t="str">
        <f t="array" ref="C216">IFERROR(INDEX('進捗管理_詳細シミュレーター'!C:C,MATCH(LARGE(IF('進捗管理_詳細シミュレーター'!I6:I105&lt;&gt;"",'進捗管理_詳細シミュレーター'!I6:I105),10),'進捗管理_詳細シミュレーター'!I6:I105,0)+5),"")</f>
        <v/>
      </c>
      <c r="D216" s="218" t="str">
        <f>IFERROR(LARGE(IF('進捗管理_詳細シミュレーター'!I6:I105&lt;&gt;"",'進捗管理_詳細シミュレーター'!I6:I105),10),"")</f>
        <v/>
      </c>
      <c r="E216" s="218" t="str">
        <f t="shared" si="5"/>
        <v/>
      </c>
      <c r="F216" s="218"/>
      <c r="G216" s="218"/>
      <c r="H216" s="218"/>
    </row>
    <row r="217" ht="15.75" customHeight="1">
      <c r="A217" s="227" t="s">
        <v>4445</v>
      </c>
      <c r="B217" s="218"/>
      <c r="C217" s="218"/>
      <c r="D217" s="218"/>
      <c r="E217" s="218"/>
      <c r="F217" s="218"/>
      <c r="G217" s="218"/>
      <c r="H217" s="218"/>
    </row>
    <row r="218" ht="15.75" customHeight="1">
      <c r="A218" s="218" t="s">
        <v>3890</v>
      </c>
      <c r="B218" s="218" t="s">
        <v>4391</v>
      </c>
      <c r="C218" s="218" t="s">
        <v>4446</v>
      </c>
      <c r="D218" s="218" t="s">
        <v>4447</v>
      </c>
      <c r="E218" s="218"/>
      <c r="F218" s="218"/>
      <c r="G218" s="218"/>
      <c r="H218" s="218"/>
    </row>
    <row r="219" ht="15.75" customHeight="1">
      <c r="A219" s="218">
        <v>1.0</v>
      </c>
      <c r="B219" s="218" t="str">
        <f t="shared" ref="B219:B228" si="6">IFERROR(INDEX('3-5_詳細シミュレーター'!$B$6:$B$105,MATCH(C40,'3-5_詳細シミュレーター'!$I$6:$I$105,0)),"")</f>
        <v/>
      </c>
      <c r="C219" s="218" t="str">
        <f>IFERROR(LARGE('3-5_詳細シミュレーター'!$I$6:$I$105,1),"")</f>
        <v/>
      </c>
      <c r="D219" s="218" t="str">
        <f t="shared" ref="D219:D228" si="7">REPT("■",INT(C40/50000))</f>
        <v>#VALUE!</v>
      </c>
      <c r="E219" s="218"/>
      <c r="F219" s="218"/>
      <c r="G219" s="218"/>
      <c r="H219" s="218"/>
    </row>
    <row r="220" ht="15.75" customHeight="1">
      <c r="A220" s="218">
        <v>2.0</v>
      </c>
      <c r="B220" s="218" t="str">
        <f t="shared" si="6"/>
        <v/>
      </c>
      <c r="C220" s="218" t="str">
        <f>IFERROR(LARGE('3-5_詳細シミュレーター'!$I$6:$I$105,2),"")</f>
        <v/>
      </c>
      <c r="D220" s="218" t="str">
        <f t="shared" si="7"/>
        <v>#VALUE!</v>
      </c>
      <c r="E220" s="218"/>
      <c r="F220" s="218"/>
      <c r="G220" s="218"/>
      <c r="H220" s="218"/>
    </row>
    <row r="221" ht="15.75" customHeight="1">
      <c r="A221" s="218">
        <v>3.0</v>
      </c>
      <c r="B221" s="218" t="str">
        <f t="shared" si="6"/>
        <v/>
      </c>
      <c r="C221" s="218" t="str">
        <f>IFERROR(LARGE('3-5_詳細シミュレーター'!$I$6:$I$105,3),"")</f>
        <v/>
      </c>
      <c r="D221" s="218" t="str">
        <f t="shared" si="7"/>
        <v>#VALUE!</v>
      </c>
      <c r="E221" s="218"/>
      <c r="F221" s="218"/>
      <c r="G221" s="218"/>
      <c r="H221" s="218"/>
    </row>
    <row r="222" ht="15.75" customHeight="1">
      <c r="A222" s="218">
        <v>4.0</v>
      </c>
      <c r="B222" s="218" t="str">
        <f t="shared" si="6"/>
        <v/>
      </c>
      <c r="C222" s="218" t="str">
        <f>IFERROR(LARGE('3-5_詳細シミュレーター'!$I$6:$I$105,4),"")</f>
        <v/>
      </c>
      <c r="D222" s="218" t="str">
        <f t="shared" si="7"/>
        <v>#VALUE!</v>
      </c>
      <c r="E222" s="218"/>
      <c r="F222" s="218"/>
      <c r="G222" s="218"/>
      <c r="H222" s="218"/>
    </row>
    <row r="223" ht="15.75" customHeight="1">
      <c r="A223" s="218">
        <v>5.0</v>
      </c>
      <c r="B223" s="218" t="str">
        <f t="shared" si="6"/>
        <v/>
      </c>
      <c r="C223" s="218" t="str">
        <f>IFERROR(LARGE('3-5_詳細シミュレーター'!$I$6:$I$105,5),"")</f>
        <v/>
      </c>
      <c r="D223" s="218" t="str">
        <f t="shared" si="7"/>
        <v>#VALUE!</v>
      </c>
      <c r="E223" s="218"/>
      <c r="F223" s="218"/>
      <c r="G223" s="218"/>
      <c r="H223" s="218"/>
    </row>
    <row r="224" ht="15.75" customHeight="1">
      <c r="A224" s="218">
        <v>6.0</v>
      </c>
      <c r="B224" s="218" t="str">
        <f t="shared" si="6"/>
        <v/>
      </c>
      <c r="C224" s="218" t="str">
        <f>IFERROR(LARGE('3-5_詳細シミュレーター'!$I$6:$I$105,6),"")</f>
        <v/>
      </c>
      <c r="D224" s="218" t="str">
        <f t="shared" si="7"/>
        <v>#VALUE!</v>
      </c>
      <c r="E224" s="218"/>
      <c r="F224" s="218"/>
      <c r="G224" s="218"/>
      <c r="H224" s="218"/>
    </row>
    <row r="225" ht="15.75" customHeight="1">
      <c r="A225" s="218">
        <v>7.0</v>
      </c>
      <c r="B225" s="218" t="str">
        <f t="shared" si="6"/>
        <v/>
      </c>
      <c r="C225" s="218" t="str">
        <f>IFERROR(LARGE('3-5_詳細シミュレーター'!$I$6:$I$105,7),"")</f>
        <v/>
      </c>
      <c r="D225" s="218" t="str">
        <f t="shared" si="7"/>
        <v>#VALUE!</v>
      </c>
      <c r="E225" s="218"/>
      <c r="F225" s="218"/>
      <c r="G225" s="218"/>
      <c r="H225" s="218"/>
    </row>
    <row r="226" ht="15.75" customHeight="1">
      <c r="A226" s="218">
        <v>8.0</v>
      </c>
      <c r="B226" s="218" t="str">
        <f t="shared" si="6"/>
        <v/>
      </c>
      <c r="C226" s="218" t="str">
        <f>IFERROR(LARGE('3-5_詳細シミュレーター'!$I$6:$I$105,8),"")</f>
        <v/>
      </c>
      <c r="D226" s="218" t="str">
        <f t="shared" si="7"/>
        <v/>
      </c>
      <c r="E226" s="218"/>
      <c r="F226" s="218"/>
      <c r="G226" s="218"/>
      <c r="H226" s="218"/>
    </row>
    <row r="227" ht="15.75" customHeight="1">
      <c r="A227" s="218">
        <v>9.0</v>
      </c>
      <c r="B227" s="218" t="str">
        <f t="shared" si="6"/>
        <v/>
      </c>
      <c r="C227" s="218" t="str">
        <f>IFERROR(LARGE('3-5_詳細シミュレーター'!$I$6:$I$105,9),"")</f>
        <v/>
      </c>
      <c r="D227" s="218" t="str">
        <f t="shared" si="7"/>
        <v/>
      </c>
      <c r="E227" s="218"/>
      <c r="F227" s="218"/>
      <c r="G227" s="218"/>
      <c r="H227" s="218"/>
    </row>
    <row r="228" ht="15.75" customHeight="1">
      <c r="A228" s="218">
        <v>10.0</v>
      </c>
      <c r="B228" s="218" t="str">
        <f t="shared" si="6"/>
        <v/>
      </c>
      <c r="C228" s="218" t="str">
        <f>IFERROR(LARGE('3-5_詳細シミュレーター'!$I$6:$I$105,10),"")</f>
        <v/>
      </c>
      <c r="D228" s="218" t="str">
        <f t="shared" si="7"/>
        <v/>
      </c>
      <c r="E228" s="218"/>
      <c r="F228" s="218"/>
      <c r="G228" s="218"/>
      <c r="H228" s="218"/>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40.0"/>
    <col customWidth="1" min="3" max="3" width="35.0"/>
    <col customWidth="1" min="4" max="4" width="49.0"/>
    <col customWidth="1" min="5" max="5" width="52.43"/>
    <col customWidth="1" min="6" max="6" width="40.14"/>
    <col customWidth="1" min="7" max="8" width="15.0"/>
    <col customWidth="1" min="9" max="26" width="8.71"/>
  </cols>
  <sheetData>
    <row r="1" ht="49.5" customHeight="1">
      <c r="A1" s="215" t="s">
        <v>4448</v>
      </c>
      <c r="B1" s="183"/>
      <c r="C1" s="183"/>
      <c r="D1" s="183"/>
      <c r="E1" s="183"/>
      <c r="F1" s="183"/>
      <c r="G1" s="183"/>
      <c r="H1" s="184"/>
    </row>
    <row r="2">
      <c r="A2" s="216" t="s">
        <v>4449</v>
      </c>
    </row>
    <row r="3">
      <c r="A3" s="115" t="s">
        <v>4450</v>
      </c>
    </row>
    <row r="4">
      <c r="A4" s="115" t="s">
        <v>4451</v>
      </c>
    </row>
    <row r="5">
      <c r="A5" s="217" t="s">
        <v>3210</v>
      </c>
      <c r="B5" s="217" t="s">
        <v>4452</v>
      </c>
      <c r="C5" s="217" t="s">
        <v>3211</v>
      </c>
      <c r="D5" s="217" t="s">
        <v>1805</v>
      </c>
      <c r="E5" s="217" t="s">
        <v>4453</v>
      </c>
      <c r="F5" s="217" t="s">
        <v>4454</v>
      </c>
      <c r="G5" s="217" t="s">
        <v>2364</v>
      </c>
      <c r="H5" s="217" t="s">
        <v>3</v>
      </c>
    </row>
    <row r="6">
      <c r="A6" s="217" t="s">
        <v>3213</v>
      </c>
      <c r="B6" s="217" t="s">
        <v>4455</v>
      </c>
      <c r="C6" s="217" t="s">
        <v>4456</v>
      </c>
      <c r="D6" s="217" t="s">
        <v>4457</v>
      </c>
      <c r="E6" s="217" t="s">
        <v>4458</v>
      </c>
      <c r="F6" s="217" t="s">
        <v>4459</v>
      </c>
      <c r="G6" s="217" t="s">
        <v>2372</v>
      </c>
      <c r="H6" s="217" t="s">
        <v>4460</v>
      </c>
    </row>
    <row r="7">
      <c r="A7" s="217" t="s">
        <v>3217</v>
      </c>
      <c r="B7" s="217" t="s">
        <v>4461</v>
      </c>
      <c r="C7" s="217" t="s">
        <v>4462</v>
      </c>
      <c r="D7" s="217" t="s">
        <v>4463</v>
      </c>
      <c r="E7" s="217" t="s">
        <v>4464</v>
      </c>
      <c r="F7" s="217" t="s">
        <v>4465</v>
      </c>
      <c r="G7" s="217" t="s">
        <v>2372</v>
      </c>
      <c r="H7" s="217" t="s">
        <v>4460</v>
      </c>
    </row>
    <row r="8">
      <c r="A8" s="217" t="s">
        <v>3221</v>
      </c>
      <c r="B8" s="217" t="s">
        <v>4466</v>
      </c>
      <c r="C8" s="217" t="s">
        <v>4467</v>
      </c>
      <c r="D8" s="217" t="s">
        <v>4468</v>
      </c>
      <c r="E8" s="217" t="s">
        <v>4469</v>
      </c>
      <c r="F8" s="217" t="s">
        <v>4470</v>
      </c>
      <c r="G8" s="217" t="s">
        <v>2372</v>
      </c>
      <c r="H8" s="217" t="s">
        <v>4460</v>
      </c>
    </row>
    <row r="9">
      <c r="A9" s="217" t="s">
        <v>4471</v>
      </c>
      <c r="B9" s="217" t="s">
        <v>2717</v>
      </c>
      <c r="C9" s="217" t="s">
        <v>4472</v>
      </c>
      <c r="D9" s="217" t="s">
        <v>4473</v>
      </c>
      <c r="E9" s="217" t="s">
        <v>4474</v>
      </c>
      <c r="F9" s="217" t="s">
        <v>4475</v>
      </c>
      <c r="G9" s="217" t="s">
        <v>2384</v>
      </c>
      <c r="H9" s="217" t="s">
        <v>4460</v>
      </c>
    </row>
    <row r="10">
      <c r="A10" s="217" t="s">
        <v>4476</v>
      </c>
      <c r="B10" s="217" t="s">
        <v>4477</v>
      </c>
      <c r="C10" s="217" t="s">
        <v>4478</v>
      </c>
      <c r="D10" s="217" t="s">
        <v>4479</v>
      </c>
      <c r="E10" s="217" t="s">
        <v>4480</v>
      </c>
      <c r="F10" s="217" t="s">
        <v>4481</v>
      </c>
      <c r="G10" s="217" t="s">
        <v>2441</v>
      </c>
      <c r="H10" s="217" t="s">
        <v>4460</v>
      </c>
    </row>
    <row r="11">
      <c r="A11" s="218" t="s">
        <v>4482</v>
      </c>
      <c r="B11" s="218"/>
      <c r="C11" s="218"/>
      <c r="D11" s="218"/>
      <c r="E11" s="218"/>
      <c r="F11" s="218"/>
      <c r="G11" s="218"/>
      <c r="H11" s="218"/>
    </row>
    <row r="12">
      <c r="A12" s="217" t="s">
        <v>3213</v>
      </c>
      <c r="B12" s="217" t="s">
        <v>4455</v>
      </c>
      <c r="C12" s="217" t="s">
        <v>4483</v>
      </c>
      <c r="D12" s="218"/>
      <c r="E12" s="218"/>
      <c r="F12" s="218"/>
      <c r="G12" s="218"/>
      <c r="H12" s="218">
        <v>0.0</v>
      </c>
    </row>
    <row r="13">
      <c r="A13" s="217" t="s">
        <v>3217</v>
      </c>
      <c r="B13" s="217" t="s">
        <v>4461</v>
      </c>
      <c r="C13" s="217" t="s">
        <v>4484</v>
      </c>
      <c r="D13" s="218"/>
      <c r="E13" s="218"/>
      <c r="F13" s="218"/>
      <c r="G13" s="218"/>
      <c r="H13" s="218">
        <v>0.0</v>
      </c>
    </row>
    <row r="14">
      <c r="A14" s="217" t="s">
        <v>3221</v>
      </c>
      <c r="B14" s="217" t="s">
        <v>4466</v>
      </c>
      <c r="C14" s="217" t="s">
        <v>4485</v>
      </c>
      <c r="D14" s="218"/>
      <c r="E14" s="218"/>
      <c r="F14" s="218"/>
      <c r="G14" s="218"/>
      <c r="H14" s="218">
        <v>0.0</v>
      </c>
    </row>
    <row r="15">
      <c r="A15" s="217" t="s">
        <v>4471</v>
      </c>
      <c r="B15" s="217" t="s">
        <v>2717</v>
      </c>
      <c r="C15" s="217" t="s">
        <v>4486</v>
      </c>
      <c r="D15" s="218"/>
      <c r="E15" s="218"/>
      <c r="F15" s="218"/>
      <c r="G15" s="218"/>
      <c r="H15" s="218">
        <v>0.0</v>
      </c>
    </row>
    <row r="16">
      <c r="A16" s="217" t="s">
        <v>4476</v>
      </c>
      <c r="B16" s="217" t="s">
        <v>4477</v>
      </c>
      <c r="C16" s="217" t="s">
        <v>4485</v>
      </c>
      <c r="D16" s="218"/>
      <c r="E16" s="218"/>
      <c r="F16" s="218"/>
      <c r="G16" s="218"/>
      <c r="H16" s="218">
        <v>0.0</v>
      </c>
    </row>
    <row r="17">
      <c r="A17" s="218" t="s">
        <v>2357</v>
      </c>
      <c r="B17" s="218"/>
      <c r="C17" s="218" t="s">
        <v>4487</v>
      </c>
      <c r="D17" s="218"/>
      <c r="E17" s="218"/>
      <c r="F17" s="218"/>
      <c r="G17" s="218"/>
      <c r="H17" s="218" t="str">
        <f>SUM(H14:H18)</f>
        <v>#REF!</v>
      </c>
    </row>
    <row r="18">
      <c r="A18" s="227" t="s">
        <v>4488</v>
      </c>
      <c r="B18" s="218"/>
      <c r="C18" s="218"/>
      <c r="D18" s="218"/>
      <c r="E18" s="218"/>
      <c r="F18" s="218"/>
      <c r="G18" s="218"/>
      <c r="H18" s="218"/>
    </row>
    <row r="19">
      <c r="A19" s="218" t="s">
        <v>4460</v>
      </c>
      <c r="B19" s="218" t="s">
        <v>3713</v>
      </c>
      <c r="C19" s="218" t="s">
        <v>4489</v>
      </c>
      <c r="D19" s="218" t="s">
        <v>2367</v>
      </c>
      <c r="E19" s="218"/>
      <c r="F19" s="218"/>
      <c r="G19" s="218"/>
      <c r="H19" s="218"/>
    </row>
    <row r="20">
      <c r="A20" s="227" t="s">
        <v>4490</v>
      </c>
      <c r="B20" s="218"/>
      <c r="C20" s="218"/>
      <c r="D20" s="218"/>
      <c r="E20" s="218"/>
      <c r="F20" s="218"/>
      <c r="G20" s="218"/>
      <c r="H20" s="218"/>
    </row>
    <row r="21" ht="15.75" customHeight="1">
      <c r="A21" s="218" t="s">
        <v>4491</v>
      </c>
      <c r="B21" s="218"/>
      <c r="C21" s="218"/>
      <c r="D21" s="218"/>
      <c r="E21" s="218"/>
      <c r="F21" s="218"/>
      <c r="G21" s="218"/>
      <c r="H21" s="218"/>
    </row>
    <row r="22" ht="15.75" customHeight="1">
      <c r="A22" s="218" t="s">
        <v>4492</v>
      </c>
      <c r="B22" s="218"/>
      <c r="C22" s="218"/>
      <c r="D22" s="218"/>
      <c r="E22" s="218"/>
      <c r="F22" s="218"/>
      <c r="G22" s="218"/>
      <c r="H22" s="218"/>
    </row>
    <row r="23" ht="15.75" customHeight="1">
      <c r="A23" s="218" t="s">
        <v>4493</v>
      </c>
      <c r="B23" s="218"/>
      <c r="C23" s="218"/>
      <c r="D23" s="218"/>
      <c r="E23" s="218"/>
      <c r="F23" s="218"/>
      <c r="G23" s="218"/>
      <c r="H23" s="218"/>
    </row>
    <row r="24" ht="15.75" customHeight="1">
      <c r="B24" s="115" t="s">
        <v>4494</v>
      </c>
    </row>
    <row r="25" ht="15.75" customHeight="1">
      <c r="B25" s="95" t="s">
        <v>4390</v>
      </c>
      <c r="C25" s="95" t="s">
        <v>1785</v>
      </c>
      <c r="D25" s="95" t="s">
        <v>4193</v>
      </c>
      <c r="E25" s="95" t="s">
        <v>4495</v>
      </c>
      <c r="F25" s="95" t="s">
        <v>4496</v>
      </c>
      <c r="G25" s="95" t="s">
        <v>3</v>
      </c>
      <c r="H25" s="95" t="s">
        <v>4497</v>
      </c>
    </row>
    <row r="26" ht="15.75" customHeight="1">
      <c r="B26" s="95">
        <v>1.0</v>
      </c>
      <c r="C26" s="95"/>
      <c r="D26" s="95"/>
      <c r="E26" s="95"/>
      <c r="F26" s="95" t="str">
        <f t="shared" ref="F26:F55" si="1">D6*E6*5*0.2</f>
        <v>#VALUE!</v>
      </c>
      <c r="G26" s="95" t="s">
        <v>4460</v>
      </c>
      <c r="H26" s="95"/>
    </row>
    <row r="27" ht="15.75" customHeight="1">
      <c r="B27" s="95">
        <v>2.0</v>
      </c>
      <c r="C27" s="95"/>
      <c r="D27" s="95"/>
      <c r="E27" s="95"/>
      <c r="F27" s="95" t="str">
        <f t="shared" si="1"/>
        <v>#VALUE!</v>
      </c>
      <c r="G27" s="95" t="s">
        <v>4460</v>
      </c>
      <c r="H27" s="95"/>
    </row>
    <row r="28" ht="15.75" customHeight="1">
      <c r="B28" s="95">
        <v>3.0</v>
      </c>
      <c r="C28" s="95"/>
      <c r="D28" s="95"/>
      <c r="E28" s="95"/>
      <c r="F28" s="95" t="str">
        <f t="shared" si="1"/>
        <v>#VALUE!</v>
      </c>
      <c r="G28" s="95" t="s">
        <v>4460</v>
      </c>
      <c r="H28" s="95"/>
    </row>
    <row r="29" ht="15.75" customHeight="1">
      <c r="B29" s="95">
        <v>4.0</v>
      </c>
      <c r="C29" s="95"/>
      <c r="D29" s="95"/>
      <c r="E29" s="95"/>
      <c r="F29" s="95" t="str">
        <f t="shared" si="1"/>
        <v>#VALUE!</v>
      </c>
      <c r="G29" s="95" t="s">
        <v>4460</v>
      </c>
      <c r="H29" s="95"/>
    </row>
    <row r="30" ht="15.75" customHeight="1">
      <c r="B30" s="95">
        <v>5.0</v>
      </c>
      <c r="C30" s="95"/>
      <c r="D30" s="95"/>
      <c r="E30" s="95"/>
      <c r="F30" s="95" t="str">
        <f t="shared" si="1"/>
        <v>#VALUE!</v>
      </c>
      <c r="G30" s="95" t="s">
        <v>4460</v>
      </c>
      <c r="H30" s="95"/>
    </row>
    <row r="31" ht="15.75" customHeight="1">
      <c r="B31" s="95">
        <v>6.0</v>
      </c>
      <c r="C31" s="95"/>
      <c r="D31" s="95"/>
      <c r="E31" s="95"/>
      <c r="F31" s="95">
        <f t="shared" si="1"/>
        <v>0</v>
      </c>
      <c r="G31" s="95" t="s">
        <v>4460</v>
      </c>
      <c r="H31" s="95"/>
    </row>
    <row r="32" ht="15.75" customHeight="1">
      <c r="B32" s="95">
        <v>7.0</v>
      </c>
      <c r="C32" s="95"/>
      <c r="D32" s="95"/>
      <c r="E32" s="95"/>
      <c r="F32" s="95">
        <f t="shared" si="1"/>
        <v>0</v>
      </c>
      <c r="G32" s="95" t="s">
        <v>4460</v>
      </c>
      <c r="H32" s="95"/>
    </row>
    <row r="33" ht="15.75" customHeight="1">
      <c r="B33" s="95">
        <v>8.0</v>
      </c>
      <c r="C33" s="95"/>
      <c r="D33" s="95"/>
      <c r="E33" s="95"/>
      <c r="F33" s="95">
        <f t="shared" si="1"/>
        <v>0</v>
      </c>
      <c r="G33" s="95" t="s">
        <v>4460</v>
      </c>
      <c r="H33" s="95"/>
    </row>
    <row r="34" ht="15.75" customHeight="1">
      <c r="B34" s="95">
        <v>9.0</v>
      </c>
      <c r="C34" s="95"/>
      <c r="D34" s="95"/>
      <c r="E34" s="95"/>
      <c r="F34" s="95">
        <f t="shared" si="1"/>
        <v>0</v>
      </c>
      <c r="G34" s="95" t="s">
        <v>4460</v>
      </c>
      <c r="H34" s="95"/>
    </row>
    <row r="35" ht="15.75" customHeight="1">
      <c r="B35" s="95">
        <v>10.0</v>
      </c>
      <c r="C35" s="95"/>
      <c r="D35" s="95"/>
      <c r="E35" s="95"/>
      <c r="F35" s="95">
        <f t="shared" si="1"/>
        <v>0</v>
      </c>
      <c r="G35" s="95" t="s">
        <v>4460</v>
      </c>
      <c r="H35" s="95"/>
    </row>
    <row r="36" ht="15.75" customHeight="1">
      <c r="B36" s="95">
        <v>11.0</v>
      </c>
      <c r="C36" s="95"/>
      <c r="D36" s="95"/>
      <c r="E36" s="95"/>
      <c r="F36" s="95">
        <f t="shared" si="1"/>
        <v>0</v>
      </c>
      <c r="G36" s="95" t="s">
        <v>4460</v>
      </c>
      <c r="H36" s="95"/>
    </row>
    <row r="37" ht="15.75" customHeight="1">
      <c r="B37" s="95">
        <v>12.0</v>
      </c>
      <c r="C37" s="95"/>
      <c r="D37" s="95"/>
      <c r="E37" s="95"/>
      <c r="F37" s="95">
        <f t="shared" si="1"/>
        <v>0</v>
      </c>
      <c r="G37" s="95" t="s">
        <v>4460</v>
      </c>
      <c r="H37" s="95"/>
    </row>
    <row r="38" ht="15.75" customHeight="1">
      <c r="B38" s="95">
        <v>13.0</v>
      </c>
      <c r="C38" s="95"/>
      <c r="D38" s="95"/>
      <c r="E38" s="95"/>
      <c r="F38" s="95">
        <f t="shared" si="1"/>
        <v>0</v>
      </c>
      <c r="G38" s="95" t="s">
        <v>4460</v>
      </c>
      <c r="H38" s="95"/>
    </row>
    <row r="39" ht="15.75" customHeight="1">
      <c r="B39" s="95">
        <v>14.0</v>
      </c>
      <c r="C39" s="95"/>
      <c r="D39" s="95"/>
      <c r="E39" s="95"/>
      <c r="F39" s="95" t="str">
        <f t="shared" si="1"/>
        <v>#VALUE!</v>
      </c>
      <c r="G39" s="95" t="s">
        <v>4460</v>
      </c>
      <c r="H39" s="95"/>
    </row>
    <row r="40" ht="15.75" customHeight="1">
      <c r="B40" s="95">
        <v>15.0</v>
      </c>
      <c r="C40" s="95"/>
      <c r="D40" s="95"/>
      <c r="E40" s="95"/>
      <c r="F40" s="95">
        <f t="shared" si="1"/>
        <v>0</v>
      </c>
      <c r="G40" s="95" t="s">
        <v>4460</v>
      </c>
      <c r="H40" s="95"/>
    </row>
    <row r="41" ht="15.75" customHeight="1">
      <c r="B41" s="95">
        <v>16.0</v>
      </c>
      <c r="C41" s="95"/>
      <c r="D41" s="95"/>
      <c r="E41" s="95"/>
      <c r="F41" s="95">
        <f t="shared" si="1"/>
        <v>0</v>
      </c>
      <c r="G41" s="95" t="s">
        <v>4460</v>
      </c>
      <c r="H41" s="95"/>
    </row>
    <row r="42" ht="15.75" customHeight="1">
      <c r="B42" s="95">
        <v>17.0</v>
      </c>
      <c r="C42" s="95"/>
      <c r="D42" s="95"/>
      <c r="E42" s="95"/>
      <c r="F42" s="95">
        <f t="shared" si="1"/>
        <v>0</v>
      </c>
      <c r="G42" s="95" t="s">
        <v>4460</v>
      </c>
      <c r="H42" s="95"/>
    </row>
    <row r="43" ht="15.75" customHeight="1">
      <c r="B43" s="95">
        <v>18.0</v>
      </c>
      <c r="C43" s="95"/>
      <c r="D43" s="95"/>
      <c r="E43" s="95"/>
      <c r="F43" s="95">
        <f t="shared" si="1"/>
        <v>0</v>
      </c>
      <c r="G43" s="95" t="s">
        <v>4460</v>
      </c>
      <c r="H43" s="95"/>
    </row>
    <row r="44" ht="15.75" customHeight="1">
      <c r="B44" s="95">
        <v>19.0</v>
      </c>
      <c r="C44" s="95"/>
      <c r="D44" s="95"/>
      <c r="E44" s="95"/>
      <c r="F44" s="95">
        <f t="shared" si="1"/>
        <v>0</v>
      </c>
      <c r="G44" s="95" t="s">
        <v>4460</v>
      </c>
      <c r="H44" s="95"/>
    </row>
    <row r="45" ht="15.75" customHeight="1">
      <c r="B45" s="95">
        <v>20.0</v>
      </c>
      <c r="C45" s="95"/>
      <c r="D45" s="95"/>
      <c r="E45" s="95"/>
      <c r="F45" s="95" t="str">
        <f t="shared" si="1"/>
        <v>#VALUE!</v>
      </c>
      <c r="G45" s="95" t="s">
        <v>4460</v>
      </c>
      <c r="H45" s="95"/>
    </row>
    <row r="46" ht="15.75" customHeight="1">
      <c r="B46" s="95">
        <v>21.0</v>
      </c>
      <c r="C46" s="95"/>
      <c r="D46" s="95"/>
      <c r="E46" s="95"/>
      <c r="F46" s="95">
        <f t="shared" si="1"/>
        <v>0</v>
      </c>
      <c r="G46" s="95" t="s">
        <v>4460</v>
      </c>
      <c r="H46" s="95"/>
    </row>
    <row r="47" ht="15.75" customHeight="1">
      <c r="B47" s="95">
        <v>22.0</v>
      </c>
      <c r="C47" s="95"/>
      <c r="D47" s="95"/>
      <c r="E47" s="95"/>
      <c r="F47" s="95">
        <f t="shared" si="1"/>
        <v>0</v>
      </c>
      <c r="G47" s="95" t="s">
        <v>4460</v>
      </c>
      <c r="H47" s="95"/>
    </row>
    <row r="48" ht="15.75" customHeight="1">
      <c r="B48" s="95">
        <v>23.0</v>
      </c>
      <c r="C48" s="95"/>
      <c r="D48" s="95"/>
      <c r="E48" s="95"/>
      <c r="F48" s="95">
        <f t="shared" si="1"/>
        <v>0</v>
      </c>
      <c r="G48" s="95" t="s">
        <v>4460</v>
      </c>
      <c r="H48" s="95"/>
    </row>
    <row r="49" ht="15.75" customHeight="1">
      <c r="B49" s="95">
        <v>24.0</v>
      </c>
      <c r="C49" s="95"/>
      <c r="D49" s="95"/>
      <c r="E49" s="95"/>
      <c r="F49" s="95">
        <f t="shared" si="1"/>
        <v>0</v>
      </c>
      <c r="G49" s="95" t="s">
        <v>4460</v>
      </c>
      <c r="H49" s="95"/>
    </row>
    <row r="50" ht="15.75" customHeight="1">
      <c r="B50" s="95">
        <v>25.0</v>
      </c>
      <c r="C50" s="95"/>
      <c r="D50" s="95"/>
      <c r="E50" s="95"/>
      <c r="F50" s="95">
        <f t="shared" si="1"/>
        <v>0</v>
      </c>
      <c r="G50" s="95" t="s">
        <v>4460</v>
      </c>
      <c r="H50" s="95"/>
    </row>
    <row r="51" ht="15.75" customHeight="1">
      <c r="B51" s="95">
        <v>26.0</v>
      </c>
      <c r="C51" s="95"/>
      <c r="D51" s="95"/>
      <c r="E51" s="95"/>
      <c r="F51" s="95">
        <f t="shared" si="1"/>
        <v>0</v>
      </c>
      <c r="G51" s="95" t="s">
        <v>4460</v>
      </c>
      <c r="H51" s="95"/>
    </row>
    <row r="52" ht="15.75" customHeight="1">
      <c r="B52" s="95">
        <v>27.0</v>
      </c>
      <c r="C52" s="95"/>
      <c r="D52" s="95"/>
      <c r="E52" s="95"/>
      <c r="F52" s="95">
        <f t="shared" si="1"/>
        <v>0</v>
      </c>
      <c r="G52" s="95" t="s">
        <v>4460</v>
      </c>
      <c r="H52" s="95"/>
    </row>
    <row r="53" ht="15.75" customHeight="1">
      <c r="B53" s="95">
        <v>28.0</v>
      </c>
      <c r="C53" s="95"/>
      <c r="D53" s="95"/>
      <c r="E53" s="95"/>
      <c r="F53" s="95">
        <f t="shared" si="1"/>
        <v>0</v>
      </c>
      <c r="G53" s="95" t="s">
        <v>4460</v>
      </c>
      <c r="H53" s="95"/>
    </row>
    <row r="54" ht="15.75" customHeight="1">
      <c r="B54" s="95">
        <v>29.0</v>
      </c>
      <c r="C54" s="95"/>
      <c r="D54" s="95"/>
      <c r="E54" s="95"/>
      <c r="F54" s="95">
        <f t="shared" si="1"/>
        <v>0</v>
      </c>
      <c r="G54" s="95" t="s">
        <v>4460</v>
      </c>
      <c r="H54" s="95"/>
    </row>
    <row r="55" ht="15.75" customHeight="1">
      <c r="B55" s="95">
        <v>30.0</v>
      </c>
      <c r="C55" s="95"/>
      <c r="D55" s="95"/>
      <c r="E55" s="95"/>
      <c r="F55" s="95">
        <f t="shared" si="1"/>
        <v>0</v>
      </c>
      <c r="G55" s="95" t="s">
        <v>4460</v>
      </c>
      <c r="H55" s="95"/>
    </row>
    <row r="56" ht="15.75" customHeight="1">
      <c r="A56" s="115" t="s">
        <v>4498</v>
      </c>
    </row>
    <row r="57" ht="15.75" customHeight="1">
      <c r="A57" s="115" t="s">
        <v>4258</v>
      </c>
      <c r="B57" s="115" t="s">
        <v>3079</v>
      </c>
      <c r="C57" s="115" t="s">
        <v>4499</v>
      </c>
      <c r="D57" s="115" t="s">
        <v>3858</v>
      </c>
      <c r="E57" s="115" t="s">
        <v>2627</v>
      </c>
      <c r="F57" s="115" t="s">
        <v>1466</v>
      </c>
      <c r="G57" s="115" t="s">
        <v>4500</v>
      </c>
    </row>
    <row r="58" ht="15.75" customHeight="1">
      <c r="A58" s="115" t="s">
        <v>4501</v>
      </c>
    </row>
    <row r="59" ht="15.75" customHeight="1">
      <c r="B59" s="115" t="s">
        <v>4502</v>
      </c>
      <c r="C59" s="115" t="s">
        <v>4503</v>
      </c>
      <c r="D59" s="115" t="s">
        <v>4504</v>
      </c>
      <c r="E59" s="115" t="s">
        <v>4505</v>
      </c>
      <c r="F59" s="115" t="s">
        <v>2453</v>
      </c>
      <c r="G59" s="115" t="s">
        <v>4506</v>
      </c>
    </row>
    <row r="60" ht="15.75" customHeight="1">
      <c r="B60" s="115" t="s">
        <v>4507</v>
      </c>
      <c r="C60" s="115" t="s">
        <v>4508</v>
      </c>
      <c r="D60" s="115" t="s">
        <v>4509</v>
      </c>
      <c r="E60" s="115" t="s">
        <v>4510</v>
      </c>
      <c r="F60" s="115" t="s">
        <v>2453</v>
      </c>
      <c r="G60" s="115" t="s">
        <v>4511</v>
      </c>
    </row>
    <row r="61" ht="15.75" customHeight="1">
      <c r="B61" s="115" t="s">
        <v>4512</v>
      </c>
      <c r="C61" s="115" t="s">
        <v>4513</v>
      </c>
      <c r="D61" s="115" t="s">
        <v>4514</v>
      </c>
      <c r="E61" s="115" t="s">
        <v>4515</v>
      </c>
      <c r="F61" s="115" t="s">
        <v>2453</v>
      </c>
      <c r="G61" s="115" t="s">
        <v>4516</v>
      </c>
    </row>
    <row r="62" ht="15.75" customHeight="1">
      <c r="A62" s="115" t="s">
        <v>4517</v>
      </c>
    </row>
    <row r="63" ht="15.75" customHeight="1">
      <c r="B63" s="115" t="s">
        <v>4518</v>
      </c>
      <c r="C63" s="115" t="s">
        <v>4519</v>
      </c>
      <c r="D63" s="115" t="s">
        <v>4520</v>
      </c>
      <c r="E63" s="115" t="s">
        <v>4521</v>
      </c>
      <c r="F63" s="115" t="s">
        <v>2453</v>
      </c>
      <c r="G63" s="115" t="s">
        <v>4522</v>
      </c>
    </row>
    <row r="64" ht="15.75" customHeight="1">
      <c r="B64" s="115" t="s">
        <v>4523</v>
      </c>
      <c r="C64" s="115" t="s">
        <v>4524</v>
      </c>
      <c r="D64" s="115" t="s">
        <v>4525</v>
      </c>
      <c r="E64" s="115" t="s">
        <v>4526</v>
      </c>
      <c r="F64" s="115" t="s">
        <v>2453</v>
      </c>
      <c r="G64" s="115" t="s">
        <v>4527</v>
      </c>
    </row>
    <row r="65" ht="15.75" customHeight="1">
      <c r="B65" s="115" t="s">
        <v>4528</v>
      </c>
      <c r="C65" s="115" t="s">
        <v>4529</v>
      </c>
      <c r="D65" s="115" t="s">
        <v>4530</v>
      </c>
      <c r="E65" s="115" t="s">
        <v>4531</v>
      </c>
      <c r="F65" s="115" t="s">
        <v>2479</v>
      </c>
      <c r="G65" s="115" t="s">
        <v>4532</v>
      </c>
    </row>
    <row r="66" ht="15.75" customHeight="1">
      <c r="A66" s="115" t="s">
        <v>4533</v>
      </c>
    </row>
    <row r="67" ht="15.75" customHeight="1">
      <c r="B67" s="115" t="s">
        <v>4534</v>
      </c>
      <c r="C67" s="115" t="s">
        <v>4535</v>
      </c>
      <c r="D67" s="115" t="s">
        <v>4536</v>
      </c>
      <c r="E67" s="115" t="s">
        <v>4537</v>
      </c>
      <c r="F67" s="115" t="s">
        <v>2453</v>
      </c>
      <c r="G67" s="115" t="s">
        <v>4538</v>
      </c>
    </row>
    <row r="68" ht="15.75" customHeight="1">
      <c r="B68" s="115" t="s">
        <v>4539</v>
      </c>
      <c r="C68" s="115" t="s">
        <v>4540</v>
      </c>
      <c r="D68" s="115" t="s">
        <v>4541</v>
      </c>
      <c r="E68" s="115" t="s">
        <v>4542</v>
      </c>
      <c r="F68" s="115" t="s">
        <v>2453</v>
      </c>
      <c r="G68" s="115" t="s">
        <v>4543</v>
      </c>
    </row>
    <row r="69" ht="15.75" customHeight="1">
      <c r="B69" s="115" t="s">
        <v>4544</v>
      </c>
      <c r="C69" s="115" t="s">
        <v>4545</v>
      </c>
      <c r="D69" s="115" t="s">
        <v>4546</v>
      </c>
      <c r="E69" s="115" t="s">
        <v>4547</v>
      </c>
      <c r="F69" s="115" t="s">
        <v>2453</v>
      </c>
      <c r="G69" s="115" t="s">
        <v>4548</v>
      </c>
    </row>
    <row r="70" ht="15.75" customHeight="1">
      <c r="A70" s="115" t="s">
        <v>4549</v>
      </c>
    </row>
    <row r="71" ht="15.75" customHeight="1">
      <c r="B71" s="115" t="s">
        <v>4550</v>
      </c>
      <c r="C71" s="115" t="s">
        <v>4551</v>
      </c>
      <c r="D71" s="115" t="s">
        <v>4552</v>
      </c>
      <c r="E71" s="115" t="s">
        <v>4553</v>
      </c>
      <c r="F71" s="115" t="s">
        <v>2453</v>
      </c>
      <c r="G71" s="115" t="s">
        <v>4554</v>
      </c>
    </row>
    <row r="72" ht="15.75" customHeight="1">
      <c r="B72" s="115" t="s">
        <v>4555</v>
      </c>
      <c r="C72" s="115" t="s">
        <v>4556</v>
      </c>
      <c r="D72" s="115" t="s">
        <v>4557</v>
      </c>
      <c r="E72" s="115" t="s">
        <v>4558</v>
      </c>
      <c r="F72" s="115" t="s">
        <v>2453</v>
      </c>
      <c r="G72" s="115" t="s">
        <v>4559</v>
      </c>
    </row>
    <row r="73" ht="15.75" customHeight="1">
      <c r="B73" s="115" t="s">
        <v>2496</v>
      </c>
      <c r="C73" s="115" t="s">
        <v>4560</v>
      </c>
      <c r="D73" s="115" t="s">
        <v>4561</v>
      </c>
      <c r="E73" s="115" t="s">
        <v>4562</v>
      </c>
      <c r="F73" s="115" t="s">
        <v>41</v>
      </c>
      <c r="G73" s="115" t="s">
        <v>4563</v>
      </c>
    </row>
    <row r="74" ht="15.75" customHeight="1">
      <c r="A74" s="115" t="s">
        <v>4564</v>
      </c>
    </row>
    <row r="75" ht="15.75" customHeight="1">
      <c r="B75" s="115" t="s">
        <v>4565</v>
      </c>
      <c r="C75" s="115" t="s">
        <v>4566</v>
      </c>
      <c r="D75" s="115" t="s">
        <v>4567</v>
      </c>
      <c r="E75" s="115" t="s">
        <v>4568</v>
      </c>
      <c r="F75" s="115" t="s">
        <v>41</v>
      </c>
      <c r="G75" s="115" t="s">
        <v>4569</v>
      </c>
    </row>
    <row r="76" ht="15.75" customHeight="1">
      <c r="B76" s="115" t="s">
        <v>2496</v>
      </c>
      <c r="C76" s="115" t="s">
        <v>4570</v>
      </c>
      <c r="D76" s="115" t="s">
        <v>4571</v>
      </c>
      <c r="E76" s="115" t="s">
        <v>4572</v>
      </c>
      <c r="F76" s="115" t="s">
        <v>2442</v>
      </c>
      <c r="G76" s="115" t="s">
        <v>4573</v>
      </c>
    </row>
    <row r="77" ht="15.75" customHeight="1">
      <c r="B77" s="115" t="s">
        <v>2496</v>
      </c>
      <c r="C77" s="115" t="s">
        <v>4574</v>
      </c>
      <c r="D77" s="115" t="s">
        <v>4575</v>
      </c>
      <c r="E77" s="115" t="s">
        <v>4576</v>
      </c>
      <c r="F77" s="115" t="s">
        <v>2442</v>
      </c>
      <c r="G77" s="115" t="s">
        <v>4577</v>
      </c>
    </row>
    <row r="78" ht="15.75" customHeight="1">
      <c r="A78" s="115" t="s">
        <v>4258</v>
      </c>
      <c r="B78" s="115" t="s">
        <v>3079</v>
      </c>
      <c r="C78" s="115" t="s">
        <v>4499</v>
      </c>
      <c r="D78" s="115" t="s">
        <v>3858</v>
      </c>
      <c r="E78" s="115" t="s">
        <v>2627</v>
      </c>
      <c r="F78" s="115" t="s">
        <v>1466</v>
      </c>
      <c r="G78" s="115" t="s">
        <v>4500</v>
      </c>
    </row>
    <row r="79" ht="15.75" customHeight="1">
      <c r="A79" s="115" t="s">
        <v>4501</v>
      </c>
    </row>
    <row r="80" ht="15.75" customHeight="1">
      <c r="B80" s="115" t="s">
        <v>4502</v>
      </c>
      <c r="C80" s="115" t="s">
        <v>4503</v>
      </c>
      <c r="D80" s="115" t="s">
        <v>4504</v>
      </c>
      <c r="E80" s="115" t="s">
        <v>4505</v>
      </c>
      <c r="F80" s="115" t="s">
        <v>2453</v>
      </c>
      <c r="G80" s="115" t="s">
        <v>4506</v>
      </c>
    </row>
    <row r="81" ht="15.75" customHeight="1">
      <c r="B81" s="115" t="s">
        <v>4507</v>
      </c>
      <c r="C81" s="115" t="s">
        <v>4508</v>
      </c>
      <c r="D81" s="115" t="s">
        <v>4509</v>
      </c>
      <c r="E81" s="115" t="s">
        <v>4510</v>
      </c>
      <c r="F81" s="115" t="s">
        <v>2453</v>
      </c>
      <c r="G81" s="115" t="s">
        <v>4511</v>
      </c>
    </row>
    <row r="82" ht="15.75" customHeight="1">
      <c r="B82" s="115" t="s">
        <v>4512</v>
      </c>
      <c r="C82" s="115" t="s">
        <v>4513</v>
      </c>
      <c r="D82" s="115" t="s">
        <v>4514</v>
      </c>
      <c r="E82" s="115" t="s">
        <v>4515</v>
      </c>
      <c r="F82" s="115" t="s">
        <v>2453</v>
      </c>
      <c r="G82" s="115" t="s">
        <v>4516</v>
      </c>
    </row>
    <row r="83" ht="15.75" customHeight="1">
      <c r="A83" s="115" t="s">
        <v>4517</v>
      </c>
    </row>
    <row r="84" ht="15.75" customHeight="1">
      <c r="B84" s="115" t="s">
        <v>4518</v>
      </c>
      <c r="C84" s="115" t="s">
        <v>4519</v>
      </c>
      <c r="D84" s="115" t="s">
        <v>4520</v>
      </c>
      <c r="E84" s="115" t="s">
        <v>4521</v>
      </c>
      <c r="F84" s="115" t="s">
        <v>2453</v>
      </c>
      <c r="G84" s="115" t="s">
        <v>4522</v>
      </c>
    </row>
    <row r="85" ht="15.75" customHeight="1">
      <c r="B85" s="115" t="s">
        <v>4523</v>
      </c>
      <c r="C85" s="115" t="s">
        <v>4524</v>
      </c>
      <c r="D85" s="115" t="s">
        <v>4525</v>
      </c>
      <c r="E85" s="115" t="s">
        <v>4526</v>
      </c>
      <c r="F85" s="115" t="s">
        <v>2453</v>
      </c>
      <c r="G85" s="115" t="s">
        <v>4527</v>
      </c>
    </row>
    <row r="86" ht="15.75" customHeight="1">
      <c r="B86" s="115" t="s">
        <v>4528</v>
      </c>
      <c r="C86" s="115" t="s">
        <v>4529</v>
      </c>
      <c r="D86" s="115" t="s">
        <v>4530</v>
      </c>
      <c r="E86" s="115" t="s">
        <v>4531</v>
      </c>
      <c r="F86" s="115" t="s">
        <v>2479</v>
      </c>
      <c r="G86" s="115" t="s">
        <v>4532</v>
      </c>
    </row>
    <row r="87" ht="15.75" customHeight="1">
      <c r="A87" s="115" t="s">
        <v>4533</v>
      </c>
    </row>
    <row r="88" ht="15.75" customHeight="1">
      <c r="B88" s="115" t="s">
        <v>4534</v>
      </c>
      <c r="C88" s="115" t="s">
        <v>4535</v>
      </c>
      <c r="D88" s="115" t="s">
        <v>4536</v>
      </c>
      <c r="E88" s="115" t="s">
        <v>4537</v>
      </c>
      <c r="F88" s="115" t="s">
        <v>2453</v>
      </c>
      <c r="G88" s="115" t="s">
        <v>4538</v>
      </c>
    </row>
    <row r="89" ht="15.75" customHeight="1">
      <c r="B89" s="115" t="s">
        <v>4539</v>
      </c>
      <c r="C89" s="115" t="s">
        <v>4540</v>
      </c>
      <c r="D89" s="115" t="s">
        <v>4541</v>
      </c>
      <c r="E89" s="115" t="s">
        <v>4542</v>
      </c>
      <c r="F89" s="115" t="s">
        <v>2453</v>
      </c>
      <c r="G89" s="115" t="s">
        <v>4543</v>
      </c>
    </row>
    <row r="90" ht="15.75" customHeight="1">
      <c r="B90" s="115" t="s">
        <v>4544</v>
      </c>
      <c r="C90" s="115" t="s">
        <v>4545</v>
      </c>
      <c r="D90" s="115" t="s">
        <v>4546</v>
      </c>
      <c r="E90" s="115" t="s">
        <v>4547</v>
      </c>
      <c r="F90" s="115" t="s">
        <v>2453</v>
      </c>
      <c r="G90" s="115" t="s">
        <v>4548</v>
      </c>
    </row>
    <row r="91" ht="15.75" customHeight="1">
      <c r="A91" s="115" t="s">
        <v>4549</v>
      </c>
    </row>
    <row r="92" ht="15.75" customHeight="1">
      <c r="B92" s="115" t="s">
        <v>4550</v>
      </c>
      <c r="C92" s="115" t="s">
        <v>4551</v>
      </c>
      <c r="D92" s="115" t="s">
        <v>4552</v>
      </c>
      <c r="E92" s="115" t="s">
        <v>4553</v>
      </c>
      <c r="F92" s="115" t="s">
        <v>2453</v>
      </c>
      <c r="G92" s="115" t="s">
        <v>4554</v>
      </c>
    </row>
    <row r="93" ht="15.75" customHeight="1">
      <c r="B93" s="115" t="s">
        <v>4555</v>
      </c>
      <c r="C93" s="115" t="s">
        <v>4556</v>
      </c>
      <c r="D93" s="115" t="s">
        <v>4557</v>
      </c>
      <c r="E93" s="115" t="s">
        <v>4558</v>
      </c>
      <c r="F93" s="115" t="s">
        <v>2453</v>
      </c>
      <c r="G93" s="115" t="s">
        <v>4559</v>
      </c>
    </row>
    <row r="94" ht="15.75" customHeight="1">
      <c r="B94" s="115" t="s">
        <v>2496</v>
      </c>
      <c r="C94" s="115" t="s">
        <v>4560</v>
      </c>
      <c r="D94" s="115" t="s">
        <v>4561</v>
      </c>
      <c r="E94" s="115" t="s">
        <v>4562</v>
      </c>
      <c r="F94" s="115" t="s">
        <v>41</v>
      </c>
      <c r="G94" s="115" t="s">
        <v>4563</v>
      </c>
    </row>
    <row r="95" ht="15.75" customHeight="1">
      <c r="A95" s="115" t="s">
        <v>4564</v>
      </c>
    </row>
    <row r="96" ht="15.75" customHeight="1">
      <c r="B96" s="115" t="s">
        <v>4565</v>
      </c>
      <c r="C96" s="115" t="s">
        <v>4566</v>
      </c>
      <c r="D96" s="115" t="s">
        <v>4567</v>
      </c>
      <c r="E96" s="115" t="s">
        <v>4568</v>
      </c>
      <c r="F96" s="115" t="s">
        <v>41</v>
      </c>
      <c r="G96" s="115" t="s">
        <v>4569</v>
      </c>
    </row>
    <row r="97" ht="15.75" customHeight="1">
      <c r="B97" s="115" t="s">
        <v>2496</v>
      </c>
      <c r="C97" s="115" t="s">
        <v>4570</v>
      </c>
      <c r="D97" s="115" t="s">
        <v>4571</v>
      </c>
      <c r="E97" s="115" t="s">
        <v>4572</v>
      </c>
      <c r="F97" s="115" t="s">
        <v>2442</v>
      </c>
      <c r="G97" s="115" t="s">
        <v>4573</v>
      </c>
    </row>
    <row r="98" ht="15.75" customHeight="1">
      <c r="B98" s="115" t="s">
        <v>2496</v>
      </c>
      <c r="C98" s="115" t="s">
        <v>4574</v>
      </c>
      <c r="D98" s="115" t="s">
        <v>4575</v>
      </c>
      <c r="E98" s="115" t="s">
        <v>4576</v>
      </c>
      <c r="F98" s="115" t="s">
        <v>2442</v>
      </c>
      <c r="G98" s="115" t="s">
        <v>4577</v>
      </c>
    </row>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40.0"/>
    <col customWidth="1" min="3" max="3" width="35.0"/>
    <col customWidth="1" min="4" max="4" width="25.0"/>
    <col customWidth="1" min="5" max="5" width="20.0"/>
    <col customWidth="1" min="6" max="8" width="15.0"/>
    <col customWidth="1" min="9" max="9" width="8.71"/>
  </cols>
  <sheetData>
    <row r="1" ht="49.5" customHeight="1">
      <c r="A1" s="215" t="s">
        <v>4578</v>
      </c>
      <c r="B1" s="183"/>
      <c r="C1" s="183"/>
      <c r="D1" s="183"/>
      <c r="E1" s="183"/>
      <c r="F1" s="183"/>
      <c r="G1" s="183"/>
      <c r="H1" s="184"/>
    </row>
    <row r="2">
      <c r="A2" s="216" t="s">
        <v>4579</v>
      </c>
    </row>
    <row r="3">
      <c r="A3" s="115" t="s">
        <v>4580</v>
      </c>
    </row>
    <row r="4">
      <c r="A4" s="115" t="s">
        <v>0</v>
      </c>
      <c r="B4" s="115" t="s">
        <v>4006</v>
      </c>
      <c r="C4" s="115" t="s">
        <v>4007</v>
      </c>
      <c r="D4" s="115" t="s">
        <v>4008</v>
      </c>
      <c r="E4" s="115" t="s">
        <v>4009</v>
      </c>
      <c r="F4" s="115" t="s">
        <v>2364</v>
      </c>
      <c r="G4" s="115" t="s">
        <v>4010</v>
      </c>
      <c r="H4" s="115" t="s">
        <v>13</v>
      </c>
    </row>
    <row r="5">
      <c r="A5" s="115" t="s">
        <v>2103</v>
      </c>
      <c r="B5" s="115" t="s">
        <v>4011</v>
      </c>
      <c r="C5" s="115" t="s">
        <v>4012</v>
      </c>
      <c r="D5" s="115" t="s">
        <v>1897</v>
      </c>
      <c r="E5" s="115" t="s">
        <v>3665</v>
      </c>
      <c r="F5" s="115" t="s">
        <v>4013</v>
      </c>
      <c r="G5" s="115" t="s">
        <v>3087</v>
      </c>
      <c r="H5" s="115" t="s">
        <v>4014</v>
      </c>
    </row>
    <row r="6">
      <c r="A6" s="115" t="s">
        <v>2109</v>
      </c>
      <c r="B6" s="115" t="s">
        <v>2115</v>
      </c>
      <c r="C6" s="115" t="s">
        <v>4012</v>
      </c>
      <c r="D6" s="115" t="s">
        <v>3287</v>
      </c>
      <c r="E6" s="115" t="s">
        <v>3665</v>
      </c>
      <c r="F6" s="115" t="s">
        <v>4013</v>
      </c>
      <c r="G6" s="115" t="s">
        <v>3087</v>
      </c>
      <c r="H6" s="115" t="s">
        <v>4015</v>
      </c>
    </row>
    <row r="7">
      <c r="A7" s="115" t="s">
        <v>2114</v>
      </c>
      <c r="B7" s="115" t="s">
        <v>4016</v>
      </c>
      <c r="C7" s="115" t="s">
        <v>4012</v>
      </c>
      <c r="D7" s="115" t="s">
        <v>1897</v>
      </c>
      <c r="E7" s="115" t="s">
        <v>4017</v>
      </c>
      <c r="F7" s="115" t="s">
        <v>4018</v>
      </c>
      <c r="G7" s="115" t="s">
        <v>3087</v>
      </c>
      <c r="H7" s="115" t="s">
        <v>4019</v>
      </c>
    </row>
    <row r="8">
      <c r="A8" s="115" t="s">
        <v>2117</v>
      </c>
      <c r="B8" s="115" t="s">
        <v>4020</v>
      </c>
      <c r="C8" s="115" t="s">
        <v>4021</v>
      </c>
      <c r="D8" s="115" t="s">
        <v>1897</v>
      </c>
      <c r="E8" s="115" t="s">
        <v>4022</v>
      </c>
      <c r="F8" s="115" t="s">
        <v>4013</v>
      </c>
      <c r="G8" s="115" t="s">
        <v>3092</v>
      </c>
      <c r="H8" s="115" t="s">
        <v>4023</v>
      </c>
    </row>
    <row r="9">
      <c r="A9" s="115" t="s">
        <v>2121</v>
      </c>
      <c r="B9" s="115" t="s">
        <v>4024</v>
      </c>
      <c r="C9" s="115" t="s">
        <v>4021</v>
      </c>
      <c r="D9" s="115" t="s">
        <v>1897</v>
      </c>
      <c r="E9" s="115" t="s">
        <v>4025</v>
      </c>
      <c r="F9" s="115" t="s">
        <v>4013</v>
      </c>
      <c r="G9" s="115" t="s">
        <v>3092</v>
      </c>
      <c r="H9" s="115" t="s">
        <v>4023</v>
      </c>
    </row>
    <row r="10">
      <c r="A10" s="115" t="s">
        <v>2124</v>
      </c>
      <c r="B10" s="115" t="s">
        <v>4026</v>
      </c>
      <c r="C10" s="115" t="s">
        <v>4027</v>
      </c>
      <c r="D10" s="115" t="s">
        <v>1897</v>
      </c>
      <c r="E10" s="115" t="s">
        <v>4028</v>
      </c>
      <c r="F10" s="115" t="s">
        <v>4013</v>
      </c>
      <c r="G10" s="115" t="s">
        <v>3092</v>
      </c>
      <c r="H10" s="115" t="s">
        <v>4029</v>
      </c>
    </row>
    <row r="11">
      <c r="A11" s="115" t="s">
        <v>2127</v>
      </c>
      <c r="B11" s="115" t="s">
        <v>4030</v>
      </c>
      <c r="C11" s="115" t="s">
        <v>4027</v>
      </c>
      <c r="D11" s="115" t="s">
        <v>1897</v>
      </c>
      <c r="E11" s="115" t="s">
        <v>4028</v>
      </c>
      <c r="F11" s="115" t="s">
        <v>4013</v>
      </c>
      <c r="G11" s="115" t="s">
        <v>3092</v>
      </c>
      <c r="H11" s="115" t="s">
        <v>4029</v>
      </c>
    </row>
    <row r="12">
      <c r="A12" s="115" t="s">
        <v>2131</v>
      </c>
      <c r="B12" s="115" t="s">
        <v>4031</v>
      </c>
      <c r="C12" s="115" t="s">
        <v>4027</v>
      </c>
      <c r="D12" s="115" t="s">
        <v>1897</v>
      </c>
      <c r="E12" s="115" t="s">
        <v>4028</v>
      </c>
      <c r="F12" s="115" t="s">
        <v>4013</v>
      </c>
      <c r="G12" s="115" t="s">
        <v>3087</v>
      </c>
      <c r="H12" s="115" t="s">
        <v>4029</v>
      </c>
    </row>
    <row r="13">
      <c r="A13" s="115" t="s">
        <v>2136</v>
      </c>
      <c r="B13" s="115" t="s">
        <v>4032</v>
      </c>
      <c r="C13" s="115" t="s">
        <v>4027</v>
      </c>
      <c r="D13" s="115" t="s">
        <v>1897</v>
      </c>
      <c r="E13" s="115" t="s">
        <v>4028</v>
      </c>
      <c r="F13" s="115" t="s">
        <v>4013</v>
      </c>
      <c r="G13" s="115" t="s">
        <v>3087</v>
      </c>
      <c r="H13" s="115" t="s">
        <v>4029</v>
      </c>
    </row>
    <row r="14">
      <c r="A14" s="115" t="s">
        <v>2140</v>
      </c>
      <c r="B14" s="115" t="s">
        <v>4033</v>
      </c>
      <c r="C14" s="115" t="s">
        <v>4034</v>
      </c>
      <c r="D14" s="115" t="s">
        <v>3665</v>
      </c>
      <c r="E14" s="115" t="s">
        <v>4035</v>
      </c>
      <c r="F14" s="115" t="s">
        <v>4013</v>
      </c>
      <c r="G14" s="115" t="s">
        <v>3287</v>
      </c>
      <c r="H14" s="115" t="s">
        <v>4036</v>
      </c>
    </row>
    <row r="15">
      <c r="A15" s="115" t="s">
        <v>2144</v>
      </c>
      <c r="B15" s="115" t="s">
        <v>4037</v>
      </c>
      <c r="C15" s="115" t="s">
        <v>4034</v>
      </c>
      <c r="D15" s="115" t="s">
        <v>3665</v>
      </c>
      <c r="E15" s="115" t="s">
        <v>4035</v>
      </c>
      <c r="F15" s="115" t="s">
        <v>4013</v>
      </c>
      <c r="G15" s="115" t="s">
        <v>3287</v>
      </c>
      <c r="H15" s="115" t="s">
        <v>4038</v>
      </c>
    </row>
    <row r="16">
      <c r="A16" s="115" t="s">
        <v>2146</v>
      </c>
      <c r="B16" s="115" t="s">
        <v>4039</v>
      </c>
      <c r="C16" s="115" t="s">
        <v>4034</v>
      </c>
      <c r="D16" s="115" t="s">
        <v>1897</v>
      </c>
      <c r="E16" s="115" t="s">
        <v>4040</v>
      </c>
      <c r="F16" s="115" t="s">
        <v>4013</v>
      </c>
      <c r="G16" s="115" t="s">
        <v>3087</v>
      </c>
      <c r="H16" s="115" t="s">
        <v>4038</v>
      </c>
    </row>
    <row r="17">
      <c r="A17" s="115" t="s">
        <v>2150</v>
      </c>
      <c r="B17" s="115" t="s">
        <v>2128</v>
      </c>
      <c r="C17" s="115" t="s">
        <v>4034</v>
      </c>
      <c r="D17" s="115" t="s">
        <v>1897</v>
      </c>
      <c r="E17" s="115" t="s">
        <v>4041</v>
      </c>
      <c r="F17" s="115" t="s">
        <v>4018</v>
      </c>
      <c r="G17" s="115" t="s">
        <v>3087</v>
      </c>
      <c r="H17" s="115" t="s">
        <v>4042</v>
      </c>
    </row>
    <row r="18">
      <c r="A18" s="115" t="s">
        <v>2153</v>
      </c>
      <c r="B18" s="115" t="s">
        <v>4043</v>
      </c>
      <c r="C18" s="115" t="s">
        <v>4044</v>
      </c>
      <c r="D18" s="115" t="s">
        <v>3665</v>
      </c>
      <c r="E18" s="115" t="s">
        <v>4035</v>
      </c>
      <c r="F18" s="115" t="s">
        <v>4013</v>
      </c>
      <c r="G18" s="115" t="s">
        <v>3287</v>
      </c>
    </row>
    <row r="19">
      <c r="A19" s="115" t="s">
        <v>2160</v>
      </c>
      <c r="B19" s="115" t="s">
        <v>2165</v>
      </c>
      <c r="C19" s="115" t="s">
        <v>4044</v>
      </c>
      <c r="D19" s="115" t="s">
        <v>3665</v>
      </c>
      <c r="E19" s="115" t="s">
        <v>4035</v>
      </c>
      <c r="F19" s="115" t="s">
        <v>4013</v>
      </c>
      <c r="G19" s="115" t="s">
        <v>3287</v>
      </c>
    </row>
    <row r="20">
      <c r="A20" s="115" t="s">
        <v>2164</v>
      </c>
      <c r="B20" s="115" t="s">
        <v>4045</v>
      </c>
      <c r="C20" s="115" t="s">
        <v>4044</v>
      </c>
      <c r="D20" s="115" t="s">
        <v>1897</v>
      </c>
      <c r="E20" s="115" t="s">
        <v>4046</v>
      </c>
      <c r="F20" s="115" t="s">
        <v>4013</v>
      </c>
      <c r="G20" s="115" t="s">
        <v>3287</v>
      </c>
      <c r="H20" s="115" t="s">
        <v>4047</v>
      </c>
    </row>
    <row r="21" ht="15.75" customHeight="1">
      <c r="A21" s="115" t="s">
        <v>2166</v>
      </c>
      <c r="B21" s="115" t="s">
        <v>4048</v>
      </c>
      <c r="C21" s="115" t="s">
        <v>4044</v>
      </c>
      <c r="D21" s="115" t="s">
        <v>3665</v>
      </c>
      <c r="E21" s="115" t="s">
        <v>4035</v>
      </c>
      <c r="F21" s="115" t="s">
        <v>4013</v>
      </c>
      <c r="G21" s="115" t="s">
        <v>3287</v>
      </c>
    </row>
    <row r="22" ht="15.75" customHeight="1">
      <c r="A22" s="115" t="s">
        <v>2169</v>
      </c>
      <c r="B22" s="115" t="s">
        <v>4049</v>
      </c>
      <c r="C22" s="115" t="s">
        <v>4044</v>
      </c>
      <c r="D22" s="115" t="s">
        <v>3665</v>
      </c>
      <c r="E22" s="115" t="s">
        <v>4035</v>
      </c>
      <c r="F22" s="115" t="s">
        <v>4013</v>
      </c>
      <c r="G22" s="115" t="s">
        <v>3287</v>
      </c>
    </row>
    <row r="23" ht="15.75" customHeight="1">
      <c r="A23" s="115" t="s">
        <v>2172</v>
      </c>
      <c r="B23" s="115" t="s">
        <v>4050</v>
      </c>
      <c r="C23" s="115" t="s">
        <v>4051</v>
      </c>
      <c r="D23" s="115" t="s">
        <v>3287</v>
      </c>
      <c r="E23" s="115" t="s">
        <v>4052</v>
      </c>
      <c r="F23" s="115" t="s">
        <v>4053</v>
      </c>
      <c r="G23" s="115" t="s">
        <v>3287</v>
      </c>
      <c r="H23" s="115" t="s">
        <v>4054</v>
      </c>
    </row>
    <row r="24" ht="15.75" customHeight="1">
      <c r="A24" s="115" t="s">
        <v>2174</v>
      </c>
      <c r="B24" s="115" t="s">
        <v>4055</v>
      </c>
      <c r="C24" s="115" t="s">
        <v>4051</v>
      </c>
      <c r="D24" s="115" t="s">
        <v>3287</v>
      </c>
      <c r="E24" s="115" t="s">
        <v>4056</v>
      </c>
      <c r="F24" s="115" t="s">
        <v>4053</v>
      </c>
      <c r="G24" s="115" t="s">
        <v>3287</v>
      </c>
      <c r="H24" s="115" t="s">
        <v>4057</v>
      </c>
    </row>
    <row r="25" ht="15.75" customHeight="1">
      <c r="A25" s="115" t="s">
        <v>2178</v>
      </c>
      <c r="B25" s="115" t="s">
        <v>4058</v>
      </c>
      <c r="C25" s="115" t="s">
        <v>4051</v>
      </c>
      <c r="D25" s="115" t="s">
        <v>3665</v>
      </c>
      <c r="E25" s="115" t="s">
        <v>4059</v>
      </c>
      <c r="F25" s="115" t="s">
        <v>4013</v>
      </c>
      <c r="G25" s="115" t="s">
        <v>3287</v>
      </c>
    </row>
    <row r="26" ht="15.75" customHeight="1">
      <c r="A26" s="115" t="s">
        <v>2182</v>
      </c>
      <c r="B26" s="115" t="s">
        <v>4060</v>
      </c>
      <c r="C26" s="115" t="s">
        <v>4051</v>
      </c>
      <c r="D26" s="115" t="s">
        <v>3665</v>
      </c>
      <c r="E26" s="115" t="s">
        <v>4059</v>
      </c>
      <c r="F26" s="115" t="s">
        <v>4013</v>
      </c>
      <c r="G26" s="115" t="s">
        <v>3287</v>
      </c>
    </row>
    <row r="27" ht="15.75" customHeight="1">
      <c r="A27" s="115" t="s">
        <v>2186</v>
      </c>
      <c r="B27" s="115" t="s">
        <v>4061</v>
      </c>
      <c r="C27" s="115" t="s">
        <v>4062</v>
      </c>
      <c r="D27" s="115" t="s">
        <v>1897</v>
      </c>
      <c r="E27" s="115" t="s">
        <v>3665</v>
      </c>
      <c r="F27" s="115" t="s">
        <v>4063</v>
      </c>
      <c r="G27" s="115" t="s">
        <v>3087</v>
      </c>
      <c r="H27" s="115" t="s">
        <v>4064</v>
      </c>
    </row>
    <row r="28" ht="15.75" customHeight="1">
      <c r="A28" s="115" t="s">
        <v>4581</v>
      </c>
    </row>
    <row r="29" ht="15.75" customHeight="1">
      <c r="A29" s="115" t="s">
        <v>4582</v>
      </c>
      <c r="B29" s="115" t="s">
        <v>4583</v>
      </c>
      <c r="C29" s="115" t="s">
        <v>4584</v>
      </c>
      <c r="D29" s="115" t="s">
        <v>4585</v>
      </c>
      <c r="E29" s="115" t="s">
        <v>4586</v>
      </c>
      <c r="F29" s="115" t="s">
        <v>4587</v>
      </c>
      <c r="G29" s="115" t="s">
        <v>4193</v>
      </c>
      <c r="H29" s="115" t="s">
        <v>4588</v>
      </c>
    </row>
    <row r="30" ht="15.75" customHeight="1">
      <c r="A30" s="115" t="s">
        <v>4589</v>
      </c>
      <c r="B30" s="115" t="s">
        <v>2051</v>
      </c>
      <c r="C30" s="115" t="s">
        <v>4590</v>
      </c>
      <c r="D30" s="115" t="s">
        <v>4591</v>
      </c>
      <c r="E30" s="115" t="s">
        <v>4592</v>
      </c>
      <c r="F30" s="115" t="s">
        <v>4593</v>
      </c>
      <c r="G30" s="115" t="s">
        <v>2263</v>
      </c>
      <c r="H30" s="115" t="s">
        <v>4594</v>
      </c>
    </row>
    <row r="31" ht="15.75" customHeight="1">
      <c r="A31" s="115" t="s">
        <v>4595</v>
      </c>
    </row>
    <row r="32" ht="15.75" customHeight="1">
      <c r="A32" s="115" t="s">
        <v>4596</v>
      </c>
    </row>
    <row r="33" ht="15.75" customHeight="1">
      <c r="A33" s="115" t="s">
        <v>4597</v>
      </c>
    </row>
    <row r="34" ht="15.75" customHeight="1">
      <c r="A34" s="115" t="s">
        <v>4598</v>
      </c>
    </row>
    <row r="35" ht="15.75" customHeight="1">
      <c r="A35" s="222" t="s">
        <v>4599</v>
      </c>
    </row>
    <row r="36" ht="15.75" customHeight="1">
      <c r="A36" s="115" t="s">
        <v>4600</v>
      </c>
      <c r="B36" s="115" t="s">
        <v>4601</v>
      </c>
    </row>
    <row r="37" ht="15.75" customHeight="1">
      <c r="A37" s="115" t="s">
        <v>4602</v>
      </c>
      <c r="B37" s="115" t="s">
        <v>4603</v>
      </c>
    </row>
    <row r="38" ht="15.75" customHeight="1">
      <c r="A38" s="115" t="s">
        <v>4604</v>
      </c>
      <c r="B38" s="115" t="s">
        <v>4605</v>
      </c>
    </row>
    <row r="39" ht="15.75" customHeight="1">
      <c r="A39" s="115" t="s">
        <v>4606</v>
      </c>
      <c r="B39" s="115" t="s">
        <v>4607</v>
      </c>
    </row>
    <row r="40" ht="15.75" customHeight="1">
      <c r="A40" s="115" t="s">
        <v>4608</v>
      </c>
      <c r="B40" s="115" t="s">
        <v>4609</v>
      </c>
    </row>
    <row r="41" ht="15.75" customHeight="1">
      <c r="A41" s="115" t="s">
        <v>4610</v>
      </c>
      <c r="B41" s="115" t="s">
        <v>4611</v>
      </c>
    </row>
    <row r="42" ht="15.75" customHeight="1">
      <c r="A42" s="115" t="s">
        <v>2367</v>
      </c>
      <c r="B42" s="115" t="s">
        <v>4612</v>
      </c>
    </row>
    <row r="43" ht="15.75" customHeight="1">
      <c r="A43" s="222" t="s">
        <v>4613</v>
      </c>
    </row>
    <row r="44" ht="15.75" customHeight="1">
      <c r="A44" s="115" t="s">
        <v>4614</v>
      </c>
      <c r="B44" s="115" t="str">
        <f>COUNTA(B6:B64)</f>
        <v>#REF!</v>
      </c>
    </row>
    <row r="45" ht="15.75" customHeight="1">
      <c r="A45" s="115" t="s">
        <v>4602</v>
      </c>
      <c r="B45" s="115">
        <f>COUNTIF(#REF!,"商談中")</f>
        <v>0</v>
      </c>
    </row>
    <row r="46" ht="15.75" customHeight="1">
      <c r="A46" s="115" t="s">
        <v>4604</v>
      </c>
      <c r="B46" s="115">
        <f>COUNTIF(#REF!,"提案済")</f>
        <v>0</v>
      </c>
    </row>
    <row r="47" ht="15.75" customHeight="1">
      <c r="A47" s="115" t="s">
        <v>4606</v>
      </c>
      <c r="B47" s="115">
        <f>COUNTIF(#REF!,"成約")</f>
        <v>0</v>
      </c>
    </row>
    <row r="48" ht="15.75" customHeight="1">
      <c r="A48" s="115" t="s">
        <v>3280</v>
      </c>
      <c r="B48" s="115" t="str">
        <f>IF(#REF!=0,0,#REF!/#REF!)</f>
        <v>#REF!</v>
      </c>
    </row>
    <row r="49" ht="15.75" customHeight="1">
      <c r="A49" s="115" t="s">
        <v>4615</v>
      </c>
      <c r="B49" s="115">
        <f>SUMIF(#REF!,"成約",I6:I64)</f>
        <v>0</v>
      </c>
    </row>
    <row r="50" ht="15.75" customHeight="1">
      <c r="A50" s="222" t="s">
        <v>4616</v>
      </c>
    </row>
    <row r="51" ht="15.75" customHeight="1">
      <c r="A51" s="115" t="s">
        <v>4617</v>
      </c>
    </row>
    <row r="52" ht="15.75" customHeight="1">
      <c r="A52" s="115" t="s">
        <v>4618</v>
      </c>
    </row>
    <row r="53" ht="15.75" customHeight="1">
      <c r="A53" s="115" t="s">
        <v>4619</v>
      </c>
    </row>
    <row r="54" ht="15.75" customHeight="1">
      <c r="A54" s="222" t="s">
        <v>4620</v>
      </c>
    </row>
    <row r="55" ht="15.75" customHeight="1">
      <c r="A55" s="217" t="s">
        <v>3365</v>
      </c>
      <c r="B55" s="217" t="s">
        <v>4621</v>
      </c>
      <c r="C55" s="217" t="s">
        <v>4622</v>
      </c>
      <c r="D55" s="217" t="s">
        <v>4623</v>
      </c>
    </row>
    <row r="56" ht="15.75" customHeight="1">
      <c r="A56" s="218" t="s">
        <v>2692</v>
      </c>
      <c r="B56" s="218" t="s">
        <v>4624</v>
      </c>
      <c r="C56" s="218" t="s">
        <v>2453</v>
      </c>
      <c r="D56" s="218" t="s">
        <v>2107</v>
      </c>
      <c r="E56" s="218"/>
      <c r="F56" s="218"/>
      <c r="G56" s="218"/>
      <c r="H56" s="218"/>
    </row>
    <row r="57" ht="15.75" customHeight="1">
      <c r="A57" s="218" t="s">
        <v>4625</v>
      </c>
      <c r="B57" s="218" t="s">
        <v>4626</v>
      </c>
      <c r="C57" s="218" t="s">
        <v>2453</v>
      </c>
      <c r="D57" s="218" t="s">
        <v>2107</v>
      </c>
      <c r="E57" s="218"/>
      <c r="F57" s="218"/>
      <c r="G57" s="218"/>
      <c r="H57" s="218"/>
    </row>
    <row r="58" ht="15.75" customHeight="1">
      <c r="A58" s="218" t="s">
        <v>4627</v>
      </c>
      <c r="B58" s="218" t="s">
        <v>4628</v>
      </c>
      <c r="C58" s="218" t="s">
        <v>2453</v>
      </c>
      <c r="D58" s="218" t="s">
        <v>2107</v>
      </c>
      <c r="E58" s="218"/>
      <c r="F58" s="218"/>
      <c r="G58" s="218"/>
      <c r="H58" s="218"/>
    </row>
    <row r="59" ht="15.75" customHeight="1">
      <c r="A59" s="218" t="s">
        <v>4629</v>
      </c>
      <c r="B59" s="218" t="s">
        <v>4630</v>
      </c>
      <c r="C59" s="218" t="s">
        <v>2453</v>
      </c>
      <c r="D59" s="218" t="s">
        <v>2107</v>
      </c>
      <c r="E59" s="218"/>
      <c r="F59" s="218"/>
      <c r="G59" s="218"/>
      <c r="H59" s="218"/>
    </row>
    <row r="60" ht="15.75" customHeight="1">
      <c r="A60" s="218" t="s">
        <v>2464</v>
      </c>
      <c r="B60" s="218" t="s">
        <v>4631</v>
      </c>
      <c r="C60" s="218" t="s">
        <v>2468</v>
      </c>
      <c r="D60" s="218" t="s">
        <v>2107</v>
      </c>
      <c r="E60" s="218"/>
      <c r="F60" s="218"/>
      <c r="G60" s="218"/>
      <c r="H60" s="218"/>
    </row>
    <row r="61" ht="15.75" customHeight="1">
      <c r="A61" s="218" t="s">
        <v>4632</v>
      </c>
      <c r="B61" s="218" t="s">
        <v>4633</v>
      </c>
      <c r="C61" s="218" t="s">
        <v>2453</v>
      </c>
      <c r="D61" s="218" t="s">
        <v>2107</v>
      </c>
      <c r="E61" s="218"/>
      <c r="F61" s="218"/>
      <c r="G61" s="218"/>
      <c r="H61" s="218"/>
    </row>
    <row r="62" ht="15.75" customHeight="1"/>
    <row r="63" ht="15.75" customHeight="1"/>
    <row r="64" ht="15.75" customHeight="1"/>
  </sheetData>
  <mergeCells count="2">
    <mergeCell ref="A1:H1"/>
    <mergeCell ref="A2:H2"/>
  </mergeCells>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76.57"/>
    <col customWidth="1" min="3" max="3" width="35.0"/>
    <col customWidth="1" min="4" max="4" width="34.71"/>
    <col customWidth="1" min="5" max="5" width="20.0"/>
    <col customWidth="1" min="6" max="8" width="15.0"/>
    <col customWidth="1" min="9" max="9" width="8.71"/>
  </cols>
  <sheetData>
    <row r="1" ht="49.5" customHeight="1">
      <c r="A1" s="215" t="s">
        <v>4634</v>
      </c>
      <c r="B1" s="183"/>
      <c r="C1" s="183"/>
      <c r="D1" s="183"/>
      <c r="E1" s="183"/>
      <c r="F1" s="183"/>
      <c r="G1" s="183"/>
      <c r="H1" s="184"/>
    </row>
    <row r="2">
      <c r="A2" s="216" t="s">
        <v>4635</v>
      </c>
    </row>
    <row r="3">
      <c r="A3" s="217" t="s">
        <v>4636</v>
      </c>
    </row>
    <row r="4">
      <c r="A4" s="218" t="s">
        <v>4637</v>
      </c>
      <c r="B4" s="218"/>
      <c r="C4" s="218"/>
      <c r="D4" s="218"/>
      <c r="E4" s="218"/>
      <c r="F4" s="218"/>
      <c r="G4" s="218"/>
      <c r="H4" s="218"/>
    </row>
    <row r="5">
      <c r="A5" s="227" t="s">
        <v>4638</v>
      </c>
      <c r="B5" s="218"/>
      <c r="C5" s="218"/>
      <c r="D5" s="218"/>
      <c r="E5" s="218"/>
      <c r="F5" s="218"/>
      <c r="G5" s="218"/>
      <c r="H5" s="218"/>
    </row>
    <row r="6">
      <c r="A6" s="218" t="s">
        <v>4258</v>
      </c>
      <c r="B6" s="218" t="s">
        <v>3211</v>
      </c>
      <c r="C6" s="218" t="s">
        <v>2993</v>
      </c>
      <c r="D6" s="218" t="s">
        <v>4639</v>
      </c>
      <c r="E6" s="218" t="s">
        <v>1466</v>
      </c>
      <c r="F6" s="218"/>
      <c r="G6" s="218"/>
      <c r="H6" s="218"/>
    </row>
    <row r="7">
      <c r="A7" s="217" t="s">
        <v>4640</v>
      </c>
      <c r="B7" s="217" t="s">
        <v>4641</v>
      </c>
      <c r="C7" s="217" t="s">
        <v>4642</v>
      </c>
      <c r="D7" s="217" t="s">
        <v>4643</v>
      </c>
      <c r="E7" s="217" t="s">
        <v>1789</v>
      </c>
      <c r="F7" s="218"/>
      <c r="G7" s="218"/>
      <c r="H7" s="218"/>
    </row>
    <row r="8">
      <c r="A8" s="217" t="s">
        <v>4644</v>
      </c>
      <c r="B8" s="217" t="s">
        <v>4645</v>
      </c>
      <c r="C8" s="217" t="s">
        <v>4646</v>
      </c>
      <c r="D8" s="217" t="s">
        <v>4647</v>
      </c>
      <c r="E8" s="217" t="s">
        <v>2843</v>
      </c>
      <c r="F8" s="218"/>
      <c r="G8" s="218"/>
      <c r="H8" s="218"/>
    </row>
    <row r="9">
      <c r="A9" s="217" t="s">
        <v>4648</v>
      </c>
      <c r="B9" s="217" t="s">
        <v>4649</v>
      </c>
      <c r="C9" s="217" t="s">
        <v>4650</v>
      </c>
      <c r="D9" s="217" t="s">
        <v>4651</v>
      </c>
      <c r="E9" s="217" t="s">
        <v>2843</v>
      </c>
      <c r="F9" s="218"/>
      <c r="G9" s="218"/>
      <c r="H9" s="218"/>
    </row>
    <row r="10">
      <c r="A10" s="217" t="s">
        <v>4652</v>
      </c>
      <c r="B10" s="217" t="s">
        <v>4653</v>
      </c>
      <c r="C10" s="217" t="s">
        <v>4654</v>
      </c>
      <c r="D10" s="217" t="s">
        <v>4655</v>
      </c>
      <c r="E10" s="217" t="s">
        <v>4656</v>
      </c>
      <c r="F10" s="218"/>
      <c r="G10" s="218"/>
      <c r="H10" s="218"/>
    </row>
    <row r="11">
      <c r="A11" s="227" t="s">
        <v>4657</v>
      </c>
      <c r="B11" s="218"/>
      <c r="C11" s="218"/>
      <c r="D11" s="218"/>
      <c r="E11" s="218"/>
      <c r="F11" s="218"/>
      <c r="G11" s="218"/>
      <c r="H11" s="218"/>
    </row>
    <row r="12">
      <c r="A12" s="218" t="s">
        <v>3211</v>
      </c>
      <c r="B12" s="218" t="s">
        <v>4658</v>
      </c>
      <c r="C12" s="218" t="s">
        <v>3493</v>
      </c>
      <c r="D12" s="218" t="s">
        <v>3858</v>
      </c>
      <c r="E12" s="218"/>
      <c r="F12" s="218"/>
      <c r="G12" s="218"/>
      <c r="H12" s="218"/>
    </row>
    <row r="13">
      <c r="A13" s="218" t="s">
        <v>4659</v>
      </c>
      <c r="B13" s="218" t="s">
        <v>4660</v>
      </c>
      <c r="C13" s="218" t="s">
        <v>4661</v>
      </c>
      <c r="D13" s="218" t="s">
        <v>4662</v>
      </c>
      <c r="E13" s="218"/>
      <c r="F13" s="218"/>
      <c r="G13" s="218"/>
      <c r="H13" s="218"/>
    </row>
    <row r="14">
      <c r="A14" s="218" t="s">
        <v>4663</v>
      </c>
      <c r="B14" s="218" t="s">
        <v>4664</v>
      </c>
      <c r="C14" s="218" t="s">
        <v>4665</v>
      </c>
      <c r="D14" s="218" t="s">
        <v>4666</v>
      </c>
      <c r="E14" s="218"/>
      <c r="F14" s="218"/>
      <c r="G14" s="218"/>
      <c r="H14" s="218"/>
    </row>
    <row r="15">
      <c r="A15" s="218" t="s">
        <v>3934</v>
      </c>
      <c r="B15" s="218" t="s">
        <v>4667</v>
      </c>
      <c r="C15" s="218" t="s">
        <v>4668</v>
      </c>
      <c r="D15" s="218" t="s">
        <v>4669</v>
      </c>
      <c r="E15" s="218"/>
      <c r="F15" s="218"/>
      <c r="G15" s="218"/>
      <c r="H15" s="218"/>
    </row>
    <row r="16">
      <c r="A16" s="227" t="s">
        <v>4670</v>
      </c>
      <c r="B16" s="218"/>
      <c r="C16" s="218"/>
      <c r="D16" s="218"/>
      <c r="E16" s="218"/>
      <c r="F16" s="218"/>
      <c r="G16" s="218"/>
      <c r="H16" s="218"/>
    </row>
    <row r="17">
      <c r="A17" s="218" t="s">
        <v>4671</v>
      </c>
      <c r="B17" s="218" t="s">
        <v>3393</v>
      </c>
      <c r="C17" s="218" t="s">
        <v>4672</v>
      </c>
      <c r="D17" s="218"/>
      <c r="E17" s="218"/>
      <c r="F17" s="218"/>
      <c r="G17" s="218"/>
      <c r="H17" s="218"/>
    </row>
    <row r="18">
      <c r="A18" s="218" t="s">
        <v>4673</v>
      </c>
      <c r="B18" s="218" t="s">
        <v>4674</v>
      </c>
      <c r="C18" s="218" t="s">
        <v>4675</v>
      </c>
      <c r="D18" s="218"/>
      <c r="E18" s="218"/>
      <c r="F18" s="218"/>
      <c r="G18" s="218"/>
      <c r="H18" s="218"/>
    </row>
    <row r="19">
      <c r="A19" s="218" t="s">
        <v>4676</v>
      </c>
      <c r="B19" s="218" t="s">
        <v>4677</v>
      </c>
      <c r="C19" s="218" t="s">
        <v>4678</v>
      </c>
      <c r="D19" s="218"/>
      <c r="E19" s="218"/>
      <c r="F19" s="218"/>
      <c r="G19" s="218"/>
      <c r="H19" s="218"/>
    </row>
    <row r="20">
      <c r="A20" s="218" t="s">
        <v>4679</v>
      </c>
      <c r="B20" s="218" t="s">
        <v>4680</v>
      </c>
      <c r="C20" s="218" t="s">
        <v>4681</v>
      </c>
      <c r="D20" s="218"/>
      <c r="E20" s="218"/>
      <c r="F20" s="218"/>
      <c r="G20" s="218"/>
      <c r="H20" s="218"/>
    </row>
    <row r="21" ht="15.75" customHeight="1">
      <c r="A21" s="218" t="s">
        <v>4682</v>
      </c>
      <c r="B21" s="218" t="s">
        <v>4683</v>
      </c>
      <c r="C21" s="218" t="s">
        <v>4684</v>
      </c>
      <c r="D21" s="218"/>
      <c r="E21" s="218"/>
      <c r="F21" s="218"/>
      <c r="G21" s="218"/>
      <c r="H21" s="218"/>
    </row>
    <row r="22" ht="15.75" customHeight="1">
      <c r="A22" s="227" t="s">
        <v>4685</v>
      </c>
      <c r="B22" s="218"/>
      <c r="C22" s="218"/>
      <c r="D22" s="218"/>
      <c r="E22" s="218"/>
      <c r="F22" s="218"/>
      <c r="G22" s="218"/>
      <c r="H22" s="218"/>
    </row>
    <row r="23" ht="15.75" customHeight="1">
      <c r="A23" s="218" t="s">
        <v>4686</v>
      </c>
      <c r="B23" s="218" t="s">
        <v>4155</v>
      </c>
      <c r="C23" s="218"/>
      <c r="D23" s="218"/>
      <c r="E23" s="218"/>
      <c r="F23" s="218"/>
      <c r="G23" s="218"/>
      <c r="H23" s="218"/>
    </row>
    <row r="24" ht="15.75" customHeight="1">
      <c r="A24" s="228" t="s">
        <v>4687</v>
      </c>
      <c r="B24" s="218" t="s">
        <v>4688</v>
      </c>
      <c r="C24" s="218"/>
      <c r="D24" s="218"/>
      <c r="E24" s="218"/>
      <c r="F24" s="218"/>
      <c r="G24" s="218"/>
      <c r="H24" s="218"/>
    </row>
    <row r="25" ht="15.75" customHeight="1">
      <c r="A25" s="218" t="s">
        <v>4689</v>
      </c>
      <c r="B25" s="218" t="s">
        <v>4690</v>
      </c>
      <c r="C25" s="218"/>
      <c r="D25" s="218"/>
      <c r="E25" s="218"/>
      <c r="F25" s="218"/>
      <c r="G25" s="218"/>
      <c r="H25" s="218"/>
    </row>
    <row r="26" ht="15.75" customHeight="1">
      <c r="A26" s="218" t="s">
        <v>4691</v>
      </c>
      <c r="B26" s="218" t="s">
        <v>4692</v>
      </c>
      <c r="C26" s="218"/>
      <c r="D26" s="218"/>
      <c r="E26" s="218"/>
      <c r="F26" s="218"/>
      <c r="G26" s="218"/>
      <c r="H26" s="218"/>
    </row>
    <row r="27" ht="15.75" customHeight="1">
      <c r="A27" s="218" t="s">
        <v>4693</v>
      </c>
      <c r="B27" s="218" t="s">
        <v>4694</v>
      </c>
      <c r="C27" s="218"/>
      <c r="D27" s="218"/>
      <c r="E27" s="218"/>
      <c r="F27" s="218"/>
      <c r="G27" s="218"/>
      <c r="H27" s="218"/>
    </row>
    <row r="28" ht="15.75" customHeight="1">
      <c r="A28" s="227" t="s">
        <v>4695</v>
      </c>
      <c r="B28" s="218"/>
      <c r="C28" s="218"/>
      <c r="D28" s="218"/>
      <c r="E28" s="218"/>
      <c r="F28" s="218"/>
      <c r="G28" s="218"/>
      <c r="H28" s="218"/>
    </row>
    <row r="29" ht="15.75" customHeight="1">
      <c r="A29" s="218" t="s">
        <v>3203</v>
      </c>
      <c r="B29" s="218" t="s">
        <v>2993</v>
      </c>
      <c r="C29" s="218" t="s">
        <v>4696</v>
      </c>
      <c r="D29" s="218" t="s">
        <v>1466</v>
      </c>
      <c r="E29" s="218"/>
      <c r="F29" s="218"/>
      <c r="G29" s="218"/>
      <c r="H29" s="218"/>
    </row>
    <row r="30" ht="15.75" customHeight="1">
      <c r="A30" s="218" t="s">
        <v>4697</v>
      </c>
      <c r="B30" s="218" t="s">
        <v>4698</v>
      </c>
      <c r="C30" s="218" t="s">
        <v>3713</v>
      </c>
      <c r="D30" s="234" t="s">
        <v>1337</v>
      </c>
      <c r="E30" s="218"/>
      <c r="F30" s="218"/>
      <c r="G30" s="218"/>
      <c r="H30" s="218"/>
    </row>
    <row r="31" ht="15.75" customHeight="1">
      <c r="A31" s="218" t="s">
        <v>4699</v>
      </c>
      <c r="B31" s="218" t="s">
        <v>4700</v>
      </c>
      <c r="C31" s="218" t="s">
        <v>3713</v>
      </c>
      <c r="D31" s="234" t="s">
        <v>1789</v>
      </c>
      <c r="E31" s="218"/>
      <c r="F31" s="218"/>
      <c r="G31" s="218"/>
      <c r="H31" s="218"/>
    </row>
    <row r="32" ht="15.75" customHeight="1">
      <c r="A32" s="218" t="s">
        <v>4701</v>
      </c>
      <c r="B32" s="218" t="s">
        <v>4702</v>
      </c>
      <c r="C32" s="218" t="s">
        <v>3713</v>
      </c>
      <c r="D32" s="234" t="s">
        <v>1896</v>
      </c>
      <c r="E32" s="218"/>
      <c r="F32" s="218"/>
      <c r="G32" s="218"/>
      <c r="H32" s="218"/>
    </row>
    <row r="33" ht="15.75" customHeight="1">
      <c r="A33" s="218" t="s">
        <v>4703</v>
      </c>
      <c r="B33" s="218" t="s">
        <v>4704</v>
      </c>
      <c r="C33" s="218" t="s">
        <v>4705</v>
      </c>
      <c r="D33" s="234" t="s">
        <v>1789</v>
      </c>
      <c r="E33" s="218"/>
      <c r="F33" s="218"/>
      <c r="G33" s="218"/>
      <c r="H33" s="218"/>
    </row>
    <row r="34" ht="15.75" customHeight="1">
      <c r="A34" s="218" t="s">
        <v>4222</v>
      </c>
      <c r="B34" s="218"/>
      <c r="C34" s="218"/>
      <c r="D34" s="218"/>
      <c r="E34" s="218"/>
      <c r="F34" s="218"/>
      <c r="G34" s="218"/>
      <c r="H34" s="218"/>
    </row>
    <row r="35" ht="15.75" customHeight="1">
      <c r="A35" s="227" t="s">
        <v>4223</v>
      </c>
      <c r="B35" s="218"/>
      <c r="C35" s="218"/>
      <c r="D35" s="218"/>
      <c r="E35" s="218"/>
      <c r="F35" s="218"/>
      <c r="G35" s="218"/>
      <c r="H35" s="218"/>
    </row>
    <row r="36" ht="15.75" customHeight="1">
      <c r="A36" s="218" t="s">
        <v>4224</v>
      </c>
      <c r="B36" s="218" t="s">
        <v>4225</v>
      </c>
      <c r="C36" s="218" t="s">
        <v>3493</v>
      </c>
      <c r="D36" s="218" t="s">
        <v>4226</v>
      </c>
      <c r="E36" s="218"/>
      <c r="F36" s="218"/>
      <c r="G36" s="218"/>
      <c r="H36" s="218"/>
    </row>
    <row r="37" ht="15.75" customHeight="1">
      <c r="A37" s="218" t="s">
        <v>4227</v>
      </c>
      <c r="B37" s="218" t="s">
        <v>4228</v>
      </c>
      <c r="C37" s="218" t="s">
        <v>4229</v>
      </c>
      <c r="D37" s="218" t="s">
        <v>4230</v>
      </c>
      <c r="E37" s="218"/>
      <c r="F37" s="218"/>
      <c r="G37" s="218"/>
      <c r="H37" s="218"/>
    </row>
    <row r="38" ht="15.75" customHeight="1">
      <c r="A38" s="218" t="s">
        <v>4231</v>
      </c>
      <c r="B38" s="218" t="s">
        <v>4232</v>
      </c>
      <c r="C38" s="218" t="s">
        <v>4233</v>
      </c>
      <c r="D38" s="218" t="s">
        <v>4234</v>
      </c>
      <c r="E38" s="218"/>
      <c r="F38" s="218"/>
      <c r="G38" s="218"/>
      <c r="H38" s="218"/>
    </row>
    <row r="39" ht="15.75" customHeight="1">
      <c r="A39" s="227" t="s">
        <v>4235</v>
      </c>
      <c r="B39" s="218"/>
      <c r="C39" s="218"/>
      <c r="D39" s="218"/>
      <c r="E39" s="218"/>
      <c r="F39" s="218"/>
      <c r="G39" s="218"/>
      <c r="H39" s="218"/>
    </row>
    <row r="40" ht="15.75" customHeight="1">
      <c r="A40" s="218" t="s">
        <v>4236</v>
      </c>
      <c r="B40" s="218" t="s">
        <v>4237</v>
      </c>
      <c r="C40" s="218" t="s">
        <v>4238</v>
      </c>
      <c r="D40" s="218" t="s">
        <v>3493</v>
      </c>
      <c r="E40" s="218"/>
      <c r="F40" s="218"/>
      <c r="G40" s="218"/>
      <c r="H40" s="218"/>
    </row>
    <row r="41" ht="15.75" customHeight="1">
      <c r="A41" s="218" t="s">
        <v>4239</v>
      </c>
      <c r="B41" s="218" t="s">
        <v>4240</v>
      </c>
      <c r="C41" s="218" t="s">
        <v>4241</v>
      </c>
      <c r="D41" s="218" t="s">
        <v>4242</v>
      </c>
      <c r="E41" s="218"/>
      <c r="F41" s="218"/>
      <c r="G41" s="218"/>
      <c r="H41" s="218"/>
    </row>
    <row r="42" ht="15.75" customHeight="1">
      <c r="A42" s="218" t="s">
        <v>4243</v>
      </c>
      <c r="B42" s="218" t="s">
        <v>4244</v>
      </c>
      <c r="C42" s="218" t="s">
        <v>4245</v>
      </c>
      <c r="D42" s="218" t="s">
        <v>4246</v>
      </c>
      <c r="E42" s="218"/>
      <c r="F42" s="218"/>
      <c r="G42" s="218"/>
      <c r="H42" s="218"/>
    </row>
    <row r="43" ht="15.75" customHeight="1">
      <c r="A43" s="227" t="s">
        <v>4247</v>
      </c>
      <c r="B43" s="218"/>
      <c r="C43" s="218"/>
      <c r="D43" s="218"/>
      <c r="E43" s="218"/>
      <c r="F43" s="218"/>
      <c r="G43" s="218"/>
      <c r="H43" s="218"/>
    </row>
    <row r="44" ht="15.75" customHeight="1">
      <c r="A44" s="217" t="s">
        <v>3365</v>
      </c>
      <c r="B44" s="217" t="s">
        <v>2993</v>
      </c>
      <c r="C44" s="218"/>
      <c r="D44" s="218"/>
      <c r="E44" s="218"/>
      <c r="F44" s="218"/>
      <c r="G44" s="218"/>
      <c r="H44" s="218"/>
    </row>
    <row r="45" ht="15.75" customHeight="1">
      <c r="A45" s="218" t="s">
        <v>4225</v>
      </c>
      <c r="B45" s="218" t="s">
        <v>4248</v>
      </c>
      <c r="C45" s="218"/>
      <c r="D45" s="218"/>
      <c r="E45" s="218"/>
      <c r="F45" s="218"/>
      <c r="G45" s="218"/>
      <c r="H45" s="218"/>
    </row>
    <row r="46" ht="15.75" customHeight="1">
      <c r="A46" s="218" t="s">
        <v>3493</v>
      </c>
      <c r="B46" s="218" t="s">
        <v>4249</v>
      </c>
      <c r="C46" s="218"/>
      <c r="D46" s="218"/>
      <c r="E46" s="218"/>
      <c r="F46" s="218"/>
      <c r="G46" s="218"/>
      <c r="H46" s="218"/>
    </row>
    <row r="47" ht="15.75" customHeight="1">
      <c r="A47" s="218" t="s">
        <v>4250</v>
      </c>
      <c r="B47" s="218" t="s">
        <v>4251</v>
      </c>
      <c r="C47" s="218"/>
      <c r="D47" s="218"/>
      <c r="E47" s="218"/>
      <c r="F47" s="218"/>
      <c r="G47" s="218"/>
      <c r="H47" s="218"/>
    </row>
    <row r="48" ht="15.75" customHeight="1">
      <c r="A48" s="218" t="s">
        <v>3211</v>
      </c>
      <c r="B48" s="218" t="s">
        <v>4252</v>
      </c>
      <c r="C48" s="218"/>
      <c r="D48" s="218"/>
      <c r="E48" s="218"/>
      <c r="F48" s="218"/>
      <c r="G48" s="218"/>
      <c r="H48" s="218"/>
    </row>
    <row r="49" ht="15.75" customHeight="1">
      <c r="A49" s="227" t="s">
        <v>4253</v>
      </c>
      <c r="B49" s="218"/>
      <c r="C49" s="218"/>
      <c r="D49" s="218"/>
      <c r="E49" s="218"/>
      <c r="F49" s="218"/>
      <c r="G49" s="218"/>
      <c r="H49" s="218"/>
    </row>
    <row r="50" ht="15.75" customHeight="1">
      <c r="A50" s="217" t="s">
        <v>3365</v>
      </c>
      <c r="B50" s="217" t="s">
        <v>2993</v>
      </c>
      <c r="C50" s="218"/>
      <c r="D50" s="218"/>
      <c r="E50" s="218"/>
      <c r="F50" s="218"/>
      <c r="G50" s="218"/>
      <c r="H50" s="218"/>
    </row>
    <row r="51" ht="15.75" customHeight="1">
      <c r="A51" s="218" t="s">
        <v>4225</v>
      </c>
      <c r="B51" s="218" t="s">
        <v>4254</v>
      </c>
      <c r="C51" s="218"/>
      <c r="D51" s="218"/>
      <c r="E51" s="218"/>
      <c r="F51" s="218"/>
      <c r="G51" s="218"/>
      <c r="H51" s="218"/>
    </row>
    <row r="52" ht="15.75" customHeight="1">
      <c r="A52" s="218" t="s">
        <v>3481</v>
      </c>
      <c r="B52" s="218" t="s">
        <v>4255</v>
      </c>
      <c r="C52" s="218"/>
      <c r="D52" s="218"/>
      <c r="E52" s="218"/>
      <c r="F52" s="218"/>
      <c r="G52" s="218"/>
      <c r="H52" s="218"/>
    </row>
    <row r="53" ht="15.75" customHeight="1">
      <c r="A53" s="218" t="s">
        <v>4155</v>
      </c>
      <c r="B53" s="218" t="s">
        <v>4256</v>
      </c>
      <c r="C53" s="218"/>
      <c r="D53" s="218"/>
      <c r="E53" s="218"/>
      <c r="F53" s="218"/>
      <c r="G53" s="218"/>
      <c r="H53" s="218"/>
    </row>
    <row r="54" ht="15.75" customHeight="1">
      <c r="A54" s="227" t="s">
        <v>4257</v>
      </c>
      <c r="B54" s="218"/>
      <c r="C54" s="218"/>
      <c r="D54" s="218"/>
      <c r="E54" s="218"/>
      <c r="F54" s="218"/>
      <c r="G54" s="218"/>
      <c r="H54" s="218"/>
    </row>
    <row r="55" ht="15.75" customHeight="1">
      <c r="A55" s="218" t="s">
        <v>4258</v>
      </c>
      <c r="B55" s="218" t="s">
        <v>3211</v>
      </c>
      <c r="C55" s="218" t="s">
        <v>2993</v>
      </c>
      <c r="D55" s="218" t="s">
        <v>1805</v>
      </c>
      <c r="E55" s="218"/>
      <c r="F55" s="218"/>
      <c r="G55" s="218"/>
      <c r="H55" s="218"/>
    </row>
    <row r="56" ht="15.75" customHeight="1">
      <c r="A56" s="217" t="s">
        <v>4259</v>
      </c>
      <c r="B56" s="217" t="s">
        <v>4260</v>
      </c>
      <c r="C56" s="217" t="s">
        <v>4261</v>
      </c>
      <c r="D56" s="217" t="s">
        <v>4262</v>
      </c>
      <c r="E56" s="218"/>
      <c r="F56" s="218"/>
      <c r="G56" s="218"/>
      <c r="H56" s="218"/>
    </row>
    <row r="57" ht="15.75" customHeight="1">
      <c r="A57" s="217" t="s">
        <v>4263</v>
      </c>
      <c r="B57" s="217" t="s">
        <v>4264</v>
      </c>
      <c r="C57" s="217" t="s">
        <v>4265</v>
      </c>
      <c r="D57" s="217" t="s">
        <v>4266</v>
      </c>
      <c r="E57" s="218"/>
      <c r="F57" s="218"/>
      <c r="G57" s="218"/>
      <c r="H57" s="218"/>
    </row>
    <row r="58" ht="15.75" customHeight="1">
      <c r="A58" s="217" t="s">
        <v>4267</v>
      </c>
      <c r="B58" s="217" t="s">
        <v>3639</v>
      </c>
      <c r="C58" s="217" t="s">
        <v>4268</v>
      </c>
      <c r="D58" s="217" t="s">
        <v>4269</v>
      </c>
      <c r="E58" s="218"/>
      <c r="F58" s="218"/>
      <c r="G58" s="218"/>
      <c r="H58" s="218"/>
    </row>
    <row r="59" ht="15.75" customHeight="1">
      <c r="A59" s="227" t="s">
        <v>4270</v>
      </c>
      <c r="B59" s="218"/>
      <c r="C59" s="218"/>
      <c r="D59" s="218"/>
      <c r="E59" s="218"/>
      <c r="F59" s="218"/>
      <c r="G59" s="218"/>
      <c r="H59" s="218"/>
    </row>
    <row r="60" ht="15.75" customHeight="1">
      <c r="A60" s="218" t="s">
        <v>4271</v>
      </c>
      <c r="B60" s="218" t="s">
        <v>4272</v>
      </c>
      <c r="C60" s="218"/>
      <c r="D60" s="218"/>
      <c r="E60" s="218"/>
      <c r="F60" s="218"/>
      <c r="G60" s="218"/>
      <c r="H60" s="218"/>
    </row>
    <row r="61" ht="15.75" customHeight="1">
      <c r="A61" s="218" t="s">
        <v>4273</v>
      </c>
      <c r="B61" s="218" t="s">
        <v>4274</v>
      </c>
      <c r="C61" s="218"/>
      <c r="D61" s="218"/>
      <c r="E61" s="218"/>
      <c r="F61" s="218"/>
      <c r="G61" s="218"/>
      <c r="H61" s="218"/>
    </row>
    <row r="62" ht="15.75" customHeight="1">
      <c r="A62" s="218" t="s">
        <v>4275</v>
      </c>
      <c r="B62" s="218" t="s">
        <v>4276</v>
      </c>
      <c r="C62" s="218"/>
      <c r="D62" s="218"/>
      <c r="E62" s="218"/>
      <c r="F62" s="218"/>
      <c r="G62" s="218"/>
      <c r="H62" s="218"/>
    </row>
    <row r="63" ht="15.75" customHeight="1">
      <c r="A63" s="218" t="s">
        <v>4226</v>
      </c>
      <c r="B63" s="218" t="s">
        <v>4277</v>
      </c>
      <c r="C63" s="218"/>
      <c r="D63" s="218"/>
      <c r="E63" s="218"/>
      <c r="F63" s="218"/>
      <c r="G63" s="218"/>
      <c r="H63" s="218"/>
    </row>
    <row r="64" ht="15.75" customHeight="1">
      <c r="A64" s="218" t="s">
        <v>4706</v>
      </c>
      <c r="B64" s="218"/>
      <c r="C64" s="218"/>
      <c r="D64" s="218"/>
      <c r="E64" s="218"/>
      <c r="F64" s="218"/>
      <c r="G64" s="218"/>
      <c r="H64" s="218"/>
    </row>
    <row r="65" ht="15.75" customHeight="1">
      <c r="A65" s="218" t="s">
        <v>4707</v>
      </c>
      <c r="B65" s="218" t="s">
        <v>4708</v>
      </c>
      <c r="C65" s="218" t="s">
        <v>4709</v>
      </c>
      <c r="D65" s="218" t="s">
        <v>4710</v>
      </c>
      <c r="E65" s="218" t="s">
        <v>4711</v>
      </c>
      <c r="F65" s="218"/>
      <c r="G65" s="218"/>
      <c r="H65" s="218"/>
    </row>
    <row r="66" ht="15.75" customHeight="1">
      <c r="A66" s="218" t="s">
        <v>4712</v>
      </c>
      <c r="B66" s="218" t="s">
        <v>4713</v>
      </c>
      <c r="C66" s="218" t="s">
        <v>4714</v>
      </c>
      <c r="D66" s="218" t="s">
        <v>4715</v>
      </c>
      <c r="E66" s="218" t="s">
        <v>4716</v>
      </c>
      <c r="F66" s="218"/>
      <c r="G66" s="218"/>
      <c r="H66" s="218"/>
    </row>
    <row r="67" ht="15.75" customHeight="1">
      <c r="A67" s="218" t="s">
        <v>4712</v>
      </c>
      <c r="B67" s="218" t="s">
        <v>4717</v>
      </c>
      <c r="C67" s="218" t="s">
        <v>4718</v>
      </c>
      <c r="D67" s="218" t="s">
        <v>4719</v>
      </c>
      <c r="E67" s="218" t="s">
        <v>4720</v>
      </c>
      <c r="F67" s="218"/>
      <c r="G67" s="218"/>
      <c r="H67" s="218"/>
    </row>
    <row r="68" ht="15.75" customHeight="1">
      <c r="A68" s="218" t="s">
        <v>4721</v>
      </c>
      <c r="B68" s="218" t="s">
        <v>4722</v>
      </c>
      <c r="C68" s="218" t="s">
        <v>4723</v>
      </c>
      <c r="D68" s="218" t="s">
        <v>4724</v>
      </c>
      <c r="E68" s="218" t="s">
        <v>4725</v>
      </c>
      <c r="F68" s="218"/>
      <c r="G68" s="218"/>
      <c r="H68" s="218"/>
    </row>
    <row r="69" ht="15.75" customHeight="1">
      <c r="A69" s="218" t="s">
        <v>4721</v>
      </c>
      <c r="B69" s="218" t="s">
        <v>4726</v>
      </c>
      <c r="C69" s="218" t="s">
        <v>4727</v>
      </c>
      <c r="D69" s="218" t="s">
        <v>4728</v>
      </c>
      <c r="E69" s="218" t="s">
        <v>4729</v>
      </c>
      <c r="F69" s="218"/>
      <c r="G69" s="218"/>
      <c r="H69" s="218"/>
    </row>
    <row r="70" ht="15.75" customHeight="1">
      <c r="A70" s="218" t="s">
        <v>4730</v>
      </c>
      <c r="B70" s="218" t="s">
        <v>4731</v>
      </c>
      <c r="C70" s="218" t="s">
        <v>4732</v>
      </c>
      <c r="D70" s="218" t="s">
        <v>4733</v>
      </c>
      <c r="E70" s="218" t="s">
        <v>4734</v>
      </c>
      <c r="F70" s="218"/>
      <c r="G70" s="218"/>
      <c r="H70" s="218"/>
    </row>
    <row r="71" ht="15.75" customHeight="1">
      <c r="A71" s="218" t="s">
        <v>4735</v>
      </c>
      <c r="B71" s="218"/>
      <c r="C71" s="218"/>
      <c r="D71" s="218"/>
      <c r="E71" s="218"/>
      <c r="F71" s="218"/>
      <c r="G71" s="218"/>
      <c r="H71" s="218"/>
    </row>
    <row r="72" ht="15.75" customHeight="1">
      <c r="A72" s="227" t="s">
        <v>4736</v>
      </c>
      <c r="B72" s="218"/>
      <c r="C72" s="218"/>
      <c r="D72" s="218"/>
      <c r="E72" s="218"/>
      <c r="F72" s="218"/>
      <c r="G72" s="218"/>
      <c r="H72" s="218"/>
    </row>
    <row r="73" ht="15.75" customHeight="1">
      <c r="A73" s="218" t="s">
        <v>4737</v>
      </c>
      <c r="B73" s="218" t="s">
        <v>2993</v>
      </c>
      <c r="C73" s="218" t="s">
        <v>1805</v>
      </c>
      <c r="D73" s="218" t="s">
        <v>1466</v>
      </c>
      <c r="E73" s="218"/>
      <c r="F73" s="218"/>
      <c r="G73" s="218"/>
      <c r="H73" s="218"/>
    </row>
    <row r="74" ht="15.75" customHeight="1">
      <c r="A74" s="218" t="s">
        <v>4738</v>
      </c>
      <c r="B74" s="218" t="s">
        <v>4739</v>
      </c>
      <c r="C74" s="218" t="s">
        <v>4740</v>
      </c>
      <c r="D74" s="218" t="s">
        <v>2442</v>
      </c>
      <c r="E74" s="218"/>
      <c r="F74" s="218"/>
      <c r="G74" s="218"/>
      <c r="H74" s="218"/>
    </row>
    <row r="75" ht="15.75" customHeight="1">
      <c r="A75" s="218" t="s">
        <v>4741</v>
      </c>
      <c r="B75" s="218" t="s">
        <v>4742</v>
      </c>
      <c r="C75" s="218" t="s">
        <v>4743</v>
      </c>
      <c r="D75" s="218" t="s">
        <v>2442</v>
      </c>
      <c r="E75" s="218"/>
      <c r="F75" s="218"/>
      <c r="G75" s="218"/>
      <c r="H75" s="218"/>
    </row>
    <row r="76" ht="15.75" customHeight="1">
      <c r="A76" s="218" t="s">
        <v>4744</v>
      </c>
      <c r="B76" s="218" t="s">
        <v>4745</v>
      </c>
      <c r="C76" s="218" t="s">
        <v>4746</v>
      </c>
      <c r="D76" s="218" t="s">
        <v>41</v>
      </c>
      <c r="E76" s="218"/>
      <c r="F76" s="218"/>
      <c r="G76" s="218"/>
      <c r="H76" s="218"/>
    </row>
    <row r="77" ht="15.75" customHeight="1">
      <c r="A77" s="218" t="s">
        <v>4747</v>
      </c>
      <c r="B77" s="218" t="s">
        <v>4748</v>
      </c>
      <c r="C77" s="218" t="s">
        <v>4749</v>
      </c>
      <c r="D77" s="218" t="s">
        <v>2442</v>
      </c>
      <c r="E77" s="218"/>
      <c r="F77" s="218"/>
      <c r="G77" s="218"/>
      <c r="H77" s="218"/>
    </row>
    <row r="78" ht="15.75" customHeight="1">
      <c r="A78" s="229" t="s">
        <v>4750</v>
      </c>
      <c r="B78" s="225"/>
      <c r="C78" s="218"/>
      <c r="D78" s="218"/>
      <c r="E78" s="218"/>
      <c r="F78" s="218"/>
      <c r="G78" s="218"/>
      <c r="H78" s="218"/>
    </row>
    <row r="79" ht="15.75" customHeight="1">
      <c r="A79" s="235"/>
      <c r="B79" s="218"/>
      <c r="C79" s="218"/>
      <c r="D79" s="218"/>
      <c r="E79" s="218"/>
      <c r="F79" s="218"/>
      <c r="G79" s="218"/>
      <c r="H79" s="218"/>
    </row>
    <row r="80" ht="15.75" customHeight="1">
      <c r="A80" s="235"/>
      <c r="B80" s="218"/>
      <c r="C80" s="218"/>
      <c r="D80" s="218"/>
      <c r="E80" s="218"/>
      <c r="F80" s="218"/>
      <c r="G80" s="218"/>
      <c r="H80" s="218"/>
    </row>
    <row r="81" ht="15.75" customHeight="1">
      <c r="A81" s="235"/>
      <c r="B81" s="218"/>
      <c r="C81" s="218"/>
      <c r="D81" s="218"/>
      <c r="E81" s="218"/>
      <c r="F81" s="218"/>
      <c r="G81" s="218"/>
      <c r="H81" s="218"/>
    </row>
    <row r="82" ht="15.75" customHeight="1">
      <c r="A82" s="235"/>
      <c r="B82" s="218"/>
      <c r="C82" s="218"/>
      <c r="D82" s="218"/>
      <c r="E82" s="218"/>
      <c r="F82" s="218"/>
      <c r="G82" s="218"/>
      <c r="H82" s="218"/>
    </row>
    <row r="83" ht="15.75" customHeight="1">
      <c r="A83" s="235"/>
      <c r="B83" s="218"/>
      <c r="C83" s="218"/>
      <c r="D83" s="218"/>
      <c r="E83" s="218"/>
      <c r="F83" s="218"/>
      <c r="G83" s="218"/>
      <c r="H83" s="218"/>
    </row>
    <row r="84">
      <c r="A84" s="223" t="s">
        <v>3052</v>
      </c>
      <c r="B84" s="224"/>
      <c r="C84" s="224"/>
      <c r="D84" s="224"/>
      <c r="E84" s="224"/>
      <c r="F84" s="224"/>
      <c r="G84" s="224"/>
      <c r="H84" s="225"/>
    </row>
    <row r="85" ht="15.75" customHeight="1">
      <c r="A85" s="226" t="s">
        <v>4751</v>
      </c>
      <c r="B85" s="218"/>
      <c r="C85" s="218"/>
      <c r="D85" s="218"/>
      <c r="E85" s="218"/>
      <c r="F85" s="218"/>
      <c r="G85" s="218"/>
      <c r="H85" s="218"/>
    </row>
    <row r="86">
      <c r="A86" s="223" t="s">
        <v>3052</v>
      </c>
      <c r="B86" s="224"/>
      <c r="C86" s="224"/>
      <c r="D86" s="224"/>
      <c r="E86" s="224"/>
      <c r="F86" s="224"/>
      <c r="G86" s="224"/>
      <c r="H86" s="225"/>
    </row>
    <row r="87" ht="15.75" customHeight="1">
      <c r="B87" s="115" t="s">
        <v>4752</v>
      </c>
    </row>
    <row r="88" ht="15.75" customHeight="1">
      <c r="B88" s="115" t="s">
        <v>4753</v>
      </c>
      <c r="C88" s="115" t="s">
        <v>2880</v>
      </c>
      <c r="D88" s="115" t="s">
        <v>2881</v>
      </c>
      <c r="E88" s="115" t="s">
        <v>2882</v>
      </c>
      <c r="F88" s="115" t="s">
        <v>2883</v>
      </c>
      <c r="G88" s="115" t="s">
        <v>2884</v>
      </c>
      <c r="H88" s="115" t="s">
        <v>2885</v>
      </c>
    </row>
    <row r="89" ht="15.75" customHeight="1">
      <c r="B89" s="115" t="s">
        <v>4754</v>
      </c>
      <c r="C89" s="115">
        <v>20.0</v>
      </c>
      <c r="D89" s="115">
        <v>25.0</v>
      </c>
      <c r="E89" s="115">
        <v>30.0</v>
      </c>
      <c r="F89" s="115">
        <v>35.0</v>
      </c>
      <c r="G89" s="115">
        <v>40.0</v>
      </c>
      <c r="H89" s="115">
        <v>45.0</v>
      </c>
    </row>
    <row r="90" ht="15.75" customHeight="1">
      <c r="B90" s="115" t="s">
        <v>4755</v>
      </c>
      <c r="C90" s="115">
        <v>10.0</v>
      </c>
      <c r="D90" s="115">
        <v>12.0</v>
      </c>
      <c r="E90" s="115">
        <v>15.0</v>
      </c>
      <c r="F90" s="115">
        <v>18.0</v>
      </c>
      <c r="G90" s="115">
        <v>20.0</v>
      </c>
      <c r="H90" s="115">
        <v>22.0</v>
      </c>
    </row>
    <row r="91" ht="15.75" customHeight="1">
      <c r="B91" s="115" t="s">
        <v>4756</v>
      </c>
      <c r="C91" s="115">
        <v>2.0</v>
      </c>
      <c r="D91" s="115">
        <v>2.0</v>
      </c>
      <c r="E91" s="115">
        <v>3.0</v>
      </c>
      <c r="F91" s="115">
        <v>3.0</v>
      </c>
      <c r="G91" s="115">
        <v>3.0</v>
      </c>
      <c r="H91" s="115">
        <v>3.0</v>
      </c>
    </row>
    <row r="92" ht="15.75" customHeight="1">
      <c r="B92" s="115" t="s">
        <v>4757</v>
      </c>
      <c r="C92" s="115" t="str">
        <f t="shared" ref="C92:H92" si="1">C8/C7</f>
        <v>#VALUE!</v>
      </c>
      <c r="D92" s="115" t="str">
        <f t="shared" si="1"/>
        <v>#VALUE!</v>
      </c>
      <c r="E92" s="115" t="str">
        <f t="shared" si="1"/>
        <v>#VALUE!</v>
      </c>
      <c r="F92" s="115" t="str">
        <f t="shared" si="1"/>
        <v>#DIV/0!</v>
      </c>
      <c r="G92" s="115" t="str">
        <f t="shared" si="1"/>
        <v>#DIV/0!</v>
      </c>
      <c r="H92" s="115" t="str">
        <f t="shared" si="1"/>
        <v>#DIV/0!</v>
      </c>
    </row>
    <row r="93" ht="15.75" customHeight="1">
      <c r="B93" s="115" t="s">
        <v>4758</v>
      </c>
    </row>
    <row r="94" ht="15.75" customHeight="1">
      <c r="B94" s="115" t="s">
        <v>4753</v>
      </c>
      <c r="C94" s="115" t="s">
        <v>2880</v>
      </c>
      <c r="D94" s="115" t="s">
        <v>2881</v>
      </c>
      <c r="E94" s="115" t="s">
        <v>2882</v>
      </c>
      <c r="F94" s="115" t="s">
        <v>2883</v>
      </c>
      <c r="G94" s="115" t="s">
        <v>2884</v>
      </c>
      <c r="H94" s="115" t="s">
        <v>2885</v>
      </c>
    </row>
    <row r="95" ht="15.75" customHeight="1">
      <c r="B95" s="115" t="s">
        <v>4759</v>
      </c>
      <c r="C95" s="115">
        <v>2000.0</v>
      </c>
      <c r="D95" s="115">
        <v>2000.0</v>
      </c>
      <c r="E95" s="115">
        <v>3000.0</v>
      </c>
      <c r="F95" s="115">
        <v>3000.0</v>
      </c>
      <c r="G95" s="115">
        <v>3000.0</v>
      </c>
      <c r="H95" s="115">
        <v>3000.0</v>
      </c>
    </row>
    <row r="96" ht="15.75" customHeight="1">
      <c r="B96" s="115" t="s">
        <v>4760</v>
      </c>
      <c r="C96" s="115" t="str">
        <f>C12</f>
        <v>理由</v>
      </c>
      <c r="D96" s="115" t="str">
        <f t="shared" ref="D96:H96" si="2">C13+D12</f>
        <v>#VALUE!</v>
      </c>
      <c r="E96" s="115" t="str">
        <f t="shared" si="2"/>
        <v>#VALUE!</v>
      </c>
      <c r="F96" s="115">
        <f t="shared" si="2"/>
        <v>0</v>
      </c>
      <c r="G96" s="115">
        <f t="shared" si="2"/>
        <v>0</v>
      </c>
      <c r="H96" s="115">
        <f t="shared" si="2"/>
        <v>0</v>
      </c>
    </row>
    <row r="97">
      <c r="A97" s="220" t="s">
        <v>3052</v>
      </c>
      <c r="B97" s="183"/>
      <c r="C97" s="183"/>
      <c r="D97" s="183"/>
      <c r="E97" s="183"/>
      <c r="F97" s="183"/>
      <c r="G97" s="183"/>
      <c r="H97" s="184"/>
    </row>
    <row r="98" ht="15.75" customHeight="1">
      <c r="A98" s="115" t="s">
        <v>4761</v>
      </c>
    </row>
    <row r="99" ht="15.75" customHeight="1">
      <c r="A99" s="115" t="s">
        <v>4762</v>
      </c>
      <c r="B99" s="115" t="s">
        <v>3079</v>
      </c>
      <c r="C99" s="115" t="s">
        <v>4763</v>
      </c>
      <c r="D99" s="115" t="s">
        <v>4764</v>
      </c>
      <c r="E99" s="115" t="s">
        <v>4765</v>
      </c>
      <c r="F99" s="115" t="s">
        <v>2993</v>
      </c>
      <c r="G99" s="115" t="s">
        <v>13</v>
      </c>
    </row>
    <row r="100" ht="15.75" customHeight="1">
      <c r="A100" s="115" t="s">
        <v>4766</v>
      </c>
      <c r="B100" s="115" t="s">
        <v>4767</v>
      </c>
      <c r="C100" s="115" t="s">
        <v>4768</v>
      </c>
      <c r="D100" s="115" t="s">
        <v>4769</v>
      </c>
      <c r="E100" s="115" t="s">
        <v>4769</v>
      </c>
      <c r="F100" s="115" t="s">
        <v>4770</v>
      </c>
      <c r="G100" s="115" t="s">
        <v>4771</v>
      </c>
    </row>
    <row r="101" ht="15.75" customHeight="1">
      <c r="A101" s="115" t="s">
        <v>4772</v>
      </c>
      <c r="B101" s="115" t="s">
        <v>4767</v>
      </c>
      <c r="C101" s="115" t="s">
        <v>4768</v>
      </c>
      <c r="D101" s="115" t="s">
        <v>4769</v>
      </c>
      <c r="E101" s="115" t="s">
        <v>4769</v>
      </c>
      <c r="F101" s="115" t="s">
        <v>4773</v>
      </c>
      <c r="G101" s="115" t="s">
        <v>4774</v>
      </c>
    </row>
    <row r="102" ht="15.75" customHeight="1">
      <c r="A102" s="115" t="s">
        <v>4775</v>
      </c>
      <c r="B102" s="115" t="s">
        <v>4776</v>
      </c>
      <c r="C102" s="115" t="s">
        <v>4768</v>
      </c>
      <c r="D102" s="115" t="s">
        <v>4769</v>
      </c>
      <c r="E102" s="115" t="s">
        <v>4769</v>
      </c>
      <c r="F102" s="115" t="s">
        <v>4777</v>
      </c>
      <c r="G102" s="115" t="s">
        <v>4778</v>
      </c>
    </row>
    <row r="103" ht="15.75" customHeight="1">
      <c r="A103" s="115" t="s">
        <v>4779</v>
      </c>
      <c r="B103" s="115" t="s">
        <v>4780</v>
      </c>
      <c r="C103" s="115" t="s">
        <v>4768</v>
      </c>
      <c r="D103" s="115" t="s">
        <v>4769</v>
      </c>
      <c r="E103" s="115" t="s">
        <v>4769</v>
      </c>
      <c r="F103" s="115" t="s">
        <v>4781</v>
      </c>
      <c r="G103" s="115" t="s">
        <v>4782</v>
      </c>
    </row>
    <row r="104" ht="15.75" customHeight="1">
      <c r="A104" s="115" t="s">
        <v>4783</v>
      </c>
      <c r="B104" s="115" t="s">
        <v>4784</v>
      </c>
      <c r="C104" s="115" t="s">
        <v>4768</v>
      </c>
      <c r="D104" s="115" t="s">
        <v>4769</v>
      </c>
      <c r="E104" s="115" t="s">
        <v>4769</v>
      </c>
      <c r="F104" s="115" t="s">
        <v>4785</v>
      </c>
      <c r="G104" s="115" t="s">
        <v>4786</v>
      </c>
    </row>
    <row r="105" ht="15.75" customHeight="1">
      <c r="A105" s="115" t="s">
        <v>4787</v>
      </c>
      <c r="B105" s="115" t="s">
        <v>4788</v>
      </c>
      <c r="C105" s="115" t="s">
        <v>4768</v>
      </c>
      <c r="D105" s="115" t="s">
        <v>4769</v>
      </c>
      <c r="E105" s="115" t="s">
        <v>4769</v>
      </c>
      <c r="F105" s="115" t="s">
        <v>4789</v>
      </c>
      <c r="G105" s="115" t="s">
        <v>4778</v>
      </c>
    </row>
    <row r="106" ht="15.75" customHeight="1">
      <c r="A106" s="115" t="s">
        <v>4790</v>
      </c>
      <c r="B106" s="115" t="s">
        <v>4791</v>
      </c>
      <c r="C106" s="115" t="s">
        <v>4792</v>
      </c>
      <c r="D106" s="115" t="s">
        <v>4793</v>
      </c>
      <c r="E106" s="115" t="s">
        <v>4793</v>
      </c>
      <c r="F106" s="115" t="s">
        <v>4794</v>
      </c>
      <c r="G106" s="115" t="s">
        <v>4795</v>
      </c>
    </row>
    <row r="107" ht="15.75" customHeight="1">
      <c r="A107" s="115" t="s">
        <v>4796</v>
      </c>
      <c r="B107" s="115" t="s">
        <v>4797</v>
      </c>
      <c r="C107" s="115" t="s">
        <v>4768</v>
      </c>
      <c r="D107" s="115" t="s">
        <v>4769</v>
      </c>
      <c r="E107" s="115" t="s">
        <v>4793</v>
      </c>
      <c r="F107" s="115" t="s">
        <v>4798</v>
      </c>
      <c r="G107" s="115" t="s">
        <v>4799</v>
      </c>
    </row>
    <row r="108" ht="15.75" customHeight="1">
      <c r="A108" s="115" t="s">
        <v>4800</v>
      </c>
      <c r="B108" s="115" t="s">
        <v>4801</v>
      </c>
      <c r="C108" s="115" t="s">
        <v>4802</v>
      </c>
      <c r="D108" s="115" t="s">
        <v>4803</v>
      </c>
      <c r="E108" s="115" t="s">
        <v>4793</v>
      </c>
      <c r="F108" s="115" t="s">
        <v>4804</v>
      </c>
      <c r="G108" s="115" t="s">
        <v>4805</v>
      </c>
    </row>
    <row r="109" ht="15.75" customHeight="1">
      <c r="A109" s="115" t="s">
        <v>4806</v>
      </c>
      <c r="B109" s="115" t="s">
        <v>4801</v>
      </c>
      <c r="C109" s="115" t="s">
        <v>4792</v>
      </c>
      <c r="D109" s="115" t="s">
        <v>4807</v>
      </c>
      <c r="E109" s="115" t="s">
        <v>4808</v>
      </c>
      <c r="F109" s="115" t="s">
        <v>4809</v>
      </c>
      <c r="G109" s="115" t="s">
        <v>4810</v>
      </c>
    </row>
    <row r="110" ht="15.75" customHeight="1">
      <c r="A110" s="115" t="s">
        <v>4811</v>
      </c>
      <c r="B110" s="115" t="s">
        <v>4801</v>
      </c>
      <c r="C110" s="115" t="s">
        <v>4802</v>
      </c>
      <c r="D110" s="115" t="s">
        <v>4812</v>
      </c>
      <c r="E110" s="115" t="s">
        <v>4808</v>
      </c>
      <c r="F110" s="115" t="s">
        <v>4813</v>
      </c>
      <c r="G110" s="115" t="s">
        <v>4814</v>
      </c>
    </row>
    <row r="111" ht="15.75" customHeight="1">
      <c r="A111" s="115" t="s">
        <v>4815</v>
      </c>
      <c r="B111" s="115" t="s">
        <v>4801</v>
      </c>
      <c r="C111" s="115" t="s">
        <v>4816</v>
      </c>
      <c r="D111" s="115" t="s">
        <v>4817</v>
      </c>
      <c r="E111" s="115" t="s">
        <v>4818</v>
      </c>
      <c r="F111" s="115" t="s">
        <v>4819</v>
      </c>
      <c r="G111" s="115" t="s">
        <v>4820</v>
      </c>
    </row>
    <row r="112" ht="15.75" customHeight="1">
      <c r="A112" s="115" t="s">
        <v>4821</v>
      </c>
      <c r="B112" s="115" t="s">
        <v>4801</v>
      </c>
      <c r="C112" s="115" t="s">
        <v>4816</v>
      </c>
      <c r="D112" s="115" t="s">
        <v>4822</v>
      </c>
      <c r="E112" s="115" t="s">
        <v>4823</v>
      </c>
      <c r="F112" s="115" t="s">
        <v>4824</v>
      </c>
      <c r="G112" s="115" t="s">
        <v>4825</v>
      </c>
    </row>
    <row r="113" ht="15.75" customHeight="1">
      <c r="A113" s="115" t="s">
        <v>4826</v>
      </c>
      <c r="B113" s="115" t="s">
        <v>4801</v>
      </c>
      <c r="C113" s="115" t="s">
        <v>3287</v>
      </c>
      <c r="D113" s="115" t="s">
        <v>4823</v>
      </c>
      <c r="E113" s="115" t="s">
        <v>4823</v>
      </c>
      <c r="F113" s="115" t="s">
        <v>4827</v>
      </c>
      <c r="G113" s="115" t="s">
        <v>4828</v>
      </c>
    </row>
    <row r="114" ht="15.75" customHeight="1">
      <c r="A114" s="222" t="s">
        <v>4829</v>
      </c>
    </row>
    <row r="115" ht="15.75" customHeight="1">
      <c r="A115" s="115" t="s">
        <v>4830</v>
      </c>
    </row>
    <row r="116" ht="15.75" customHeight="1">
      <c r="A116" s="115" t="s">
        <v>4831</v>
      </c>
    </row>
    <row r="117" ht="15.75" customHeight="1">
      <c r="A117" s="115" t="s">
        <v>4832</v>
      </c>
    </row>
    <row r="118" ht="15.75" customHeight="1">
      <c r="A118" s="115" t="s">
        <v>4833</v>
      </c>
    </row>
    <row r="119" ht="15.75" customHeight="1">
      <c r="A119" s="115" t="s">
        <v>4834</v>
      </c>
    </row>
    <row r="120">
      <c r="A120" s="220" t="s">
        <v>3052</v>
      </c>
      <c r="B120" s="183"/>
      <c r="C120" s="183"/>
      <c r="D120" s="183"/>
      <c r="E120" s="183"/>
      <c r="F120" s="183"/>
      <c r="G120" s="183"/>
      <c r="H120" s="184"/>
    </row>
    <row r="121" ht="15.75" customHeight="1">
      <c r="B121" s="115" t="s">
        <v>4835</v>
      </c>
    </row>
    <row r="122" ht="15.75" customHeight="1">
      <c r="B122" s="115" t="s">
        <v>4836</v>
      </c>
    </row>
    <row r="123" ht="15.75" customHeight="1">
      <c r="B123" s="115" t="s">
        <v>3365</v>
      </c>
      <c r="C123" s="115" t="s">
        <v>2993</v>
      </c>
    </row>
    <row r="124" ht="15.75" customHeight="1">
      <c r="B124" s="115" t="s">
        <v>1809</v>
      </c>
      <c r="C124" s="115" t="s">
        <v>4837</v>
      </c>
    </row>
    <row r="125" ht="15.75" customHeight="1">
      <c r="B125" s="115" t="s">
        <v>3934</v>
      </c>
      <c r="C125" s="115" t="s">
        <v>4838</v>
      </c>
    </row>
    <row r="126" ht="15.75" customHeight="1">
      <c r="B126" s="115" t="s">
        <v>4658</v>
      </c>
      <c r="C126" s="115" t="s">
        <v>4839</v>
      </c>
    </row>
    <row r="127" ht="15.75" customHeight="1">
      <c r="B127" s="115" t="s">
        <v>4840</v>
      </c>
      <c r="C127" s="115" t="s">
        <v>4841</v>
      </c>
    </row>
    <row r="128" ht="15.75" customHeight="1">
      <c r="B128" s="115" t="s">
        <v>4842</v>
      </c>
    </row>
    <row r="129" ht="15.75" customHeight="1">
      <c r="B129" s="115" t="s">
        <v>4753</v>
      </c>
      <c r="C129" s="115" t="s">
        <v>1805</v>
      </c>
      <c r="D129" s="115" t="s">
        <v>3261</v>
      </c>
      <c r="E129" s="115" t="s">
        <v>4843</v>
      </c>
    </row>
    <row r="130" ht="15.75" customHeight="1">
      <c r="B130" s="115" t="s">
        <v>4844</v>
      </c>
      <c r="C130" s="115" t="s">
        <v>3272</v>
      </c>
      <c r="D130" s="115" t="s">
        <v>3269</v>
      </c>
      <c r="E130" s="115" t="s">
        <v>3281</v>
      </c>
    </row>
    <row r="131" ht="15.75" customHeight="1">
      <c r="B131" s="115" t="s">
        <v>3265</v>
      </c>
      <c r="C131" s="115" t="s">
        <v>4845</v>
      </c>
      <c r="D131" s="115" t="s">
        <v>3266</v>
      </c>
      <c r="E131" s="115" t="s">
        <v>3281</v>
      </c>
    </row>
    <row r="132" ht="15.75" customHeight="1">
      <c r="B132" s="115" t="s">
        <v>4299</v>
      </c>
      <c r="C132" s="115" t="s">
        <v>4846</v>
      </c>
      <c r="D132" s="115" t="s">
        <v>3269</v>
      </c>
      <c r="E132" s="115" t="s">
        <v>3281</v>
      </c>
    </row>
    <row r="133" ht="15.75" customHeight="1">
      <c r="B133" s="115" t="s">
        <v>4840</v>
      </c>
      <c r="C133" s="115" t="s">
        <v>3270</v>
      </c>
      <c r="D133" s="115" t="s">
        <v>3287</v>
      </c>
      <c r="E133" s="115" t="s">
        <v>3287</v>
      </c>
    </row>
    <row r="134">
      <c r="A134" s="220" t="s">
        <v>3052</v>
      </c>
      <c r="B134" s="183"/>
      <c r="C134" s="183"/>
      <c r="D134" s="183"/>
      <c r="E134" s="183"/>
      <c r="F134" s="183"/>
      <c r="G134" s="183"/>
      <c r="H134" s="184"/>
    </row>
    <row r="135" ht="15.75" customHeight="1">
      <c r="A135" s="115" t="s">
        <v>4847</v>
      </c>
    </row>
    <row r="136" ht="15.75" customHeight="1">
      <c r="A136" s="222" t="s">
        <v>4848</v>
      </c>
    </row>
    <row r="137" ht="15.75" customHeight="1">
      <c r="A137" s="115" t="s">
        <v>4258</v>
      </c>
      <c r="B137" s="115" t="s">
        <v>3211</v>
      </c>
      <c r="C137" s="115" t="s">
        <v>1805</v>
      </c>
      <c r="D137" s="115" t="s">
        <v>4849</v>
      </c>
    </row>
    <row r="138" ht="15.75" customHeight="1">
      <c r="A138" s="217" t="s">
        <v>3213</v>
      </c>
      <c r="B138" s="217" t="s">
        <v>3136</v>
      </c>
      <c r="C138" s="217" t="s">
        <v>3267</v>
      </c>
      <c r="D138" s="217" t="s">
        <v>4850</v>
      </c>
    </row>
    <row r="139" ht="15.75" customHeight="1">
      <c r="A139" s="217" t="s">
        <v>3217</v>
      </c>
      <c r="B139" s="217" t="s">
        <v>3140</v>
      </c>
      <c r="C139" s="217" t="s">
        <v>3218</v>
      </c>
      <c r="D139" s="217" t="s">
        <v>4851</v>
      </c>
      <c r="E139" s="218"/>
      <c r="F139" s="218"/>
      <c r="G139" s="218"/>
      <c r="H139" s="218"/>
    </row>
    <row r="140" ht="15.75" customHeight="1">
      <c r="A140" s="217" t="s">
        <v>3221</v>
      </c>
      <c r="B140" s="217" t="s">
        <v>3144</v>
      </c>
      <c r="C140" s="217" t="s">
        <v>3222</v>
      </c>
      <c r="D140" s="217" t="s">
        <v>3146</v>
      </c>
      <c r="E140" s="218"/>
      <c r="F140" s="218"/>
      <c r="G140" s="218"/>
      <c r="H140" s="218"/>
    </row>
    <row r="141" ht="15.75" customHeight="1">
      <c r="A141" s="227" t="s">
        <v>4852</v>
      </c>
      <c r="B141" s="218"/>
      <c r="C141" s="218"/>
      <c r="D141" s="218"/>
      <c r="E141" s="218"/>
      <c r="F141" s="218"/>
      <c r="G141" s="218"/>
      <c r="H141" s="218"/>
    </row>
    <row r="142" ht="15.75" customHeight="1">
      <c r="A142" s="218" t="s">
        <v>3129</v>
      </c>
      <c r="B142" s="218" t="s">
        <v>4853</v>
      </c>
      <c r="C142" s="218" t="s">
        <v>4854</v>
      </c>
      <c r="D142" s="218"/>
      <c r="E142" s="218"/>
      <c r="F142" s="218"/>
      <c r="G142" s="218"/>
      <c r="H142" s="218"/>
    </row>
    <row r="143" ht="15.75" customHeight="1">
      <c r="A143" s="218" t="s">
        <v>3132</v>
      </c>
      <c r="B143" s="218" t="s">
        <v>4855</v>
      </c>
      <c r="C143" s="218" t="s">
        <v>4856</v>
      </c>
      <c r="D143" s="218"/>
      <c r="E143" s="218"/>
      <c r="F143" s="218"/>
      <c r="G143" s="218"/>
      <c r="H143" s="218"/>
    </row>
    <row r="144" ht="15.75" customHeight="1">
      <c r="A144" s="218" t="s">
        <v>4857</v>
      </c>
      <c r="B144" s="218" t="s">
        <v>4858</v>
      </c>
      <c r="C144" s="218" t="s">
        <v>4859</v>
      </c>
      <c r="D144" s="218"/>
      <c r="E144" s="218"/>
      <c r="F144" s="218"/>
      <c r="G144" s="218"/>
      <c r="H144" s="218"/>
    </row>
    <row r="145" ht="15.75" customHeight="1">
      <c r="A145" s="218" t="s">
        <v>4860</v>
      </c>
      <c r="B145" s="218" t="s">
        <v>4861</v>
      </c>
      <c r="C145" s="218" t="s">
        <v>4862</v>
      </c>
      <c r="D145" s="218"/>
      <c r="E145" s="218"/>
      <c r="F145" s="218"/>
      <c r="G145" s="218"/>
      <c r="H145" s="218"/>
    </row>
    <row r="146" ht="15.75" customHeight="1"/>
    <row r="147" ht="15.75" customHeight="1"/>
    <row r="148" ht="15.75" customHeight="1"/>
  </sheetData>
  <mergeCells count="8">
    <mergeCell ref="A1:H1"/>
    <mergeCell ref="A2:H2"/>
    <mergeCell ref="A78:B78"/>
    <mergeCell ref="A84:H84"/>
    <mergeCell ref="A86:H86"/>
    <mergeCell ref="A97:H97"/>
    <mergeCell ref="A120:H120"/>
    <mergeCell ref="A134:H134"/>
  </mergeCells>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86"/>
    <col customWidth="1" min="2" max="2" width="137.86"/>
    <col customWidth="1" min="3" max="3" width="35.0"/>
    <col customWidth="1" min="4" max="4" width="25.0"/>
    <col customWidth="1" min="5" max="5" width="20.0"/>
    <col customWidth="1" min="6" max="8" width="15.0"/>
    <col customWidth="1" min="9" max="9" width="8.71"/>
  </cols>
  <sheetData>
    <row r="1" ht="30.0" customHeight="1">
      <c r="A1" s="215" t="s">
        <v>4863</v>
      </c>
      <c r="B1" s="183"/>
      <c r="C1" s="183"/>
      <c r="D1" s="183"/>
      <c r="E1" s="183"/>
      <c r="F1" s="183"/>
      <c r="G1" s="183"/>
      <c r="H1" s="184"/>
    </row>
    <row r="2">
      <c r="A2" s="216" t="s">
        <v>4864</v>
      </c>
    </row>
    <row r="3">
      <c r="A3" s="115" t="s">
        <v>4865</v>
      </c>
      <c r="B3" s="180"/>
    </row>
    <row r="4">
      <c r="A4" s="115" t="s">
        <v>4866</v>
      </c>
      <c r="B4" s="180"/>
    </row>
    <row r="5">
      <c r="A5" s="115" t="s">
        <v>4867</v>
      </c>
      <c r="B5" s="180" t="s">
        <v>4155</v>
      </c>
      <c r="C5" s="115" t="s">
        <v>4868</v>
      </c>
      <c r="D5" s="115" t="s">
        <v>2100</v>
      </c>
    </row>
    <row r="6">
      <c r="A6" s="115" t="s">
        <v>4869</v>
      </c>
      <c r="B6" s="180" t="s">
        <v>4870</v>
      </c>
      <c r="C6" s="115" t="s">
        <v>4871</v>
      </c>
      <c r="D6" s="115" t="s">
        <v>2106</v>
      </c>
    </row>
    <row r="7">
      <c r="A7" s="115" t="s">
        <v>4039</v>
      </c>
      <c r="B7" s="180" t="s">
        <v>4872</v>
      </c>
      <c r="C7" s="115" t="s">
        <v>4873</v>
      </c>
      <c r="D7" s="115" t="s">
        <v>2106</v>
      </c>
    </row>
    <row r="8">
      <c r="A8" s="115" t="s">
        <v>4874</v>
      </c>
      <c r="B8" s="180" t="s">
        <v>4875</v>
      </c>
      <c r="C8" s="115" t="s">
        <v>4876</v>
      </c>
      <c r="D8" s="115" t="s">
        <v>2106</v>
      </c>
    </row>
    <row r="9">
      <c r="A9" s="115" t="s">
        <v>4877</v>
      </c>
      <c r="B9" s="180" t="s">
        <v>4878</v>
      </c>
      <c r="C9" s="115" t="s">
        <v>4879</v>
      </c>
      <c r="D9" s="115" t="s">
        <v>2106</v>
      </c>
    </row>
    <row r="10">
      <c r="A10" s="115" t="s">
        <v>4880</v>
      </c>
      <c r="B10" s="180" t="s">
        <v>4881</v>
      </c>
      <c r="C10" s="115" t="s">
        <v>4882</v>
      </c>
      <c r="D10" s="115" t="s">
        <v>2106</v>
      </c>
    </row>
    <row r="11">
      <c r="A11" s="115" t="s">
        <v>4883</v>
      </c>
      <c r="B11" s="180" t="s">
        <v>4884</v>
      </c>
      <c r="C11" s="115" t="s">
        <v>4882</v>
      </c>
      <c r="D11" s="115" t="s">
        <v>2106</v>
      </c>
    </row>
    <row r="12">
      <c r="A12" s="115" t="s">
        <v>3934</v>
      </c>
      <c r="B12" s="180" t="s">
        <v>4885</v>
      </c>
      <c r="C12" s="115" t="s">
        <v>4886</v>
      </c>
      <c r="D12" s="115" t="s">
        <v>2106</v>
      </c>
    </row>
    <row r="13">
      <c r="A13" s="115" t="s">
        <v>4887</v>
      </c>
      <c r="B13" s="180" t="s">
        <v>4888</v>
      </c>
      <c r="C13" s="115" t="s">
        <v>4889</v>
      </c>
      <c r="D13" s="115" t="s">
        <v>2191</v>
      </c>
    </row>
    <row r="14">
      <c r="A14" s="115" t="s">
        <v>4890</v>
      </c>
      <c r="B14" s="180" t="s">
        <v>4891</v>
      </c>
      <c r="C14" s="115" t="s">
        <v>4892</v>
      </c>
      <c r="D14" s="115" t="s">
        <v>2191</v>
      </c>
    </row>
    <row r="15">
      <c r="A15" s="115" t="s">
        <v>4893</v>
      </c>
      <c r="B15" s="180" t="s">
        <v>4894</v>
      </c>
      <c r="C15" s="115" t="s">
        <v>4895</v>
      </c>
      <c r="D15" s="115" t="s">
        <v>2191</v>
      </c>
    </row>
    <row r="16">
      <c r="A16" s="115" t="s">
        <v>4896</v>
      </c>
      <c r="B16" s="180" t="s">
        <v>4897</v>
      </c>
      <c r="C16" s="115" t="s">
        <v>4873</v>
      </c>
      <c r="D16" s="115" t="s">
        <v>2106</v>
      </c>
    </row>
    <row r="17">
      <c r="A17" s="115" t="s">
        <v>3531</v>
      </c>
      <c r="B17" s="180" t="s">
        <v>4898</v>
      </c>
      <c r="C17" s="115" t="s">
        <v>4899</v>
      </c>
      <c r="D17" s="115" t="s">
        <v>2191</v>
      </c>
    </row>
    <row r="18">
      <c r="A18" s="115" t="s">
        <v>4043</v>
      </c>
      <c r="B18" s="180" t="s">
        <v>4900</v>
      </c>
      <c r="C18" s="115" t="s">
        <v>4876</v>
      </c>
      <c r="D18" s="115" t="s">
        <v>2106</v>
      </c>
    </row>
    <row r="19">
      <c r="A19" s="115" t="s">
        <v>4798</v>
      </c>
      <c r="B19" s="180" t="s">
        <v>4901</v>
      </c>
      <c r="C19" s="115" t="s">
        <v>4902</v>
      </c>
      <c r="D19" s="115" t="s">
        <v>2191</v>
      </c>
    </row>
    <row r="20">
      <c r="A20" s="115" t="s">
        <v>4903</v>
      </c>
      <c r="B20" s="180" t="s">
        <v>4904</v>
      </c>
      <c r="C20" s="115" t="s">
        <v>4905</v>
      </c>
      <c r="D20" s="115" t="s">
        <v>2106</v>
      </c>
    </row>
    <row r="21" ht="15.75" customHeight="1">
      <c r="A21" s="115" t="s">
        <v>4906</v>
      </c>
      <c r="B21" s="180" t="s">
        <v>4907</v>
      </c>
      <c r="C21" s="115" t="s">
        <v>4905</v>
      </c>
      <c r="D21" s="115" t="s">
        <v>2191</v>
      </c>
    </row>
    <row r="22" ht="15.75" customHeight="1">
      <c r="A22" s="115" t="s">
        <v>4908</v>
      </c>
      <c r="B22" s="180" t="s">
        <v>4909</v>
      </c>
      <c r="C22" s="115" t="s">
        <v>4910</v>
      </c>
      <c r="D22" s="115" t="s">
        <v>2191</v>
      </c>
    </row>
    <row r="23" ht="15.75" customHeight="1">
      <c r="A23" s="115" t="s">
        <v>2537</v>
      </c>
      <c r="B23" s="180" t="s">
        <v>4911</v>
      </c>
      <c r="C23" s="115" t="s">
        <v>4910</v>
      </c>
      <c r="D23" s="115" t="s">
        <v>2191</v>
      </c>
    </row>
    <row r="24" ht="15.75" customHeight="1">
      <c r="A24" s="115" t="s">
        <v>4912</v>
      </c>
      <c r="B24" s="180"/>
    </row>
    <row r="25" ht="15.75" customHeight="1">
      <c r="A25" s="222" t="s">
        <v>4913</v>
      </c>
      <c r="B25" s="180"/>
    </row>
    <row r="26" ht="15.75" customHeight="1">
      <c r="A26" s="217" t="s">
        <v>3365</v>
      </c>
      <c r="B26" s="236" t="s">
        <v>2993</v>
      </c>
      <c r="C26" s="217" t="s">
        <v>4914</v>
      </c>
      <c r="D26" s="217" t="s">
        <v>4915</v>
      </c>
    </row>
    <row r="27" ht="15.75" customHeight="1">
      <c r="A27" s="218" t="s">
        <v>3205</v>
      </c>
      <c r="B27" s="237" t="s">
        <v>4916</v>
      </c>
      <c r="C27" s="218" t="s">
        <v>4917</v>
      </c>
      <c r="D27" s="218" t="s">
        <v>4918</v>
      </c>
      <c r="E27" s="218"/>
      <c r="F27" s="218"/>
      <c r="G27" s="218"/>
      <c r="H27" s="218"/>
    </row>
    <row r="28" ht="15.75" customHeight="1">
      <c r="A28" s="218" t="s">
        <v>4919</v>
      </c>
      <c r="B28" s="237" t="s">
        <v>4920</v>
      </c>
      <c r="C28" s="218" t="s">
        <v>4921</v>
      </c>
      <c r="D28" s="218" t="s">
        <v>4922</v>
      </c>
      <c r="E28" s="218"/>
      <c r="F28" s="218"/>
      <c r="G28" s="218"/>
      <c r="H28" s="218"/>
    </row>
    <row r="29" ht="15.75" customHeight="1">
      <c r="A29" s="218" t="s">
        <v>4923</v>
      </c>
      <c r="B29" s="237" t="s">
        <v>4924</v>
      </c>
      <c r="C29" s="218" t="s">
        <v>4925</v>
      </c>
      <c r="D29" s="218" t="s">
        <v>4926</v>
      </c>
      <c r="E29" s="218"/>
      <c r="F29" s="218"/>
      <c r="G29" s="218"/>
      <c r="H29" s="218"/>
    </row>
    <row r="30" ht="15.75" customHeight="1">
      <c r="A30" s="218" t="s">
        <v>4927</v>
      </c>
      <c r="B30" s="237" t="s">
        <v>4928</v>
      </c>
      <c r="C30" s="218" t="s">
        <v>4929</v>
      </c>
      <c r="D30" s="218" t="s">
        <v>4930</v>
      </c>
      <c r="E30" s="218"/>
      <c r="F30" s="218"/>
      <c r="G30" s="218"/>
      <c r="H30" s="218"/>
    </row>
    <row r="31" ht="15.75" customHeight="1">
      <c r="A31" s="227" t="s">
        <v>4931</v>
      </c>
      <c r="B31" s="237"/>
      <c r="C31" s="218"/>
      <c r="D31" s="218"/>
      <c r="E31" s="218"/>
      <c r="F31" s="218"/>
      <c r="G31" s="218"/>
      <c r="H31" s="218"/>
    </row>
    <row r="32" ht="15.75" customHeight="1">
      <c r="A32" s="218" t="s">
        <v>4932</v>
      </c>
      <c r="B32" s="237" t="s">
        <v>3393</v>
      </c>
      <c r="C32" s="218" t="s">
        <v>3542</v>
      </c>
      <c r="D32" s="218" t="s">
        <v>4933</v>
      </c>
      <c r="E32" s="218"/>
      <c r="F32" s="218"/>
      <c r="G32" s="218"/>
      <c r="H32" s="218"/>
    </row>
    <row r="33" ht="15.75" customHeight="1">
      <c r="A33" s="218" t="s">
        <v>4934</v>
      </c>
      <c r="B33" s="237" t="s">
        <v>4935</v>
      </c>
      <c r="C33" s="218" t="s">
        <v>4936</v>
      </c>
      <c r="D33" s="218" t="s">
        <v>4937</v>
      </c>
      <c r="E33" s="218"/>
      <c r="F33" s="218"/>
      <c r="G33" s="218"/>
      <c r="H33" s="218"/>
    </row>
    <row r="34" ht="15.75" customHeight="1">
      <c r="A34" s="218" t="s">
        <v>4938</v>
      </c>
      <c r="B34" s="237" t="s">
        <v>4939</v>
      </c>
      <c r="C34" s="218" t="s">
        <v>4940</v>
      </c>
      <c r="D34" s="218" t="s">
        <v>4941</v>
      </c>
      <c r="E34" s="218"/>
      <c r="F34" s="218"/>
      <c r="G34" s="218"/>
      <c r="H34" s="218"/>
    </row>
    <row r="35" ht="15.75" customHeight="1">
      <c r="A35" s="218" t="s">
        <v>4942</v>
      </c>
      <c r="B35" s="237" t="s">
        <v>4943</v>
      </c>
      <c r="C35" s="218" t="s">
        <v>4944</v>
      </c>
      <c r="D35" s="218" t="s">
        <v>4945</v>
      </c>
      <c r="E35" s="218"/>
      <c r="F35" s="218"/>
      <c r="G35" s="218"/>
      <c r="H35" s="218"/>
    </row>
    <row r="36" ht="15.75" customHeight="1">
      <c r="A36" s="227" t="s">
        <v>4946</v>
      </c>
      <c r="B36" s="237"/>
      <c r="C36" s="218"/>
      <c r="D36" s="218"/>
      <c r="E36" s="218"/>
      <c r="F36" s="218"/>
      <c r="G36" s="218"/>
      <c r="H36" s="218"/>
    </row>
    <row r="37" ht="15.75" customHeight="1">
      <c r="A37" s="218" t="s">
        <v>4258</v>
      </c>
      <c r="B37" s="237" t="s">
        <v>3985</v>
      </c>
      <c r="C37" s="218" t="s">
        <v>3975</v>
      </c>
      <c r="D37" s="218"/>
      <c r="E37" s="218"/>
      <c r="F37" s="218"/>
      <c r="G37" s="218"/>
      <c r="H37" s="218"/>
    </row>
    <row r="38" ht="15.75" customHeight="1">
      <c r="A38" s="218" t="s">
        <v>4947</v>
      </c>
      <c r="B38" s="237" t="s">
        <v>4948</v>
      </c>
      <c r="C38" s="218" t="s">
        <v>4949</v>
      </c>
      <c r="D38" s="218"/>
      <c r="E38" s="218"/>
      <c r="F38" s="218"/>
      <c r="G38" s="218"/>
      <c r="H38" s="218"/>
    </row>
    <row r="39" ht="15.75" customHeight="1">
      <c r="A39" s="218" t="s">
        <v>4950</v>
      </c>
      <c r="B39" s="237" t="s">
        <v>4951</v>
      </c>
      <c r="C39" s="218" t="s">
        <v>4952</v>
      </c>
      <c r="D39" s="218"/>
      <c r="E39" s="218"/>
      <c r="F39" s="218"/>
      <c r="G39" s="218"/>
      <c r="H39" s="218"/>
    </row>
    <row r="40" ht="15.75" customHeight="1">
      <c r="A40" s="218" t="s">
        <v>4953</v>
      </c>
      <c r="B40" s="237" t="s">
        <v>4954</v>
      </c>
      <c r="C40" s="218" t="s">
        <v>4955</v>
      </c>
      <c r="D40" s="218"/>
      <c r="E40" s="218"/>
      <c r="F40" s="218"/>
      <c r="G40" s="218"/>
      <c r="H40" s="218"/>
    </row>
    <row r="41" ht="15.75" customHeight="1">
      <c r="A41" s="218" t="s">
        <v>4956</v>
      </c>
      <c r="B41" s="237" t="s">
        <v>4957</v>
      </c>
      <c r="C41" s="218" t="s">
        <v>4958</v>
      </c>
      <c r="D41" s="218"/>
      <c r="E41" s="218"/>
      <c r="F41" s="218"/>
      <c r="G41" s="218"/>
      <c r="H41" s="218"/>
    </row>
    <row r="42" ht="15.75" customHeight="1">
      <c r="A42" s="218" t="s">
        <v>3916</v>
      </c>
      <c r="B42" s="237" t="s">
        <v>4959</v>
      </c>
      <c r="C42" s="218" t="s">
        <v>4960</v>
      </c>
      <c r="D42" s="218"/>
      <c r="E42" s="218"/>
      <c r="F42" s="218"/>
      <c r="G42" s="218"/>
      <c r="H42" s="218"/>
    </row>
    <row r="43" ht="15.75" customHeight="1">
      <c r="A43" s="227" t="s">
        <v>4961</v>
      </c>
      <c r="B43" s="237"/>
      <c r="C43" s="218"/>
      <c r="D43" s="218"/>
      <c r="E43" s="218"/>
      <c r="F43" s="218"/>
      <c r="G43" s="218"/>
      <c r="H43" s="218"/>
    </row>
    <row r="44" ht="15.75" customHeight="1">
      <c r="A44" s="218" t="s">
        <v>4068</v>
      </c>
      <c r="B44" s="237" t="s">
        <v>3493</v>
      </c>
      <c r="C44" s="218"/>
      <c r="D44" s="218"/>
      <c r="E44" s="218"/>
      <c r="F44" s="218"/>
      <c r="G44" s="218"/>
      <c r="H44" s="218"/>
    </row>
    <row r="45" ht="15.75" customHeight="1">
      <c r="A45" s="218" t="s">
        <v>4962</v>
      </c>
      <c r="B45" s="237" t="s">
        <v>4963</v>
      </c>
      <c r="C45" s="218"/>
      <c r="D45" s="218"/>
      <c r="E45" s="218"/>
      <c r="F45" s="218"/>
      <c r="G45" s="218"/>
      <c r="H45" s="218"/>
    </row>
    <row r="46" ht="15.75" customHeight="1">
      <c r="A46" s="218" t="s">
        <v>4964</v>
      </c>
      <c r="B46" s="237" t="s">
        <v>4965</v>
      </c>
      <c r="C46" s="218"/>
      <c r="D46" s="218"/>
      <c r="E46" s="218"/>
      <c r="F46" s="218"/>
      <c r="G46" s="218"/>
      <c r="H46" s="218"/>
    </row>
    <row r="47" ht="15.75" customHeight="1">
      <c r="A47" s="218" t="s">
        <v>4966</v>
      </c>
      <c r="B47" s="237" t="s">
        <v>4967</v>
      </c>
      <c r="C47" s="218"/>
      <c r="D47" s="218"/>
      <c r="E47" s="218"/>
      <c r="F47" s="218"/>
      <c r="G47" s="218"/>
      <c r="H47" s="218"/>
    </row>
    <row r="48">
      <c r="A48" s="223" t="s">
        <v>4968</v>
      </c>
      <c r="B48" s="224"/>
      <c r="C48" s="224"/>
      <c r="D48" s="224"/>
      <c r="E48" s="224"/>
      <c r="F48" s="224"/>
      <c r="G48" s="224"/>
      <c r="H48" s="225"/>
    </row>
    <row r="49" ht="15.75" customHeight="1">
      <c r="A49" s="227" t="s">
        <v>4969</v>
      </c>
      <c r="B49" s="237"/>
      <c r="C49" s="218"/>
      <c r="D49" s="218"/>
      <c r="E49" s="218"/>
      <c r="F49" s="218"/>
      <c r="G49" s="218"/>
      <c r="H49" s="218"/>
    </row>
    <row r="50" ht="15.75" customHeight="1">
      <c r="A50" s="218" t="s">
        <v>4970</v>
      </c>
      <c r="B50" s="237"/>
      <c r="C50" s="218"/>
      <c r="D50" s="218"/>
      <c r="E50" s="218"/>
      <c r="F50" s="218"/>
      <c r="G50" s="218"/>
      <c r="H50" s="218"/>
    </row>
    <row r="51" ht="15.75" customHeight="1">
      <c r="A51" s="218" t="s">
        <v>4971</v>
      </c>
      <c r="B51" s="237"/>
      <c r="C51" s="218"/>
      <c r="D51" s="218"/>
      <c r="E51" s="218"/>
      <c r="F51" s="218"/>
      <c r="G51" s="218"/>
      <c r="H51" s="218"/>
    </row>
    <row r="52" ht="15.75" customHeight="1">
      <c r="A52" s="218" t="s">
        <v>4972</v>
      </c>
      <c r="B52" s="237"/>
      <c r="C52" s="218"/>
      <c r="D52" s="218"/>
      <c r="E52" s="218"/>
      <c r="F52" s="218"/>
      <c r="G52" s="218"/>
      <c r="H52" s="218"/>
    </row>
    <row r="53" ht="15.75" customHeight="1">
      <c r="A53" s="218" t="s">
        <v>4973</v>
      </c>
      <c r="B53" s="237"/>
      <c r="C53" s="218"/>
      <c r="D53" s="218"/>
      <c r="E53" s="218"/>
      <c r="F53" s="218"/>
      <c r="G53" s="218"/>
      <c r="H53" s="218"/>
    </row>
    <row r="54" ht="15.75" customHeight="1">
      <c r="A54" s="227" t="s">
        <v>4974</v>
      </c>
      <c r="B54" s="237"/>
      <c r="C54" s="218"/>
      <c r="D54" s="218"/>
      <c r="E54" s="218"/>
      <c r="F54" s="218"/>
      <c r="G54" s="218"/>
      <c r="H54" s="218"/>
    </row>
    <row r="55" ht="15.75" customHeight="1">
      <c r="A55" s="218" t="s">
        <v>4975</v>
      </c>
      <c r="B55" s="237"/>
      <c r="C55" s="218"/>
      <c r="D55" s="218"/>
      <c r="E55" s="218"/>
      <c r="F55" s="218"/>
      <c r="G55" s="218"/>
      <c r="H55" s="218"/>
    </row>
    <row r="56" ht="15.75" customHeight="1">
      <c r="A56" s="218" t="s">
        <v>4976</v>
      </c>
      <c r="B56" s="237"/>
      <c r="C56" s="218"/>
      <c r="D56" s="218"/>
      <c r="E56" s="218"/>
      <c r="F56" s="218"/>
      <c r="G56" s="218"/>
      <c r="H56" s="218"/>
    </row>
    <row r="57" ht="15.75" customHeight="1">
      <c r="A57" s="218" t="s">
        <v>4977</v>
      </c>
      <c r="B57" s="237"/>
      <c r="C57" s="218"/>
      <c r="D57" s="218"/>
      <c r="E57" s="218"/>
      <c r="F57" s="218"/>
      <c r="G57" s="218"/>
      <c r="H57" s="218"/>
    </row>
    <row r="58" ht="15.75" customHeight="1">
      <c r="A58" s="218" t="s">
        <v>4978</v>
      </c>
      <c r="B58" s="237"/>
      <c r="C58" s="218"/>
      <c r="D58" s="218"/>
      <c r="E58" s="218"/>
      <c r="F58" s="218"/>
      <c r="G58" s="218"/>
      <c r="H58" s="218"/>
    </row>
    <row r="59" ht="15.75" customHeight="1">
      <c r="A59" s="218" t="s">
        <v>4979</v>
      </c>
      <c r="B59" s="237"/>
      <c r="C59" s="218"/>
      <c r="D59" s="218"/>
      <c r="E59" s="218"/>
      <c r="F59" s="218"/>
      <c r="G59" s="218"/>
      <c r="H59" s="218"/>
    </row>
    <row r="60" ht="15.75" customHeight="1">
      <c r="A60" s="218" t="s">
        <v>4980</v>
      </c>
      <c r="B60" s="237"/>
      <c r="C60" s="218"/>
      <c r="D60" s="218"/>
      <c r="E60" s="218"/>
      <c r="F60" s="218"/>
      <c r="G60" s="218"/>
      <c r="H60" s="218"/>
    </row>
    <row r="61" ht="15.75" customHeight="1">
      <c r="A61" s="218" t="s">
        <v>4981</v>
      </c>
      <c r="B61" s="237"/>
      <c r="C61" s="218"/>
      <c r="D61" s="218"/>
      <c r="E61" s="218"/>
      <c r="F61" s="218"/>
      <c r="G61" s="218"/>
      <c r="H61" s="218"/>
    </row>
    <row r="62" ht="15.75" customHeight="1">
      <c r="A62" s="218" t="s">
        <v>4982</v>
      </c>
      <c r="B62" s="237"/>
      <c r="C62" s="218"/>
      <c r="D62" s="218"/>
      <c r="E62" s="218"/>
      <c r="F62" s="218"/>
      <c r="G62" s="218"/>
      <c r="H62" s="218"/>
    </row>
    <row r="63" ht="15.75" customHeight="1">
      <c r="A63" s="218" t="s">
        <v>4983</v>
      </c>
      <c r="B63" s="237"/>
      <c r="C63" s="218"/>
      <c r="D63" s="218"/>
      <c r="E63" s="218"/>
      <c r="F63" s="218"/>
      <c r="G63" s="218"/>
      <c r="H63" s="218"/>
    </row>
    <row r="64" ht="15.75" customHeight="1">
      <c r="A64" s="218" t="s">
        <v>4984</v>
      </c>
      <c r="B64" s="237"/>
      <c r="C64" s="218"/>
      <c r="D64" s="218"/>
      <c r="E64" s="218"/>
      <c r="F64" s="218"/>
      <c r="G64" s="218"/>
      <c r="H64" s="218"/>
    </row>
    <row r="65" ht="15.75" customHeight="1">
      <c r="A65" s="218" t="s">
        <v>4985</v>
      </c>
      <c r="B65" s="237"/>
      <c r="C65" s="218"/>
      <c r="D65" s="218"/>
      <c r="E65" s="218"/>
      <c r="F65" s="218"/>
      <c r="G65" s="218"/>
      <c r="H65" s="218"/>
    </row>
    <row r="66" ht="15.75" customHeight="1">
      <c r="A66" s="218" t="s">
        <v>4986</v>
      </c>
      <c r="B66" s="237"/>
      <c r="C66" s="218"/>
      <c r="D66" s="218"/>
      <c r="E66" s="218"/>
      <c r="F66" s="218"/>
      <c r="G66" s="218"/>
      <c r="H66" s="218"/>
    </row>
    <row r="67" ht="15.75" customHeight="1">
      <c r="A67" s="218" t="s">
        <v>4987</v>
      </c>
      <c r="B67" s="237"/>
      <c r="C67" s="218"/>
      <c r="D67" s="218"/>
      <c r="E67" s="218"/>
      <c r="F67" s="218"/>
      <c r="G67" s="218"/>
      <c r="H67" s="218"/>
    </row>
    <row r="68" ht="15.75" customHeight="1">
      <c r="A68" s="218" t="s">
        <v>4988</v>
      </c>
      <c r="B68" s="237"/>
      <c r="C68" s="218"/>
      <c r="D68" s="218"/>
      <c r="E68" s="218"/>
      <c r="F68" s="218"/>
      <c r="G68" s="218"/>
      <c r="H68" s="218"/>
    </row>
    <row r="69" ht="15.75" customHeight="1">
      <c r="A69" s="218" t="s">
        <v>4989</v>
      </c>
      <c r="B69" s="237"/>
      <c r="C69" s="218"/>
      <c r="D69" s="218"/>
      <c r="E69" s="218"/>
      <c r="F69" s="218"/>
      <c r="G69" s="218"/>
      <c r="H69" s="218"/>
    </row>
    <row r="70" ht="15.75" customHeight="1">
      <c r="A70" s="218" t="s">
        <v>4990</v>
      </c>
      <c r="B70" s="237"/>
      <c r="C70" s="218"/>
      <c r="D70" s="218"/>
      <c r="E70" s="218"/>
      <c r="F70" s="218"/>
      <c r="G70" s="218"/>
      <c r="H70" s="218"/>
    </row>
    <row r="71" ht="15.75" customHeight="1">
      <c r="A71" s="218" t="s">
        <v>4991</v>
      </c>
      <c r="B71" s="237"/>
      <c r="C71" s="218"/>
      <c r="D71" s="218"/>
      <c r="E71" s="218"/>
      <c r="F71" s="218"/>
      <c r="G71" s="218"/>
      <c r="H71" s="218"/>
    </row>
    <row r="72" ht="15.75" customHeight="1">
      <c r="A72" s="218" t="s">
        <v>4992</v>
      </c>
      <c r="B72" s="237"/>
      <c r="C72" s="218"/>
      <c r="D72" s="218"/>
      <c r="E72" s="218"/>
      <c r="F72" s="218"/>
      <c r="G72" s="218"/>
      <c r="H72" s="218"/>
    </row>
    <row r="73" ht="15.75" customHeight="1">
      <c r="A73" s="227" t="s">
        <v>4993</v>
      </c>
      <c r="B73" s="237"/>
      <c r="C73" s="218"/>
      <c r="D73" s="218"/>
      <c r="E73" s="218"/>
      <c r="F73" s="218"/>
      <c r="G73" s="218"/>
      <c r="H73" s="218"/>
    </row>
    <row r="74" ht="15.75" customHeight="1">
      <c r="A74" s="218" t="s">
        <v>4994</v>
      </c>
      <c r="B74" s="237"/>
      <c r="C74" s="218"/>
      <c r="D74" s="218"/>
      <c r="E74" s="218"/>
      <c r="F74" s="218"/>
      <c r="G74" s="218"/>
      <c r="H74" s="218"/>
    </row>
    <row r="75" ht="15.75" customHeight="1">
      <c r="A75" s="218" t="s">
        <v>4995</v>
      </c>
      <c r="B75" s="237"/>
      <c r="C75" s="218"/>
      <c r="D75" s="218"/>
      <c r="E75" s="218"/>
      <c r="F75" s="218"/>
      <c r="G75" s="218"/>
      <c r="H75" s="218"/>
    </row>
    <row r="76" ht="15.75" customHeight="1">
      <c r="A76" s="218" t="s">
        <v>4996</v>
      </c>
      <c r="B76" s="237"/>
      <c r="C76" s="218"/>
      <c r="D76" s="218"/>
      <c r="E76" s="218"/>
      <c r="F76" s="218"/>
      <c r="G76" s="218"/>
      <c r="H76" s="218"/>
    </row>
    <row r="77" ht="15.75" customHeight="1">
      <c r="A77" s="218" t="s">
        <v>4997</v>
      </c>
      <c r="B77" s="237"/>
      <c r="C77" s="218"/>
      <c r="D77" s="218"/>
      <c r="E77" s="218"/>
      <c r="F77" s="218"/>
      <c r="G77" s="218"/>
      <c r="H77" s="218"/>
    </row>
    <row r="78" ht="15.75" customHeight="1">
      <c r="A78" s="218" t="s">
        <v>4998</v>
      </c>
      <c r="B78" s="237"/>
      <c r="C78" s="218"/>
      <c r="D78" s="218"/>
      <c r="E78" s="218"/>
      <c r="F78" s="218"/>
      <c r="G78" s="218"/>
      <c r="H78" s="218"/>
    </row>
    <row r="79" ht="15.75" customHeight="1">
      <c r="A79" s="218" t="s">
        <v>4999</v>
      </c>
      <c r="B79" s="237"/>
      <c r="C79" s="218"/>
      <c r="D79" s="218"/>
      <c r="E79" s="218"/>
      <c r="F79" s="218"/>
      <c r="G79" s="218"/>
      <c r="H79" s="218"/>
    </row>
    <row r="80" ht="15.75" customHeight="1">
      <c r="A80" s="218" t="s">
        <v>5000</v>
      </c>
      <c r="B80" s="237"/>
      <c r="C80" s="218"/>
      <c r="D80" s="218"/>
      <c r="E80" s="218"/>
      <c r="F80" s="218"/>
      <c r="G80" s="218"/>
      <c r="H80" s="218"/>
    </row>
    <row r="81" ht="15.75" customHeight="1">
      <c r="A81" s="218" t="s">
        <v>5001</v>
      </c>
      <c r="B81" s="237"/>
      <c r="C81" s="218"/>
      <c r="D81" s="218"/>
      <c r="E81" s="218"/>
      <c r="F81" s="218"/>
      <c r="G81" s="218"/>
      <c r="H81" s="218"/>
    </row>
    <row r="82" ht="15.75" customHeight="1">
      <c r="A82" s="227" t="s">
        <v>5002</v>
      </c>
      <c r="B82" s="237"/>
      <c r="C82" s="218"/>
      <c r="D82" s="218"/>
      <c r="E82" s="218"/>
      <c r="F82" s="218"/>
      <c r="G82" s="218"/>
      <c r="H82" s="218"/>
    </row>
    <row r="83" ht="15.75" customHeight="1">
      <c r="A83" s="218" t="s">
        <v>5003</v>
      </c>
      <c r="B83" s="237"/>
      <c r="C83" s="218"/>
      <c r="D83" s="218"/>
      <c r="E83" s="218"/>
      <c r="F83" s="218"/>
      <c r="G83" s="218"/>
      <c r="H83" s="218"/>
    </row>
    <row r="84" ht="15.75" customHeight="1">
      <c r="A84" s="218" t="s">
        <v>5004</v>
      </c>
      <c r="B84" s="237"/>
      <c r="C84" s="218"/>
      <c r="D84" s="218"/>
      <c r="E84" s="218"/>
      <c r="F84" s="218"/>
      <c r="G84" s="218"/>
      <c r="H84" s="218"/>
    </row>
    <row r="85" ht="15.75" customHeight="1">
      <c r="A85" s="218" t="s">
        <v>5005</v>
      </c>
      <c r="B85" s="237"/>
      <c r="C85" s="218"/>
      <c r="D85" s="218"/>
      <c r="E85" s="218"/>
      <c r="F85" s="218"/>
      <c r="G85" s="218"/>
      <c r="H85" s="218"/>
    </row>
    <row r="86" ht="15.75" customHeight="1">
      <c r="A86" s="218" t="s">
        <v>5006</v>
      </c>
      <c r="B86" s="237"/>
      <c r="C86" s="218"/>
      <c r="D86" s="218"/>
      <c r="E86" s="218"/>
      <c r="F86" s="218"/>
      <c r="G86" s="218"/>
      <c r="H86" s="218"/>
    </row>
    <row r="87" ht="15.75" customHeight="1">
      <c r="A87" s="218" t="s">
        <v>5007</v>
      </c>
      <c r="B87" s="237"/>
      <c r="C87" s="218"/>
      <c r="D87" s="218"/>
      <c r="E87" s="218"/>
      <c r="F87" s="218"/>
      <c r="G87" s="218"/>
      <c r="H87" s="218"/>
    </row>
    <row r="88" ht="15.75" customHeight="1">
      <c r="A88" s="218" t="s">
        <v>5008</v>
      </c>
      <c r="B88" s="237"/>
      <c r="C88" s="218"/>
      <c r="D88" s="218"/>
      <c r="E88" s="218"/>
      <c r="F88" s="218"/>
      <c r="G88" s="218"/>
      <c r="H88" s="218"/>
    </row>
    <row r="89" ht="15.75" customHeight="1">
      <c r="A89" s="218" t="s">
        <v>5009</v>
      </c>
      <c r="B89" s="237"/>
      <c r="C89" s="218"/>
      <c r="D89" s="218"/>
      <c r="E89" s="218"/>
      <c r="F89" s="218"/>
      <c r="G89" s="218"/>
      <c r="H89" s="218"/>
    </row>
    <row r="90" ht="15.75" customHeight="1">
      <c r="A90" s="218" t="s">
        <v>5010</v>
      </c>
      <c r="B90" s="237"/>
      <c r="C90" s="218"/>
      <c r="D90" s="218"/>
      <c r="E90" s="218"/>
      <c r="F90" s="218"/>
      <c r="G90" s="218"/>
      <c r="H90" s="218"/>
    </row>
    <row r="91" ht="15.75" customHeight="1">
      <c r="A91" s="218" t="s">
        <v>5011</v>
      </c>
      <c r="B91" s="237"/>
      <c r="C91" s="218"/>
      <c r="D91" s="218"/>
      <c r="E91" s="218"/>
      <c r="F91" s="218"/>
      <c r="G91" s="218"/>
      <c r="H91" s="218"/>
    </row>
    <row r="92" ht="15.75" customHeight="1">
      <c r="A92" s="218" t="s">
        <v>5012</v>
      </c>
      <c r="B92" s="237"/>
      <c r="C92" s="218"/>
      <c r="D92" s="218"/>
      <c r="E92" s="218"/>
      <c r="F92" s="218"/>
      <c r="G92" s="218"/>
      <c r="H92" s="218"/>
    </row>
    <row r="93" ht="15.75" customHeight="1">
      <c r="A93" s="218" t="s">
        <v>5013</v>
      </c>
      <c r="B93" s="237"/>
      <c r="C93" s="218"/>
      <c r="D93" s="218"/>
      <c r="E93" s="218"/>
      <c r="F93" s="218"/>
      <c r="G93" s="218"/>
      <c r="H93" s="218"/>
    </row>
    <row r="94" ht="15.75" customHeight="1">
      <c r="A94" s="218" t="s">
        <v>5014</v>
      </c>
      <c r="B94" s="237"/>
      <c r="C94" s="218"/>
      <c r="D94" s="218"/>
      <c r="E94" s="218"/>
      <c r="F94" s="218"/>
      <c r="G94" s="218"/>
      <c r="H94" s="218"/>
    </row>
    <row r="95" ht="15.75" customHeight="1">
      <c r="A95" s="218" t="s">
        <v>5015</v>
      </c>
      <c r="B95" s="237"/>
      <c r="C95" s="218"/>
      <c r="D95" s="218"/>
      <c r="E95" s="218"/>
      <c r="F95" s="218"/>
      <c r="G95" s="218"/>
      <c r="H95" s="218"/>
    </row>
    <row r="96" ht="15.75" customHeight="1">
      <c r="A96" s="227" t="s">
        <v>5016</v>
      </c>
      <c r="B96" s="237"/>
      <c r="C96" s="218"/>
      <c r="D96" s="218"/>
      <c r="E96" s="218"/>
      <c r="F96" s="218"/>
      <c r="G96" s="218"/>
      <c r="H96" s="218"/>
    </row>
    <row r="97" ht="15.75" customHeight="1">
      <c r="A97" s="218" t="s">
        <v>5017</v>
      </c>
      <c r="B97" s="237"/>
      <c r="C97" s="218"/>
      <c r="D97" s="218"/>
      <c r="E97" s="218"/>
      <c r="F97" s="218"/>
      <c r="G97" s="218"/>
      <c r="H97" s="218"/>
    </row>
    <row r="98" ht="15.75" customHeight="1">
      <c r="A98" s="218" t="s">
        <v>5018</v>
      </c>
      <c r="B98" s="237"/>
      <c r="C98" s="218"/>
      <c r="D98" s="218"/>
      <c r="E98" s="218"/>
      <c r="F98" s="218"/>
      <c r="G98" s="218"/>
      <c r="H98" s="218"/>
    </row>
    <row r="99" ht="15.75" customHeight="1">
      <c r="A99" s="218" t="s">
        <v>5019</v>
      </c>
      <c r="B99" s="237"/>
      <c r="C99" s="218"/>
      <c r="D99" s="218"/>
      <c r="E99" s="218"/>
      <c r="F99" s="218"/>
      <c r="G99" s="218"/>
      <c r="H99" s="218"/>
    </row>
    <row r="100" ht="15.75" customHeight="1">
      <c r="A100" s="218" t="s">
        <v>5020</v>
      </c>
      <c r="B100" s="237"/>
      <c r="C100" s="218"/>
      <c r="D100" s="218"/>
      <c r="E100" s="218"/>
      <c r="F100" s="218"/>
      <c r="G100" s="218"/>
      <c r="H100" s="218"/>
    </row>
    <row r="101" ht="15.75" customHeight="1">
      <c r="A101" s="218" t="s">
        <v>5021</v>
      </c>
      <c r="B101" s="237"/>
      <c r="C101" s="218"/>
      <c r="D101" s="218"/>
      <c r="E101" s="218"/>
      <c r="F101" s="218"/>
      <c r="G101" s="218"/>
      <c r="H101" s="218"/>
    </row>
    <row r="102" ht="15.75" customHeight="1">
      <c r="A102" s="218" t="s">
        <v>5022</v>
      </c>
      <c r="B102" s="237"/>
      <c r="C102" s="218"/>
      <c r="D102" s="218"/>
      <c r="E102" s="218"/>
      <c r="F102" s="218"/>
      <c r="G102" s="218"/>
      <c r="H102" s="218"/>
    </row>
    <row r="103" ht="15.75" customHeight="1">
      <c r="A103" s="218" t="s">
        <v>5023</v>
      </c>
      <c r="B103" s="237"/>
      <c r="C103" s="218"/>
      <c r="D103" s="218"/>
      <c r="E103" s="218"/>
      <c r="F103" s="218"/>
      <c r="G103" s="218"/>
      <c r="H103" s="218"/>
    </row>
    <row r="104" ht="15.75" customHeight="1">
      <c r="A104" s="218" t="s">
        <v>5021</v>
      </c>
      <c r="B104" s="237"/>
      <c r="C104" s="218"/>
      <c r="D104" s="218"/>
      <c r="E104" s="218"/>
      <c r="F104" s="218"/>
      <c r="G104" s="218"/>
      <c r="H104" s="218"/>
    </row>
    <row r="105" ht="15.75" customHeight="1">
      <c r="A105" s="218" t="s">
        <v>5024</v>
      </c>
      <c r="B105" s="237"/>
      <c r="C105" s="218"/>
      <c r="D105" s="218"/>
      <c r="E105" s="218"/>
      <c r="F105" s="218"/>
      <c r="G105" s="218"/>
      <c r="H105" s="218"/>
    </row>
    <row r="106">
      <c r="A106" s="223" t="s">
        <v>5025</v>
      </c>
      <c r="B106" s="224"/>
      <c r="C106" s="224"/>
      <c r="D106" s="224"/>
      <c r="E106" s="224"/>
      <c r="F106" s="224"/>
      <c r="G106" s="224"/>
      <c r="H106" s="225"/>
    </row>
    <row r="107" ht="15.75" customHeight="1">
      <c r="A107" s="218" t="s">
        <v>5026</v>
      </c>
      <c r="B107" s="237"/>
      <c r="C107" s="218"/>
      <c r="D107" s="218"/>
      <c r="E107" s="218"/>
      <c r="F107" s="218"/>
      <c r="G107" s="218"/>
      <c r="H107" s="218"/>
    </row>
    <row r="108" ht="15.75" customHeight="1">
      <c r="A108" s="227" t="s">
        <v>5027</v>
      </c>
      <c r="B108" s="237"/>
      <c r="C108" s="218"/>
      <c r="D108" s="218"/>
      <c r="E108" s="218"/>
      <c r="F108" s="218"/>
      <c r="G108" s="218"/>
      <c r="H108" s="218"/>
    </row>
    <row r="109" ht="15.75" customHeight="1">
      <c r="A109" s="217" t="s">
        <v>3365</v>
      </c>
      <c r="B109" s="236" t="s">
        <v>5028</v>
      </c>
      <c r="C109" s="217" t="s">
        <v>5029</v>
      </c>
      <c r="D109" s="217" t="s">
        <v>4319</v>
      </c>
      <c r="E109" s="217" t="s">
        <v>4320</v>
      </c>
      <c r="F109" s="217" t="s">
        <v>4686</v>
      </c>
      <c r="G109" s="217" t="s">
        <v>13</v>
      </c>
      <c r="H109" s="218"/>
    </row>
    <row r="110" ht="15.75" customHeight="1">
      <c r="A110" s="218" t="s">
        <v>5030</v>
      </c>
      <c r="B110" s="237" t="s">
        <v>4324</v>
      </c>
      <c r="C110" s="218" t="s">
        <v>5031</v>
      </c>
      <c r="D110" s="218" t="s">
        <v>4325</v>
      </c>
      <c r="E110" s="218" t="s">
        <v>4325</v>
      </c>
      <c r="F110" s="218" t="s">
        <v>5032</v>
      </c>
      <c r="G110" s="218" t="s">
        <v>5033</v>
      </c>
      <c r="H110" s="218"/>
    </row>
    <row r="111" ht="15.75" customHeight="1">
      <c r="A111" s="218" t="s">
        <v>5034</v>
      </c>
      <c r="B111" s="237" t="s">
        <v>4329</v>
      </c>
      <c r="C111" s="218" t="s">
        <v>5031</v>
      </c>
      <c r="D111" s="218" t="s">
        <v>4330</v>
      </c>
      <c r="E111" s="218" t="s">
        <v>4330</v>
      </c>
      <c r="F111" s="218" t="s">
        <v>5035</v>
      </c>
      <c r="G111" s="218" t="s">
        <v>5036</v>
      </c>
      <c r="H111" s="218"/>
    </row>
    <row r="112" ht="15.75" customHeight="1">
      <c r="A112" s="218" t="s">
        <v>2357</v>
      </c>
      <c r="B112" s="237" t="s">
        <v>4333</v>
      </c>
      <c r="C112" s="218" t="s">
        <v>5031</v>
      </c>
      <c r="D112" s="218" t="s">
        <v>4334</v>
      </c>
      <c r="E112" s="218" t="s">
        <v>4334</v>
      </c>
      <c r="F112" s="218"/>
      <c r="G112" s="218" t="s">
        <v>5037</v>
      </c>
      <c r="H112" s="218"/>
    </row>
    <row r="113" ht="15.75" customHeight="1">
      <c r="A113" s="227" t="s">
        <v>5038</v>
      </c>
      <c r="B113" s="237"/>
      <c r="C113" s="218"/>
      <c r="D113" s="218"/>
      <c r="E113" s="218"/>
      <c r="F113" s="218"/>
      <c r="G113" s="218"/>
      <c r="H113" s="218"/>
    </row>
    <row r="114" ht="15.75" customHeight="1">
      <c r="A114" s="218" t="s">
        <v>5039</v>
      </c>
      <c r="B114" s="237"/>
      <c r="C114" s="218"/>
      <c r="D114" s="218"/>
      <c r="E114" s="218"/>
      <c r="F114" s="218"/>
      <c r="G114" s="218"/>
      <c r="H114" s="218"/>
    </row>
    <row r="115" ht="15.75" customHeight="1">
      <c r="A115" s="218" t="s">
        <v>4282</v>
      </c>
      <c r="B115" s="237">
        <v>300000.0</v>
      </c>
      <c r="C115" s="218"/>
      <c r="D115" s="218"/>
      <c r="E115" s="218"/>
      <c r="F115" s="218"/>
      <c r="G115" s="218"/>
      <c r="H115" s="218"/>
    </row>
    <row r="116" ht="15.75" customHeight="1">
      <c r="A116" s="218" t="s">
        <v>4285</v>
      </c>
      <c r="B116" s="237">
        <v>260000.0</v>
      </c>
      <c r="C116" s="218"/>
      <c r="D116" s="218"/>
      <c r="E116" s="218"/>
      <c r="F116" s="218"/>
      <c r="G116" s="218"/>
      <c r="H116" s="218"/>
    </row>
    <row r="117" ht="15.75" customHeight="1">
      <c r="A117" s="218" t="s">
        <v>4395</v>
      </c>
      <c r="B117" s="237">
        <v>24.0</v>
      </c>
      <c r="C117" s="218"/>
      <c r="D117" s="218"/>
      <c r="E117" s="218"/>
      <c r="F117" s="218"/>
      <c r="G117" s="218"/>
      <c r="H117" s="218"/>
    </row>
    <row r="118" ht="15.75" customHeight="1">
      <c r="A118" s="218" t="s">
        <v>4193</v>
      </c>
      <c r="B118" s="237">
        <v>10.0</v>
      </c>
      <c r="C118" s="218"/>
      <c r="D118" s="218"/>
      <c r="E118" s="218"/>
      <c r="F118" s="218"/>
      <c r="G118" s="218"/>
      <c r="H118" s="218"/>
    </row>
    <row r="119" ht="15.75" customHeight="1">
      <c r="A119" s="218" t="s">
        <v>5040</v>
      </c>
      <c r="B119" s="237"/>
      <c r="C119" s="218"/>
      <c r="D119" s="218"/>
      <c r="E119" s="218"/>
      <c r="F119" s="218"/>
      <c r="G119" s="218"/>
      <c r="H119" s="218"/>
    </row>
    <row r="120" ht="15.75" customHeight="1">
      <c r="A120" s="217" t="s">
        <v>5041</v>
      </c>
      <c r="B120" s="236" t="s">
        <v>5042</v>
      </c>
      <c r="C120" s="217" t="s">
        <v>5043</v>
      </c>
      <c r="D120" s="217" t="s">
        <v>5044</v>
      </c>
      <c r="E120" s="217" t="s">
        <v>4366</v>
      </c>
      <c r="F120" s="218"/>
      <c r="G120" s="218"/>
      <c r="H120" s="218"/>
    </row>
    <row r="121" ht="15.75" customHeight="1">
      <c r="A121" s="218" t="s">
        <v>5045</v>
      </c>
      <c r="B121" s="237" t="str">
        <f>B16-B17</f>
        <v>#VALUE!</v>
      </c>
      <c r="C121" s="218" t="str">
        <f>B16-B17</f>
        <v>#VALUE!</v>
      </c>
      <c r="D121" s="218"/>
      <c r="E121" s="218"/>
      <c r="F121" s="218"/>
      <c r="G121" s="218"/>
      <c r="H121" s="218"/>
    </row>
    <row r="122" ht="15.75" customHeight="1">
      <c r="A122" s="218" t="s">
        <v>5046</v>
      </c>
      <c r="B122" s="237" t="str">
        <f>C23*0.2828</f>
        <v>#VALUE!</v>
      </c>
      <c r="C122" s="218" t="str">
        <f>C23*0.2828</f>
        <v>#VALUE!</v>
      </c>
      <c r="D122" s="218"/>
      <c r="E122" s="218" t="s">
        <v>5047</v>
      </c>
      <c r="F122" s="218"/>
      <c r="G122" s="218"/>
      <c r="H122" s="218"/>
    </row>
    <row r="123" ht="15.75" customHeight="1">
      <c r="A123" s="218" t="s">
        <v>5048</v>
      </c>
      <c r="B123" s="237">
        <f>C24*12</f>
        <v>0</v>
      </c>
      <c r="C123" s="218">
        <f>C24*12</f>
        <v>0</v>
      </c>
      <c r="D123" s="218"/>
      <c r="E123" s="218" t="s">
        <v>5049</v>
      </c>
      <c r="F123" s="218"/>
      <c r="G123" s="218"/>
      <c r="H123" s="218"/>
    </row>
    <row r="124" ht="15.75" customHeight="1">
      <c r="A124" s="217" t="s">
        <v>5050</v>
      </c>
      <c r="B124" s="236" t="str">
        <f>C24*B18*B19</f>
        <v>#VALUE!</v>
      </c>
      <c r="C124" s="217" t="str">
        <f>C24*B18*B19</f>
        <v>#VALUE!</v>
      </c>
      <c r="D124" s="218"/>
      <c r="E124" s="217" t="s">
        <v>5051</v>
      </c>
      <c r="F124" s="218"/>
      <c r="G124" s="218"/>
      <c r="H124" s="218"/>
    </row>
    <row r="125" ht="15.75" customHeight="1">
      <c r="A125" s="218" t="s">
        <v>5052</v>
      </c>
      <c r="B125" s="237" t="str">
        <f>C26*0.5</f>
        <v>#VALUE!</v>
      </c>
      <c r="C125" s="218" t="str">
        <f>C26*0.5</f>
        <v>#VALUE!</v>
      </c>
      <c r="D125" s="218"/>
      <c r="E125" s="218" t="s">
        <v>5053</v>
      </c>
      <c r="F125" s="218"/>
      <c r="G125" s="218"/>
      <c r="H125" s="218"/>
    </row>
    <row r="126" ht="15.75" customHeight="1">
      <c r="A126" s="218" t="s">
        <v>5054</v>
      </c>
      <c r="B126" s="237" t="str">
        <f>C26*0.2</f>
        <v>#VALUE!</v>
      </c>
      <c r="C126" s="218" t="str">
        <f>C26*0.2</f>
        <v>#VALUE!</v>
      </c>
      <c r="D126" s="218"/>
      <c r="E126" s="218" t="s">
        <v>5055</v>
      </c>
      <c r="F126" s="218"/>
      <c r="G126" s="218"/>
      <c r="H126" s="218"/>
    </row>
    <row r="127" ht="15.75" customHeight="1">
      <c r="A127" s="218" t="s">
        <v>5056</v>
      </c>
      <c r="B127" s="237" t="str">
        <f>C26*0.3</f>
        <v>#VALUE!</v>
      </c>
      <c r="C127" s="218" t="str">
        <f>C26*0.3</f>
        <v>#VALUE!</v>
      </c>
      <c r="D127" s="218"/>
      <c r="E127" s="218" t="s">
        <v>5057</v>
      </c>
      <c r="F127" s="218"/>
      <c r="G127" s="218"/>
      <c r="H127" s="218"/>
    </row>
    <row r="128" ht="15.75" customHeight="1">
      <c r="A128" s="218" t="s">
        <v>5058</v>
      </c>
      <c r="B128" s="237">
        <f>SUM(C27:C29)</f>
        <v>0</v>
      </c>
      <c r="C128" s="218">
        <f>SUM(C27:C29)</f>
        <v>0</v>
      </c>
      <c r="D128" s="218" t="str">
        <f>IF(ABS(C30-C26)&lt;1,"✓一致","✗不一致")</f>
        <v>#VALUE!</v>
      </c>
      <c r="E128" s="218" t="s">
        <v>5059</v>
      </c>
      <c r="F128" s="218"/>
      <c r="G128" s="218"/>
      <c r="H128" s="218"/>
    </row>
    <row r="129" ht="15.75" customHeight="1">
      <c r="A129" s="227" t="s">
        <v>5060</v>
      </c>
      <c r="B129" s="237"/>
      <c r="C129" s="218"/>
      <c r="D129" s="218"/>
      <c r="E129" s="218"/>
      <c r="F129" s="218"/>
      <c r="G129" s="218"/>
      <c r="H129" s="218"/>
    </row>
    <row r="130" ht="15.75" customHeight="1">
      <c r="A130" s="218" t="s">
        <v>5061</v>
      </c>
      <c r="B130" s="237"/>
      <c r="C130" s="218"/>
      <c r="D130" s="218"/>
      <c r="E130" s="218"/>
      <c r="F130" s="218"/>
      <c r="G130" s="218"/>
      <c r="H130" s="218"/>
    </row>
    <row r="131" ht="15.75" customHeight="1">
      <c r="A131" s="218" t="s">
        <v>5062</v>
      </c>
      <c r="B131" s="237"/>
      <c r="C131" s="218"/>
      <c r="D131" s="218"/>
      <c r="E131" s="218"/>
      <c r="F131" s="218"/>
      <c r="G131" s="218"/>
      <c r="H131" s="218"/>
    </row>
    <row r="132" ht="15.75" customHeight="1">
      <c r="A132" s="218" t="s">
        <v>5063</v>
      </c>
      <c r="B132" s="237"/>
      <c r="C132" s="218"/>
      <c r="D132" s="218"/>
      <c r="E132" s="218"/>
      <c r="F132" s="218"/>
      <c r="G132" s="218"/>
      <c r="H132" s="218"/>
    </row>
    <row r="133" ht="15.75" customHeight="1">
      <c r="A133" s="218" t="s">
        <v>5064</v>
      </c>
      <c r="B133" s="237"/>
      <c r="C133" s="218"/>
      <c r="D133" s="218"/>
      <c r="E133" s="218"/>
      <c r="F133" s="218"/>
      <c r="G133" s="218"/>
      <c r="H133" s="218"/>
    </row>
    <row r="134" ht="15.75" customHeight="1">
      <c r="A134" s="218" t="s">
        <v>5065</v>
      </c>
      <c r="B134" s="237"/>
      <c r="C134" s="218"/>
      <c r="D134" s="218"/>
      <c r="E134" s="218"/>
      <c r="F134" s="218"/>
      <c r="G134" s="218"/>
      <c r="H134" s="218"/>
    </row>
    <row r="135" ht="15.75" customHeight="1">
      <c r="A135" s="218" t="s">
        <v>5066</v>
      </c>
      <c r="B135" s="237"/>
      <c r="C135" s="218"/>
      <c r="D135" s="218"/>
      <c r="E135" s="218"/>
      <c r="F135" s="218"/>
      <c r="G135" s="218"/>
      <c r="H135" s="218"/>
    </row>
    <row r="136" ht="15.75" customHeight="1">
      <c r="A136" s="217" t="s">
        <v>3365</v>
      </c>
      <c r="B136" s="236" t="s">
        <v>5067</v>
      </c>
      <c r="C136" s="217" t="s">
        <v>5068</v>
      </c>
      <c r="D136" s="217" t="s">
        <v>5069</v>
      </c>
      <c r="E136" s="217" t="s">
        <v>5070</v>
      </c>
      <c r="F136" s="218"/>
      <c r="G136" s="218"/>
      <c r="H136" s="218"/>
    </row>
    <row r="137" ht="15.75" customHeight="1">
      <c r="A137" s="218" t="s">
        <v>4396</v>
      </c>
      <c r="B137" s="237" t="str">
        <f t="shared" ref="B137:B143" si="1">C23</f>
        <v>STEP 9
継続運用</v>
      </c>
      <c r="C137" s="218"/>
      <c r="D137" s="218" t="str">
        <f t="shared" ref="D137:D143" si="2">IF(ISBLANK(F43),"未入力",ABS(E43-F43))</f>
        <v>未入力</v>
      </c>
      <c r="E137" s="218" t="str">
        <f t="shared" ref="E137:E143" si="3">IF(ISBLANK(F43),"",IF(ABS(E43-F43)&lt;1,"✓","✗"))</f>
        <v/>
      </c>
      <c r="F137" s="218"/>
      <c r="G137" s="218"/>
      <c r="H137" s="218"/>
    </row>
    <row r="138" ht="15.75" customHeight="1">
      <c r="A138" s="218" t="s">
        <v>5071</v>
      </c>
      <c r="B138" s="237" t="str">
        <f t="shared" si="1"/>
        <v/>
      </c>
      <c r="C138" s="218"/>
      <c r="D138" s="218" t="str">
        <f t="shared" si="2"/>
        <v>未入力</v>
      </c>
      <c r="E138" s="218" t="str">
        <f t="shared" si="3"/>
        <v/>
      </c>
      <c r="F138" s="218"/>
      <c r="G138" s="218"/>
      <c r="H138" s="218"/>
    </row>
    <row r="139" ht="15.75" customHeight="1">
      <c r="A139" s="218" t="s">
        <v>5072</v>
      </c>
      <c r="B139" s="237" t="str">
        <f t="shared" si="1"/>
        <v/>
      </c>
      <c r="C139" s="218"/>
      <c r="D139" s="218" t="str">
        <f t="shared" si="2"/>
        <v>未入力</v>
      </c>
      <c r="E139" s="218" t="str">
        <f t="shared" si="3"/>
        <v/>
      </c>
      <c r="F139" s="218"/>
      <c r="G139" s="218"/>
      <c r="H139" s="218"/>
    </row>
    <row r="140" ht="15.75" customHeight="1">
      <c r="A140" s="217" t="s">
        <v>4299</v>
      </c>
      <c r="B140" s="236" t="str">
        <f t="shared" si="1"/>
        <v>本サービスとの関連性</v>
      </c>
      <c r="C140" s="218"/>
      <c r="D140" s="217" t="str">
        <f t="shared" si="2"/>
        <v>未入力</v>
      </c>
      <c r="E140" s="217" t="str">
        <f t="shared" si="3"/>
        <v/>
      </c>
      <c r="F140" s="218"/>
      <c r="G140" s="218"/>
      <c r="H140" s="218"/>
    </row>
    <row r="141" ht="15.75" customHeight="1">
      <c r="A141" s="218" t="s">
        <v>5073</v>
      </c>
      <c r="B141" s="237" t="str">
        <f t="shared" si="1"/>
        <v>正規・非正規の待遇格差を是正する国の方針</v>
      </c>
      <c r="C141" s="218"/>
      <c r="D141" s="218" t="str">
        <f t="shared" si="2"/>
        <v>未入力</v>
      </c>
      <c r="E141" s="218" t="str">
        <f t="shared" si="3"/>
        <v/>
      </c>
      <c r="F141" s="218"/>
      <c r="G141" s="218"/>
      <c r="H141" s="218"/>
    </row>
    <row r="142" ht="15.75" customHeight="1">
      <c r="A142" s="218" t="s">
        <v>5074</v>
      </c>
      <c r="B142" s="237" t="str">
        <f t="shared" si="1"/>
        <v>雇用形態による差別的な取扱いの禁止</v>
      </c>
      <c r="C142" s="218"/>
      <c r="D142" s="218" t="str">
        <f t="shared" si="2"/>
        <v>未入力</v>
      </c>
      <c r="E142" s="218" t="str">
        <f t="shared" si="3"/>
        <v/>
      </c>
      <c r="F142" s="218"/>
      <c r="G142" s="218"/>
      <c r="H142" s="218"/>
    </row>
    <row r="143" ht="15.75" customHeight="1">
      <c r="A143" s="218" t="s">
        <v>5075</v>
      </c>
      <c r="B143" s="237" t="str">
        <f t="shared" si="1"/>
        <v>給与・報酬体系の見直しが必要</v>
      </c>
      <c r="C143" s="218"/>
      <c r="D143" s="218" t="str">
        <f t="shared" si="2"/>
        <v>未入力</v>
      </c>
      <c r="E143" s="218" t="str">
        <f t="shared" si="3"/>
        <v/>
      </c>
      <c r="F143" s="218"/>
      <c r="G143" s="218"/>
      <c r="H143" s="218"/>
    </row>
    <row r="144" ht="15.75" customHeight="1">
      <c r="A144" s="218" t="s">
        <v>5076</v>
      </c>
      <c r="B144" s="237"/>
      <c r="C144" s="218"/>
      <c r="D144" s="218"/>
      <c r="E144" s="218"/>
      <c r="F144" s="218"/>
      <c r="G144" s="218"/>
      <c r="H144" s="218"/>
    </row>
    <row r="145" ht="15.75" customHeight="1">
      <c r="A145" s="227" t="s">
        <v>5077</v>
      </c>
      <c r="B145" s="237" t="s">
        <v>5078</v>
      </c>
      <c r="C145" s="218"/>
      <c r="D145" s="218"/>
      <c r="E145" s="218"/>
      <c r="F145" s="218"/>
      <c r="G145" s="218"/>
      <c r="H145" s="218"/>
    </row>
    <row r="146" ht="15.75" customHeight="1">
      <c r="A146" s="227" t="s">
        <v>5079</v>
      </c>
      <c r="B146" s="237" t="s">
        <v>5080</v>
      </c>
      <c r="C146" s="218"/>
      <c r="D146" s="218"/>
      <c r="E146" s="218"/>
      <c r="F146" s="218"/>
      <c r="G146" s="218"/>
      <c r="H146" s="218"/>
    </row>
    <row r="147" ht="15.75" customHeight="1">
      <c r="A147" s="218" t="s">
        <v>2840</v>
      </c>
      <c r="B147" s="237" t="s">
        <v>214</v>
      </c>
      <c r="C147" s="218" t="s">
        <v>5081</v>
      </c>
      <c r="D147" s="218" t="s">
        <v>5082</v>
      </c>
      <c r="E147" s="218"/>
      <c r="F147" s="218"/>
      <c r="G147" s="218"/>
      <c r="H147" s="218"/>
    </row>
    <row r="148" ht="15.75" customHeight="1">
      <c r="A148" s="218" t="s">
        <v>5083</v>
      </c>
      <c r="B148" s="237" t="s">
        <v>3632</v>
      </c>
      <c r="C148" s="218" t="s">
        <v>5081</v>
      </c>
      <c r="D148" s="218" t="s">
        <v>5084</v>
      </c>
      <c r="E148" s="218" t="s">
        <v>5085</v>
      </c>
      <c r="F148" s="218"/>
      <c r="G148" s="218"/>
      <c r="H148" s="218"/>
    </row>
    <row r="149" ht="15.75" customHeight="1">
      <c r="A149" s="218" t="s">
        <v>5086</v>
      </c>
      <c r="B149" s="237" t="s">
        <v>5087</v>
      </c>
      <c r="C149" s="218" t="s">
        <v>41</v>
      </c>
      <c r="D149" s="218"/>
      <c r="E149" s="218"/>
      <c r="F149" s="218"/>
      <c r="G149" s="218"/>
      <c r="H149" s="218"/>
    </row>
    <row r="150" ht="15.75" customHeight="1">
      <c r="A150" s="218" t="s">
        <v>5088</v>
      </c>
      <c r="B150" s="237" t="s">
        <v>5089</v>
      </c>
      <c r="C150" s="218" t="s">
        <v>41</v>
      </c>
      <c r="D150" s="218"/>
      <c r="E150" s="218"/>
      <c r="F150" s="218"/>
      <c r="G150" s="218"/>
      <c r="H150" s="218"/>
    </row>
    <row r="151" ht="15.75" customHeight="1">
      <c r="A151" s="218" t="s">
        <v>5090</v>
      </c>
      <c r="B151" s="237"/>
      <c r="C151" s="218"/>
      <c r="D151" s="218"/>
      <c r="E151" s="218"/>
      <c r="F151" s="218"/>
      <c r="G151" s="218"/>
      <c r="H151" s="218"/>
    </row>
    <row r="152" ht="15.75" customHeight="1">
      <c r="A152" s="218" t="s">
        <v>5091</v>
      </c>
      <c r="B152" s="237" t="s">
        <v>1786</v>
      </c>
      <c r="C152" s="218" t="s">
        <v>5092</v>
      </c>
      <c r="D152" s="218" t="s">
        <v>200</v>
      </c>
      <c r="E152" s="218"/>
      <c r="F152" s="218"/>
      <c r="G152" s="218"/>
      <c r="H152" s="218"/>
    </row>
    <row r="153" ht="15.75" customHeight="1">
      <c r="A153" s="218" t="s">
        <v>5093</v>
      </c>
      <c r="B153" s="237" t="s">
        <v>5094</v>
      </c>
      <c r="C153" s="218" t="s">
        <v>5095</v>
      </c>
      <c r="D153" s="218" t="s">
        <v>5096</v>
      </c>
      <c r="E153" s="218"/>
      <c r="F153" s="218"/>
      <c r="G153" s="218"/>
      <c r="H153" s="218"/>
    </row>
    <row r="154" ht="15.75" customHeight="1">
      <c r="A154" s="218" t="s">
        <v>5097</v>
      </c>
      <c r="B154" s="237" t="s">
        <v>5094</v>
      </c>
      <c r="C154" s="218" t="s">
        <v>5098</v>
      </c>
      <c r="D154" s="218" t="s">
        <v>5096</v>
      </c>
      <c r="E154" s="218"/>
      <c r="F154" s="218"/>
      <c r="G154" s="218"/>
      <c r="H154" s="218"/>
    </row>
    <row r="155" ht="15.75" customHeight="1">
      <c r="A155" s="218" t="s">
        <v>5099</v>
      </c>
      <c r="B155" s="237" t="s">
        <v>5100</v>
      </c>
      <c r="C155" s="218" t="s">
        <v>5101</v>
      </c>
      <c r="D155" s="218" t="s">
        <v>5096</v>
      </c>
      <c r="E155" s="218"/>
      <c r="F155" s="218"/>
      <c r="G155" s="218"/>
      <c r="H155" s="218"/>
    </row>
    <row r="156" ht="15.75" customHeight="1">
      <c r="A156" s="217" t="s">
        <v>3169</v>
      </c>
      <c r="B156" s="237"/>
      <c r="C156" s="218"/>
      <c r="D156" s="218"/>
      <c r="E156" s="218"/>
      <c r="F156" s="218"/>
      <c r="G156" s="218"/>
      <c r="H156" s="218"/>
    </row>
    <row r="157">
      <c r="A157" s="223" t="s">
        <v>3052</v>
      </c>
      <c r="B157" s="224"/>
      <c r="C157" s="224"/>
      <c r="D157" s="224"/>
      <c r="E157" s="224"/>
      <c r="F157" s="224"/>
      <c r="G157" s="224"/>
      <c r="H157" s="225"/>
    </row>
    <row r="158" ht="15.75" customHeight="1">
      <c r="A158" s="226" t="s">
        <v>3170</v>
      </c>
      <c r="B158" s="237"/>
      <c r="C158" s="218"/>
      <c r="D158" s="218"/>
      <c r="E158" s="218"/>
      <c r="F158" s="218"/>
      <c r="G158" s="218"/>
      <c r="H158" s="218"/>
    </row>
    <row r="159">
      <c r="A159" s="223" t="s">
        <v>3052</v>
      </c>
      <c r="B159" s="224"/>
      <c r="C159" s="224"/>
      <c r="D159" s="224"/>
      <c r="E159" s="224"/>
      <c r="F159" s="224"/>
      <c r="G159" s="224"/>
      <c r="H159" s="225"/>
    </row>
    <row r="160" ht="15.75" customHeight="1">
      <c r="A160" s="227" t="s">
        <v>3171</v>
      </c>
      <c r="B160" s="237"/>
      <c r="C160" s="218"/>
      <c r="D160" s="218"/>
      <c r="E160" s="218"/>
      <c r="F160" s="218"/>
      <c r="G160" s="218"/>
      <c r="H160" s="218"/>
    </row>
    <row r="161" ht="15.75" customHeight="1">
      <c r="A161" s="217" t="s">
        <v>3172</v>
      </c>
      <c r="B161" s="236" t="s">
        <v>3173</v>
      </c>
      <c r="C161" s="217" t="s">
        <v>3174</v>
      </c>
      <c r="D161" s="218"/>
      <c r="E161" s="218"/>
      <c r="F161" s="218"/>
      <c r="G161" s="218"/>
      <c r="H161" s="218"/>
    </row>
    <row r="162" ht="15.75" customHeight="1">
      <c r="A162" s="217" t="s">
        <v>3175</v>
      </c>
      <c r="B162" s="236" t="s">
        <v>3176</v>
      </c>
      <c r="C162" s="217" t="s">
        <v>3177</v>
      </c>
      <c r="D162" s="218"/>
      <c r="E162" s="218"/>
      <c r="F162" s="218"/>
      <c r="G162" s="218"/>
      <c r="H162" s="218"/>
    </row>
    <row r="163" ht="15.75" customHeight="1">
      <c r="A163" s="217" t="s">
        <v>3178</v>
      </c>
      <c r="B163" s="236" t="s">
        <v>3179</v>
      </c>
      <c r="C163" s="217" t="s">
        <v>3180</v>
      </c>
      <c r="D163" s="218"/>
      <c r="E163" s="218"/>
      <c r="F163" s="218"/>
      <c r="G163" s="218"/>
      <c r="H163" s="218"/>
    </row>
    <row r="164" ht="15.75" customHeight="1">
      <c r="A164" s="217" t="s">
        <v>3181</v>
      </c>
      <c r="B164" s="237"/>
      <c r="C164" s="218"/>
      <c r="D164" s="218"/>
      <c r="E164" s="218"/>
      <c r="F164" s="218"/>
      <c r="G164" s="218"/>
      <c r="H164" s="218"/>
    </row>
    <row r="165" ht="15.75" customHeight="1">
      <c r="A165" s="217" t="s">
        <v>3182</v>
      </c>
      <c r="B165" s="236" t="s">
        <v>3183</v>
      </c>
      <c r="C165" s="217" t="s">
        <v>3184</v>
      </c>
      <c r="D165" s="217" t="s">
        <v>2100</v>
      </c>
      <c r="E165" s="218"/>
      <c r="F165" s="218"/>
      <c r="G165" s="218"/>
      <c r="H165" s="218"/>
    </row>
    <row r="166" ht="15.75" customHeight="1">
      <c r="A166" s="218" t="s">
        <v>3185</v>
      </c>
      <c r="B166" s="237" t="s">
        <v>3186</v>
      </c>
      <c r="C166" s="218" t="s">
        <v>3187</v>
      </c>
      <c r="D166" s="218" t="s">
        <v>3058</v>
      </c>
      <c r="E166" s="218"/>
      <c r="F166" s="218"/>
      <c r="G166" s="218"/>
      <c r="H166" s="218"/>
    </row>
    <row r="167" ht="15.75" customHeight="1">
      <c r="A167" s="218" t="s">
        <v>3188</v>
      </c>
      <c r="B167" s="237" t="s">
        <v>3189</v>
      </c>
      <c r="C167" s="218" t="s">
        <v>3190</v>
      </c>
      <c r="D167" s="218" t="s">
        <v>3058</v>
      </c>
      <c r="E167" s="218"/>
      <c r="F167" s="218"/>
      <c r="G167" s="218"/>
      <c r="H167" s="218"/>
    </row>
    <row r="168" ht="15.75" customHeight="1">
      <c r="A168" s="218" t="s">
        <v>3191</v>
      </c>
      <c r="B168" s="237" t="s">
        <v>3192</v>
      </c>
      <c r="C168" s="218" t="s">
        <v>3193</v>
      </c>
      <c r="D168" s="218" t="s">
        <v>3058</v>
      </c>
      <c r="E168" s="218"/>
      <c r="F168" s="218"/>
      <c r="G168" s="218"/>
      <c r="H168" s="218"/>
    </row>
    <row r="169" ht="15.75" customHeight="1">
      <c r="A169" s="218" t="s">
        <v>3194</v>
      </c>
      <c r="B169" s="237" t="s">
        <v>3195</v>
      </c>
      <c r="C169" s="218" t="s">
        <v>3196</v>
      </c>
      <c r="D169" s="218" t="s">
        <v>3197</v>
      </c>
      <c r="E169" s="218"/>
      <c r="F169" s="218"/>
      <c r="G169" s="218"/>
      <c r="H169" s="218"/>
    </row>
    <row r="170" ht="15.75" customHeight="1">
      <c r="A170" s="218" t="s">
        <v>3198</v>
      </c>
      <c r="B170" s="237" t="s">
        <v>3199</v>
      </c>
      <c r="C170" s="218" t="s">
        <v>3200</v>
      </c>
      <c r="D170" s="218" t="s">
        <v>3058</v>
      </c>
      <c r="E170" s="218"/>
      <c r="F170" s="218"/>
      <c r="G170" s="218"/>
      <c r="H170" s="218"/>
    </row>
    <row r="171">
      <c r="A171" s="223" t="s">
        <v>3052</v>
      </c>
      <c r="B171" s="224"/>
      <c r="C171" s="224"/>
      <c r="D171" s="224"/>
      <c r="E171" s="224"/>
      <c r="F171" s="224"/>
      <c r="G171" s="224"/>
      <c r="H171" s="225"/>
    </row>
    <row r="172" ht="15.75" customHeight="1">
      <c r="A172" s="226" t="s">
        <v>3201</v>
      </c>
      <c r="B172" s="237"/>
      <c r="C172" s="218"/>
      <c r="D172" s="218"/>
      <c r="E172" s="218"/>
      <c r="F172" s="218"/>
      <c r="G172" s="218"/>
      <c r="H172" s="218"/>
    </row>
    <row r="173">
      <c r="A173" s="223" t="s">
        <v>3052</v>
      </c>
      <c r="B173" s="224"/>
      <c r="C173" s="224"/>
      <c r="D173" s="224"/>
      <c r="E173" s="224"/>
      <c r="F173" s="224"/>
      <c r="G173" s="224"/>
      <c r="H173" s="225"/>
    </row>
    <row r="174" ht="15.75" customHeight="1">
      <c r="A174" s="227" t="s">
        <v>3202</v>
      </c>
      <c r="B174" s="237"/>
      <c r="C174" s="218"/>
      <c r="D174" s="218"/>
      <c r="E174" s="218"/>
      <c r="F174" s="218"/>
      <c r="G174" s="218"/>
      <c r="H174" s="218"/>
    </row>
    <row r="175" ht="15.75" customHeight="1">
      <c r="A175" s="218" t="s">
        <v>3203</v>
      </c>
      <c r="B175" s="237" t="s">
        <v>3204</v>
      </c>
      <c r="C175" s="218"/>
      <c r="D175" s="218"/>
      <c r="E175" s="218"/>
      <c r="F175" s="218"/>
      <c r="G175" s="218"/>
      <c r="H175" s="218"/>
    </row>
    <row r="176" ht="15.75" customHeight="1">
      <c r="A176" s="218" t="s">
        <v>3205</v>
      </c>
      <c r="B176" s="237" t="s">
        <v>3206</v>
      </c>
      <c r="C176" s="218"/>
      <c r="D176" s="218"/>
      <c r="E176" s="218"/>
      <c r="F176" s="218"/>
      <c r="G176" s="218"/>
      <c r="H176" s="218"/>
    </row>
    <row r="177" ht="15.75" customHeight="1">
      <c r="A177" s="218" t="s">
        <v>3207</v>
      </c>
      <c r="B177" s="237" t="s">
        <v>3208</v>
      </c>
      <c r="C177" s="218"/>
      <c r="D177" s="218"/>
      <c r="E177" s="218"/>
      <c r="F177" s="218"/>
      <c r="G177" s="218"/>
      <c r="H177" s="218"/>
    </row>
    <row r="178" ht="15.75" customHeight="1">
      <c r="A178" s="227" t="s">
        <v>3209</v>
      </c>
      <c r="B178" s="237"/>
      <c r="C178" s="218"/>
      <c r="D178" s="218"/>
      <c r="E178" s="218"/>
      <c r="F178" s="218"/>
      <c r="G178" s="218"/>
      <c r="H178" s="218"/>
    </row>
    <row r="179" ht="15.75" customHeight="1">
      <c r="A179" s="217" t="s">
        <v>3210</v>
      </c>
      <c r="B179" s="236" t="s">
        <v>3211</v>
      </c>
      <c r="C179" s="217" t="s">
        <v>1805</v>
      </c>
      <c r="D179" s="217" t="s">
        <v>2993</v>
      </c>
      <c r="E179" s="217" t="s">
        <v>3212</v>
      </c>
      <c r="F179" s="218"/>
      <c r="G179" s="218"/>
      <c r="H179" s="218"/>
    </row>
    <row r="180" ht="15.75" customHeight="1">
      <c r="A180" s="217" t="s">
        <v>3213</v>
      </c>
      <c r="B180" s="236" t="s">
        <v>3136</v>
      </c>
      <c r="C180" s="217" t="s">
        <v>3214</v>
      </c>
      <c r="D180" s="217" t="s">
        <v>3215</v>
      </c>
      <c r="E180" s="217" t="s">
        <v>3216</v>
      </c>
      <c r="F180" s="218"/>
      <c r="G180" s="218"/>
      <c r="H180" s="218"/>
    </row>
    <row r="181" ht="15.75" customHeight="1">
      <c r="A181" s="217" t="s">
        <v>3217</v>
      </c>
      <c r="B181" s="236" t="s">
        <v>3140</v>
      </c>
      <c r="C181" s="217" t="s">
        <v>3218</v>
      </c>
      <c r="D181" s="217" t="s">
        <v>3219</v>
      </c>
      <c r="E181" s="217" t="s">
        <v>3220</v>
      </c>
      <c r="F181" s="218"/>
      <c r="G181" s="218"/>
      <c r="H181" s="218"/>
    </row>
    <row r="182" ht="15.75" customHeight="1">
      <c r="A182" s="217" t="s">
        <v>3221</v>
      </c>
      <c r="B182" s="236" t="s">
        <v>3144</v>
      </c>
      <c r="C182" s="217" t="s">
        <v>3222</v>
      </c>
      <c r="D182" s="217" t="s">
        <v>3146</v>
      </c>
      <c r="E182" s="217" t="s">
        <v>3223</v>
      </c>
      <c r="F182" s="218"/>
      <c r="G182" s="218"/>
      <c r="H182" s="218"/>
    </row>
    <row r="183" ht="15.75" customHeight="1">
      <c r="A183" s="227" t="s">
        <v>3224</v>
      </c>
      <c r="B183" s="237"/>
      <c r="C183" s="218"/>
      <c r="D183" s="218"/>
      <c r="E183" s="218"/>
      <c r="F183" s="218"/>
      <c r="G183" s="218"/>
      <c r="H183" s="218"/>
    </row>
    <row r="184" ht="15.75" customHeight="1">
      <c r="A184" s="218" t="s">
        <v>3225</v>
      </c>
      <c r="B184" s="237" t="s">
        <v>2993</v>
      </c>
      <c r="C184" s="218" t="s">
        <v>3226</v>
      </c>
      <c r="D184" s="218" t="s">
        <v>13</v>
      </c>
      <c r="E184" s="218"/>
      <c r="F184" s="218"/>
      <c r="G184" s="218"/>
      <c r="H184" s="218"/>
    </row>
    <row r="185" ht="15.75" customHeight="1">
      <c r="A185" s="218" t="s">
        <v>3082</v>
      </c>
      <c r="B185" s="237" t="s">
        <v>3227</v>
      </c>
      <c r="C185" s="218" t="s">
        <v>3228</v>
      </c>
      <c r="D185" s="218" t="s">
        <v>3229</v>
      </c>
      <c r="E185" s="218"/>
      <c r="F185" s="218"/>
      <c r="G185" s="218"/>
      <c r="H185" s="218"/>
    </row>
    <row r="186" ht="15.75" customHeight="1">
      <c r="A186" s="218" t="s">
        <v>3230</v>
      </c>
      <c r="B186" s="237" t="s">
        <v>3089</v>
      </c>
      <c r="C186" s="218" t="s">
        <v>3231</v>
      </c>
      <c r="D186" s="218" t="s">
        <v>3232</v>
      </c>
      <c r="E186" s="218"/>
      <c r="F186" s="218"/>
      <c r="G186" s="218"/>
      <c r="H186" s="218"/>
    </row>
    <row r="187" ht="15.75" customHeight="1">
      <c r="A187" s="218" t="s">
        <v>3093</v>
      </c>
      <c r="B187" s="237" t="s">
        <v>2537</v>
      </c>
      <c r="C187" s="218" t="s">
        <v>3233</v>
      </c>
      <c r="D187" s="218" t="s">
        <v>3234</v>
      </c>
      <c r="E187" s="218"/>
      <c r="F187" s="218"/>
      <c r="G187" s="218"/>
      <c r="H187" s="218"/>
    </row>
    <row r="188" ht="15.75" customHeight="1">
      <c r="A188" s="218" t="s">
        <v>3096</v>
      </c>
      <c r="B188" s="237" t="s">
        <v>3097</v>
      </c>
      <c r="C188" s="218" t="s">
        <v>3235</v>
      </c>
      <c r="D188" s="218" t="s">
        <v>2496</v>
      </c>
      <c r="E188" s="218"/>
      <c r="F188" s="218"/>
      <c r="G188" s="218"/>
      <c r="H188" s="218"/>
    </row>
    <row r="189" ht="15.75" customHeight="1">
      <c r="A189" s="218" t="s">
        <v>3099</v>
      </c>
      <c r="B189" s="237" t="s">
        <v>3100</v>
      </c>
      <c r="C189" s="218" t="s">
        <v>3101</v>
      </c>
      <c r="D189" s="218" t="s">
        <v>3236</v>
      </c>
      <c r="E189" s="218"/>
      <c r="F189" s="218"/>
      <c r="G189" s="218"/>
      <c r="H189" s="218"/>
    </row>
    <row r="190" ht="15.75" customHeight="1">
      <c r="A190" s="218" t="s">
        <v>3103</v>
      </c>
      <c r="B190" s="237" t="s">
        <v>3104</v>
      </c>
      <c r="C190" s="218" t="s">
        <v>3237</v>
      </c>
      <c r="D190" s="218" t="s">
        <v>3238</v>
      </c>
      <c r="E190" s="218"/>
      <c r="F190" s="218"/>
      <c r="G190" s="218"/>
      <c r="H190" s="218"/>
    </row>
    <row r="191" ht="15.75" customHeight="1">
      <c r="A191" s="218" t="s">
        <v>3106</v>
      </c>
      <c r="B191" s="237" t="s">
        <v>3239</v>
      </c>
      <c r="C191" s="218" t="s">
        <v>3108</v>
      </c>
      <c r="D191" s="218" t="s">
        <v>3240</v>
      </c>
      <c r="E191" s="218"/>
      <c r="F191" s="218"/>
      <c r="G191" s="218"/>
      <c r="H191" s="218"/>
    </row>
    <row r="192" ht="15.75" customHeight="1">
      <c r="A192" s="218" t="s">
        <v>3241</v>
      </c>
      <c r="B192" s="237"/>
      <c r="C192" s="218"/>
      <c r="D192" s="218"/>
      <c r="E192" s="218"/>
      <c r="F192" s="218"/>
      <c r="G192" s="218"/>
      <c r="H192" s="218"/>
    </row>
    <row r="193" ht="15.75" customHeight="1">
      <c r="A193" s="218" t="s">
        <v>3242</v>
      </c>
      <c r="B193" s="237"/>
      <c r="C193" s="218"/>
      <c r="D193" s="218"/>
      <c r="E193" s="218"/>
      <c r="F193" s="218"/>
      <c r="G193" s="218"/>
      <c r="H193" s="218"/>
    </row>
    <row r="194">
      <c r="A194" s="223" t="s">
        <v>3052</v>
      </c>
      <c r="B194" s="224"/>
      <c r="C194" s="224"/>
      <c r="D194" s="224"/>
      <c r="E194" s="224"/>
      <c r="F194" s="224"/>
      <c r="G194" s="224"/>
      <c r="H194" s="225"/>
    </row>
    <row r="195" ht="15.75" customHeight="1">
      <c r="A195" s="226" t="s">
        <v>3243</v>
      </c>
      <c r="B195" s="237"/>
      <c r="C195" s="218"/>
      <c r="D195" s="218"/>
      <c r="E195" s="218"/>
      <c r="F195" s="218"/>
      <c r="G195" s="218"/>
      <c r="H195" s="218"/>
    </row>
    <row r="196">
      <c r="A196" s="223" t="s">
        <v>3052</v>
      </c>
      <c r="B196" s="224"/>
      <c r="C196" s="224"/>
      <c r="D196" s="224"/>
      <c r="E196" s="224"/>
      <c r="F196" s="224"/>
      <c r="G196" s="224"/>
      <c r="H196" s="225"/>
    </row>
    <row r="197" ht="15.75" customHeight="1">
      <c r="A197" s="217" t="s">
        <v>3182</v>
      </c>
      <c r="B197" s="236" t="s">
        <v>2364</v>
      </c>
      <c r="C197" s="217" t="s">
        <v>3244</v>
      </c>
      <c r="D197" s="217" t="s">
        <v>3245</v>
      </c>
      <c r="E197" s="217" t="s">
        <v>3</v>
      </c>
      <c r="F197" s="218"/>
      <c r="G197" s="218"/>
      <c r="H197" s="218"/>
    </row>
    <row r="198" ht="15.75" customHeight="1">
      <c r="A198" s="218" t="s">
        <v>3246</v>
      </c>
      <c r="B198" s="237" t="s">
        <v>3247</v>
      </c>
      <c r="C198" s="218" t="s">
        <v>3248</v>
      </c>
      <c r="D198" s="218" t="s">
        <v>3249</v>
      </c>
      <c r="E198" s="218" t="s">
        <v>2107</v>
      </c>
      <c r="F198" s="218"/>
      <c r="G198" s="218"/>
      <c r="H198" s="218"/>
    </row>
    <row r="199" ht="15.75" customHeight="1">
      <c r="A199" s="218" t="s">
        <v>3246</v>
      </c>
      <c r="B199" s="237" t="s">
        <v>3247</v>
      </c>
      <c r="C199" s="218" t="s">
        <v>3250</v>
      </c>
      <c r="D199" s="218" t="s">
        <v>3249</v>
      </c>
      <c r="E199" s="218" t="s">
        <v>2107</v>
      </c>
      <c r="F199" s="218"/>
      <c r="G199" s="218"/>
      <c r="H199" s="218"/>
    </row>
    <row r="200" ht="15.75" customHeight="1">
      <c r="A200" s="218" t="s">
        <v>3246</v>
      </c>
      <c r="B200" s="237" t="s">
        <v>3109</v>
      </c>
      <c r="C200" s="218" t="s">
        <v>3251</v>
      </c>
      <c r="D200" s="218" t="s">
        <v>3249</v>
      </c>
      <c r="E200" s="218" t="s">
        <v>2107</v>
      </c>
      <c r="F200" s="218"/>
      <c r="G200" s="218"/>
      <c r="H200" s="218"/>
    </row>
    <row r="201" ht="15.75" customHeight="1">
      <c r="A201" s="218" t="s">
        <v>41</v>
      </c>
      <c r="B201" s="237" t="s">
        <v>3247</v>
      </c>
      <c r="C201" s="218" t="s">
        <v>3252</v>
      </c>
      <c r="D201" s="218" t="s">
        <v>3249</v>
      </c>
      <c r="E201" s="218" t="s">
        <v>2107</v>
      </c>
      <c r="F201" s="218"/>
      <c r="G201" s="218"/>
      <c r="H201" s="218"/>
    </row>
    <row r="202" ht="15.75" customHeight="1">
      <c r="A202" s="218" t="s">
        <v>41</v>
      </c>
      <c r="B202" s="237" t="s">
        <v>3247</v>
      </c>
      <c r="C202" s="218" t="s">
        <v>3253</v>
      </c>
      <c r="D202" s="218" t="s">
        <v>3249</v>
      </c>
      <c r="E202" s="218" t="s">
        <v>2107</v>
      </c>
      <c r="F202" s="218"/>
      <c r="G202" s="218"/>
      <c r="H202" s="218"/>
    </row>
    <row r="203" ht="15.75" customHeight="1">
      <c r="A203" s="218" t="s">
        <v>41</v>
      </c>
      <c r="B203" s="237" t="s">
        <v>3109</v>
      </c>
      <c r="C203" s="218" t="s">
        <v>3254</v>
      </c>
      <c r="D203" s="218" t="s">
        <v>3249</v>
      </c>
      <c r="E203" s="218" t="s">
        <v>2107</v>
      </c>
      <c r="F203" s="218"/>
      <c r="G203" s="218"/>
      <c r="H203" s="218"/>
    </row>
    <row r="204" ht="15.75" customHeight="1">
      <c r="A204" s="218" t="s">
        <v>2453</v>
      </c>
      <c r="B204" s="237" t="s">
        <v>3247</v>
      </c>
      <c r="C204" s="218" t="s">
        <v>3255</v>
      </c>
      <c r="D204" s="218" t="s">
        <v>3249</v>
      </c>
      <c r="E204" s="218" t="s">
        <v>2107</v>
      </c>
      <c r="F204" s="218"/>
      <c r="G204" s="218"/>
      <c r="H204" s="218"/>
    </row>
    <row r="205" ht="15.75" customHeight="1">
      <c r="A205" s="218" t="s">
        <v>2453</v>
      </c>
      <c r="B205" s="237" t="s">
        <v>3109</v>
      </c>
      <c r="C205" s="218" t="s">
        <v>3256</v>
      </c>
      <c r="D205" s="218" t="s">
        <v>3249</v>
      </c>
      <c r="E205" s="218" t="s">
        <v>2107</v>
      </c>
      <c r="F205" s="218"/>
      <c r="G205" s="218"/>
      <c r="H205" s="218"/>
    </row>
    <row r="206" ht="15.75" customHeight="1">
      <c r="A206" s="218" t="s">
        <v>2453</v>
      </c>
      <c r="B206" s="237" t="s">
        <v>3109</v>
      </c>
      <c r="C206" s="218" t="s">
        <v>3257</v>
      </c>
      <c r="D206" s="218" t="s">
        <v>3249</v>
      </c>
      <c r="E206" s="218" t="s">
        <v>2107</v>
      </c>
      <c r="F206" s="218"/>
      <c r="G206" s="218"/>
      <c r="H206" s="218"/>
    </row>
    <row r="207">
      <c r="A207" s="223" t="s">
        <v>3052</v>
      </c>
      <c r="B207" s="224"/>
      <c r="C207" s="224"/>
      <c r="D207" s="224"/>
      <c r="E207" s="224"/>
      <c r="F207" s="224"/>
      <c r="G207" s="224"/>
      <c r="H207" s="225"/>
    </row>
    <row r="208" ht="15.75" customHeight="1">
      <c r="A208" s="217" t="s">
        <v>3258</v>
      </c>
      <c r="B208" s="237"/>
      <c r="C208" s="218"/>
      <c r="D208" s="218"/>
      <c r="E208" s="218"/>
      <c r="F208" s="218"/>
      <c r="G208" s="218"/>
      <c r="H208" s="218"/>
    </row>
    <row r="209">
      <c r="A209" s="223" t="s">
        <v>3052</v>
      </c>
      <c r="B209" s="224"/>
      <c r="C209" s="224"/>
      <c r="D209" s="224"/>
      <c r="E209" s="224"/>
      <c r="F209" s="224"/>
      <c r="G209" s="224"/>
      <c r="H209" s="225"/>
    </row>
    <row r="210" ht="15.75" customHeight="1">
      <c r="A210" s="217" t="s">
        <v>3259</v>
      </c>
      <c r="B210" s="237"/>
      <c r="C210" s="218"/>
      <c r="D210" s="218"/>
      <c r="E210" s="218"/>
      <c r="F210" s="218"/>
      <c r="G210" s="218"/>
      <c r="H210" s="218"/>
    </row>
    <row r="211" ht="15.75" customHeight="1">
      <c r="A211" s="217" t="s">
        <v>3260</v>
      </c>
      <c r="B211" s="236" t="s">
        <v>3261</v>
      </c>
      <c r="C211" s="217" t="s">
        <v>3262</v>
      </c>
      <c r="D211" s="217" t="s">
        <v>3263</v>
      </c>
      <c r="E211" s="217" t="s">
        <v>3264</v>
      </c>
      <c r="F211" s="218"/>
      <c r="G211" s="218"/>
      <c r="H211" s="218"/>
    </row>
    <row r="212" ht="15.75" customHeight="1">
      <c r="A212" s="218" t="s">
        <v>3265</v>
      </c>
      <c r="B212" s="237" t="s">
        <v>3266</v>
      </c>
      <c r="C212" s="218" t="s">
        <v>3267</v>
      </c>
      <c r="D212" s="218" t="s">
        <v>3218</v>
      </c>
      <c r="E212" s="218" t="s">
        <v>3222</v>
      </c>
      <c r="F212" s="218"/>
      <c r="G212" s="218"/>
      <c r="H212" s="218"/>
    </row>
    <row r="213" ht="15.75" customHeight="1">
      <c r="A213" s="218" t="s">
        <v>3268</v>
      </c>
      <c r="B213" s="237" t="s">
        <v>3269</v>
      </c>
      <c r="C213" s="218" t="s">
        <v>3270</v>
      </c>
      <c r="D213" s="218" t="s">
        <v>3271</v>
      </c>
      <c r="E213" s="218" t="s">
        <v>3272</v>
      </c>
      <c r="F213" s="218"/>
      <c r="G213" s="218"/>
      <c r="H213" s="218"/>
    </row>
    <row r="214" ht="15.75" customHeight="1">
      <c r="A214" s="218" t="s">
        <v>3273</v>
      </c>
      <c r="B214" s="237" t="s">
        <v>3269</v>
      </c>
      <c r="C214" s="218" t="s">
        <v>3274</v>
      </c>
      <c r="D214" s="218" t="s">
        <v>3115</v>
      </c>
      <c r="E214" s="218" t="s">
        <v>3275</v>
      </c>
      <c r="F214" s="218"/>
      <c r="G214" s="218"/>
      <c r="H214" s="218"/>
    </row>
    <row r="215" ht="15.75" customHeight="1">
      <c r="A215" s="217" t="s">
        <v>3276</v>
      </c>
      <c r="B215" s="237"/>
      <c r="C215" s="218"/>
      <c r="D215" s="218"/>
      <c r="E215" s="218"/>
      <c r="F215" s="218"/>
      <c r="G215" s="218"/>
      <c r="H215" s="218"/>
    </row>
    <row r="216" ht="15.75" customHeight="1">
      <c r="A216" s="217" t="s">
        <v>3260</v>
      </c>
      <c r="B216" s="236" t="s">
        <v>3261</v>
      </c>
      <c r="C216" s="217" t="s">
        <v>1805</v>
      </c>
      <c r="D216" s="218"/>
      <c r="E216" s="218"/>
      <c r="F216" s="218"/>
      <c r="G216" s="218"/>
      <c r="H216" s="218"/>
    </row>
    <row r="217" ht="15.75" customHeight="1">
      <c r="A217" s="218" t="s">
        <v>3277</v>
      </c>
      <c r="B217" s="237" t="s">
        <v>3278</v>
      </c>
      <c r="C217" s="218" t="s">
        <v>3279</v>
      </c>
      <c r="D217" s="218"/>
      <c r="E217" s="218"/>
      <c r="F217" s="218"/>
      <c r="G217" s="218"/>
      <c r="H217" s="218"/>
    </row>
    <row r="218" ht="15.75" customHeight="1">
      <c r="A218" s="218" t="s">
        <v>3280</v>
      </c>
      <c r="B218" s="237" t="s">
        <v>3281</v>
      </c>
      <c r="C218" s="218" t="s">
        <v>3282</v>
      </c>
      <c r="D218" s="218"/>
      <c r="E218" s="218"/>
      <c r="F218" s="218"/>
      <c r="G218" s="218"/>
      <c r="H218" s="218"/>
    </row>
    <row r="219" ht="15.75" customHeight="1">
      <c r="A219" s="218" t="s">
        <v>3283</v>
      </c>
      <c r="B219" s="237" t="s">
        <v>3269</v>
      </c>
      <c r="C219" s="218" t="s">
        <v>3284</v>
      </c>
      <c r="D219" s="218"/>
      <c r="E219" s="218"/>
      <c r="F219" s="218"/>
      <c r="G219" s="218"/>
      <c r="H219" s="218"/>
    </row>
    <row r="220" ht="15.75" customHeight="1">
      <c r="A220" s="217" t="s">
        <v>3285</v>
      </c>
      <c r="B220" s="237"/>
      <c r="C220" s="218"/>
      <c r="D220" s="218"/>
      <c r="E220" s="218"/>
      <c r="F220" s="218"/>
      <c r="G220" s="218"/>
      <c r="H220" s="218"/>
    </row>
    <row r="221" ht="15.75" customHeight="1">
      <c r="A221" s="217" t="s">
        <v>3260</v>
      </c>
      <c r="B221" s="236" t="s">
        <v>3261</v>
      </c>
      <c r="C221" s="217" t="s">
        <v>1805</v>
      </c>
      <c r="D221" s="218"/>
      <c r="E221" s="218"/>
      <c r="F221" s="218"/>
      <c r="G221" s="218"/>
      <c r="H221" s="218"/>
    </row>
    <row r="222" ht="15.75" customHeight="1">
      <c r="A222" s="218" t="s">
        <v>3286</v>
      </c>
      <c r="B222" s="237" t="s">
        <v>3287</v>
      </c>
      <c r="C222" s="218" t="s">
        <v>3288</v>
      </c>
      <c r="D222" s="218"/>
      <c r="E222" s="218"/>
      <c r="F222" s="218"/>
      <c r="G222" s="218"/>
      <c r="H222" s="218"/>
    </row>
    <row r="223" ht="15.75" customHeight="1">
      <c r="A223" s="218" t="s">
        <v>3289</v>
      </c>
      <c r="B223" s="237" t="s">
        <v>3287</v>
      </c>
      <c r="C223" s="218" t="s">
        <v>3290</v>
      </c>
      <c r="D223" s="218"/>
      <c r="E223" s="218"/>
      <c r="F223" s="218"/>
      <c r="G223" s="218"/>
      <c r="H223" s="218"/>
    </row>
    <row r="224" ht="15.75" customHeight="1">
      <c r="A224" s="218" t="s">
        <v>3291</v>
      </c>
      <c r="B224" s="237" t="s">
        <v>3287</v>
      </c>
      <c r="C224" s="218" t="s">
        <v>3292</v>
      </c>
      <c r="D224" s="218"/>
      <c r="E224" s="218"/>
      <c r="F224" s="218"/>
      <c r="G224" s="218"/>
      <c r="H224" s="218"/>
    </row>
    <row r="225">
      <c r="A225" s="223" t="s">
        <v>3052</v>
      </c>
      <c r="B225" s="224"/>
      <c r="C225" s="224"/>
      <c r="D225" s="224"/>
      <c r="E225" s="224"/>
      <c r="F225" s="224"/>
      <c r="G225" s="224"/>
      <c r="H225" s="225"/>
    </row>
    <row r="226" ht="15.75" customHeight="1">
      <c r="A226" s="226" t="s">
        <v>3293</v>
      </c>
      <c r="B226" s="237"/>
      <c r="C226" s="218"/>
      <c r="D226" s="218"/>
      <c r="E226" s="218"/>
      <c r="F226" s="218"/>
      <c r="G226" s="218"/>
      <c r="H226" s="218"/>
    </row>
    <row r="227">
      <c r="A227" s="223" t="s">
        <v>3052</v>
      </c>
      <c r="B227" s="224"/>
      <c r="C227" s="224"/>
      <c r="D227" s="224"/>
      <c r="E227" s="224"/>
      <c r="F227" s="224"/>
      <c r="G227" s="224"/>
      <c r="H227" s="225"/>
    </row>
    <row r="228" ht="15.75" customHeight="1">
      <c r="A228" s="218" t="s">
        <v>3294</v>
      </c>
      <c r="B228" s="237"/>
      <c r="C228" s="218"/>
      <c r="D228" s="218"/>
      <c r="E228" s="218"/>
      <c r="F228" s="218"/>
      <c r="G228" s="218"/>
      <c r="H228" s="218"/>
    </row>
    <row r="229" ht="15.75" customHeight="1">
      <c r="A229" s="228" t="s">
        <v>3295</v>
      </c>
      <c r="B229" s="237" t="s">
        <v>3296</v>
      </c>
      <c r="C229" s="218" t="s">
        <v>3297</v>
      </c>
      <c r="D229" s="218"/>
      <c r="E229" s="218"/>
      <c r="F229" s="218"/>
      <c r="G229" s="218"/>
      <c r="H229" s="218"/>
    </row>
    <row r="230" ht="15.75" customHeight="1">
      <c r="A230" s="228" t="s">
        <v>3298</v>
      </c>
      <c r="B230" s="237" t="s">
        <v>3299</v>
      </c>
      <c r="C230" s="218" t="s">
        <v>3300</v>
      </c>
      <c r="D230" s="218"/>
      <c r="E230" s="218"/>
      <c r="F230" s="218"/>
      <c r="G230" s="218"/>
      <c r="H230" s="218"/>
    </row>
    <row r="231" ht="15.75" customHeight="1">
      <c r="A231" s="228" t="s">
        <v>3301</v>
      </c>
      <c r="B231" s="237" t="s">
        <v>3302</v>
      </c>
      <c r="C231" s="218" t="s">
        <v>3303</v>
      </c>
      <c r="D231" s="218"/>
      <c r="E231" s="218"/>
      <c r="F231" s="218"/>
      <c r="G231" s="218"/>
      <c r="H231" s="218"/>
    </row>
    <row r="232" ht="15.75" customHeight="1">
      <c r="A232" s="228" t="s">
        <v>3304</v>
      </c>
      <c r="B232" s="237" t="s">
        <v>3305</v>
      </c>
      <c r="C232" s="234" t="s">
        <v>5102</v>
      </c>
      <c r="D232" s="218"/>
      <c r="E232" s="218"/>
      <c r="F232" s="218"/>
      <c r="G232" s="218"/>
      <c r="H232" s="218"/>
    </row>
    <row r="233" ht="15.75" customHeight="1">
      <c r="A233" s="228" t="s">
        <v>3307</v>
      </c>
      <c r="B233" s="237" t="s">
        <v>3308</v>
      </c>
      <c r="C233" s="218" t="s">
        <v>3309</v>
      </c>
      <c r="D233" s="218"/>
      <c r="E233" s="218"/>
      <c r="F233" s="218"/>
      <c r="G233" s="218"/>
      <c r="H233" s="218"/>
    </row>
    <row r="234" ht="15.75" customHeight="1">
      <c r="A234" s="218" t="s">
        <v>3310</v>
      </c>
      <c r="B234" s="237"/>
      <c r="C234" s="218"/>
      <c r="D234" s="218"/>
      <c r="E234" s="218"/>
      <c r="F234" s="218"/>
      <c r="G234" s="218"/>
      <c r="H234" s="218"/>
    </row>
    <row r="235" ht="15.75" customHeight="1">
      <c r="A235" s="228" t="s">
        <v>3311</v>
      </c>
      <c r="B235" s="237" t="s">
        <v>3312</v>
      </c>
      <c r="C235" s="218" t="s">
        <v>3313</v>
      </c>
      <c r="D235" s="218"/>
      <c r="E235" s="218"/>
      <c r="F235" s="218"/>
      <c r="G235" s="218"/>
      <c r="H235" s="218"/>
    </row>
    <row r="236" ht="15.75" customHeight="1">
      <c r="A236" s="228" t="s">
        <v>3314</v>
      </c>
      <c r="B236" s="237" t="s">
        <v>3315</v>
      </c>
      <c r="C236" s="218" t="s">
        <v>3316</v>
      </c>
      <c r="D236" s="218"/>
      <c r="E236" s="218"/>
      <c r="F236" s="218"/>
      <c r="G236" s="218"/>
      <c r="H236" s="218"/>
    </row>
    <row r="237" ht="15.75" customHeight="1">
      <c r="A237" s="228" t="s">
        <v>3317</v>
      </c>
      <c r="B237" s="237" t="s">
        <v>3318</v>
      </c>
      <c r="C237" s="218" t="s">
        <v>3319</v>
      </c>
      <c r="D237" s="218"/>
      <c r="E237" s="218"/>
      <c r="F237" s="218"/>
      <c r="G237" s="218"/>
      <c r="H237" s="218"/>
    </row>
    <row r="238" ht="15.75" customHeight="1">
      <c r="A238" s="218" t="s">
        <v>3320</v>
      </c>
      <c r="B238" s="237"/>
      <c r="C238" s="218"/>
      <c r="D238" s="218"/>
      <c r="E238" s="218"/>
      <c r="F238" s="218"/>
      <c r="G238" s="218"/>
      <c r="H238" s="218"/>
    </row>
    <row r="239" ht="15.75" customHeight="1">
      <c r="A239" s="228" t="s">
        <v>3321</v>
      </c>
      <c r="B239" s="237" t="s">
        <v>3322</v>
      </c>
      <c r="C239" s="218" t="s">
        <v>3323</v>
      </c>
      <c r="D239" s="218"/>
      <c r="E239" s="218"/>
      <c r="F239" s="218"/>
      <c r="G239" s="218"/>
      <c r="H239" s="218"/>
    </row>
    <row r="240" ht="15.75" customHeight="1">
      <c r="A240" s="228" t="s">
        <v>3324</v>
      </c>
      <c r="B240" s="237" t="s">
        <v>3325</v>
      </c>
      <c r="C240" s="218" t="s">
        <v>3326</v>
      </c>
      <c r="D240" s="218"/>
      <c r="E240" s="218"/>
      <c r="F240" s="218"/>
      <c r="G240" s="218"/>
      <c r="H240" s="218"/>
    </row>
    <row r="241" ht="15.75" customHeight="1">
      <c r="A241" s="228" t="s">
        <v>3327</v>
      </c>
      <c r="B241" s="237" t="s">
        <v>3328</v>
      </c>
      <c r="C241" s="218" t="s">
        <v>3329</v>
      </c>
      <c r="D241" s="218"/>
      <c r="E241" s="218"/>
      <c r="F241" s="218"/>
      <c r="G241" s="218"/>
      <c r="H241" s="218"/>
    </row>
    <row r="242" ht="15.75" customHeight="1">
      <c r="A242" s="218" t="s">
        <v>3330</v>
      </c>
      <c r="B242" s="237"/>
      <c r="C242" s="218"/>
      <c r="D242" s="218"/>
      <c r="E242" s="218"/>
      <c r="F242" s="218"/>
      <c r="G242" s="218"/>
      <c r="H242" s="218"/>
    </row>
    <row r="243" ht="15.75" customHeight="1">
      <c r="A243" s="228" t="s">
        <v>3331</v>
      </c>
      <c r="B243" s="237" t="s">
        <v>3332</v>
      </c>
      <c r="C243" s="218" t="s">
        <v>3333</v>
      </c>
      <c r="D243" s="218"/>
      <c r="E243" s="218"/>
      <c r="F243" s="218"/>
      <c r="G243" s="218"/>
      <c r="H243" s="218"/>
    </row>
    <row r="244" ht="15.75" customHeight="1">
      <c r="A244" s="228" t="s">
        <v>3334</v>
      </c>
      <c r="B244" s="237" t="s">
        <v>3335</v>
      </c>
      <c r="C244" s="218" t="s">
        <v>3336</v>
      </c>
      <c r="D244" s="218"/>
      <c r="E244" s="218"/>
      <c r="F244" s="218"/>
      <c r="G244" s="218"/>
      <c r="H244" s="218"/>
    </row>
    <row r="245" ht="15.75" customHeight="1">
      <c r="A245" s="228" t="s">
        <v>3337</v>
      </c>
      <c r="B245" s="237" t="s">
        <v>3338</v>
      </c>
      <c r="C245" s="218" t="s">
        <v>3339</v>
      </c>
      <c r="D245" s="218"/>
      <c r="E245" s="218"/>
      <c r="F245" s="218"/>
      <c r="G245" s="218"/>
      <c r="H245" s="218"/>
    </row>
    <row r="246" ht="15.75" customHeight="1">
      <c r="A246" s="218" t="s">
        <v>3340</v>
      </c>
      <c r="B246" s="237"/>
      <c r="C246" s="218"/>
      <c r="D246" s="218"/>
      <c r="E246" s="218"/>
      <c r="F246" s="218"/>
      <c r="G246" s="218"/>
      <c r="H246" s="218"/>
    </row>
    <row r="247" ht="15.75" customHeight="1">
      <c r="A247" s="228" t="s">
        <v>3341</v>
      </c>
      <c r="B247" s="237" t="s">
        <v>3342</v>
      </c>
      <c r="C247" s="218" t="s">
        <v>3343</v>
      </c>
      <c r="D247" s="218"/>
      <c r="E247" s="218"/>
      <c r="F247" s="218"/>
      <c r="G247" s="218"/>
      <c r="H247" s="218"/>
    </row>
    <row r="248" ht="15.75" customHeight="1">
      <c r="A248" s="228" t="s">
        <v>3344</v>
      </c>
      <c r="B248" s="237" t="s">
        <v>3345</v>
      </c>
      <c r="C248" s="218" t="s">
        <v>3346</v>
      </c>
      <c r="D248" s="218"/>
      <c r="E248" s="218"/>
      <c r="F248" s="218"/>
      <c r="G248" s="218"/>
      <c r="H248" s="218"/>
    </row>
    <row r="249" ht="15.75" customHeight="1">
      <c r="A249" s="228" t="s">
        <v>3347</v>
      </c>
      <c r="B249" s="237" t="s">
        <v>3348</v>
      </c>
      <c r="C249" s="218" t="s">
        <v>3349</v>
      </c>
      <c r="D249" s="218"/>
      <c r="E249" s="218"/>
      <c r="F249" s="218"/>
      <c r="G249" s="218"/>
      <c r="H249" s="218"/>
    </row>
    <row r="250" ht="15.75" customHeight="1">
      <c r="A250" s="218" t="s">
        <v>3350</v>
      </c>
      <c r="B250" s="237"/>
      <c r="C250" s="218"/>
      <c r="D250" s="218"/>
      <c r="E250" s="218"/>
      <c r="F250" s="218"/>
      <c r="G250" s="218"/>
      <c r="H250" s="218"/>
    </row>
    <row r="251" ht="15.75" customHeight="1">
      <c r="A251" s="228" t="s">
        <v>3351</v>
      </c>
      <c r="B251" s="237" t="s">
        <v>3352</v>
      </c>
      <c r="C251" s="218" t="s">
        <v>3353</v>
      </c>
      <c r="D251" s="218"/>
      <c r="E251" s="218"/>
      <c r="F251" s="218"/>
      <c r="G251" s="218"/>
      <c r="H251" s="218"/>
    </row>
    <row r="252" ht="15.75" customHeight="1">
      <c r="A252" s="228" t="s">
        <v>3354</v>
      </c>
      <c r="B252" s="237" t="s">
        <v>3355</v>
      </c>
      <c r="C252" s="218" t="s">
        <v>3356</v>
      </c>
      <c r="D252" s="218"/>
      <c r="E252" s="218"/>
      <c r="F252" s="218"/>
      <c r="G252" s="218"/>
      <c r="H252" s="218"/>
    </row>
    <row r="253" ht="15.75" customHeight="1">
      <c r="A253" s="228" t="s">
        <v>3357</v>
      </c>
      <c r="B253" s="237" t="s">
        <v>3358</v>
      </c>
      <c r="C253" s="218" t="s">
        <v>3359</v>
      </c>
      <c r="D253" s="218"/>
      <c r="E253" s="218"/>
      <c r="F253" s="218"/>
      <c r="G253" s="218"/>
      <c r="H253" s="218"/>
    </row>
    <row r="254" ht="15.75" customHeight="1">
      <c r="B254" s="180"/>
    </row>
    <row r="255" ht="15.75" customHeight="1">
      <c r="B255" s="180"/>
    </row>
    <row r="256" ht="15.75" customHeight="1">
      <c r="B256" s="180"/>
    </row>
  </sheetData>
  <mergeCells count="14">
    <mergeCell ref="A173:H173"/>
    <mergeCell ref="A194:H194"/>
    <mergeCell ref="A196:H196"/>
    <mergeCell ref="A207:H207"/>
    <mergeCell ref="A209:H209"/>
    <mergeCell ref="A225:H225"/>
    <mergeCell ref="A227:H227"/>
    <mergeCell ref="A1:H1"/>
    <mergeCell ref="A2:H2"/>
    <mergeCell ref="A48:H48"/>
    <mergeCell ref="A106:H106"/>
    <mergeCell ref="A157:H157"/>
    <mergeCell ref="A159:H159"/>
    <mergeCell ref="A171:H171"/>
  </mergeCells>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38" t="s">
        <v>1784</v>
      </c>
      <c r="B1" s="238" t="s">
        <v>4583</v>
      </c>
      <c r="C1" s="238" t="s">
        <v>200</v>
      </c>
      <c r="D1" s="238" t="s">
        <v>2</v>
      </c>
      <c r="E1" s="238" t="s">
        <v>5103</v>
      </c>
      <c r="F1" s="238" t="s">
        <v>3</v>
      </c>
      <c r="G1" s="238" t="s">
        <v>5104</v>
      </c>
      <c r="H1" s="238" t="s">
        <v>5105</v>
      </c>
      <c r="I1" s="238" t="s">
        <v>13</v>
      </c>
      <c r="J1" s="239"/>
      <c r="K1" s="239"/>
      <c r="L1" s="239"/>
      <c r="M1" s="239"/>
      <c r="N1" s="239"/>
      <c r="O1" s="239"/>
      <c r="P1" s="239"/>
      <c r="Q1" s="239"/>
      <c r="R1" s="239"/>
      <c r="S1" s="239"/>
      <c r="T1" s="239"/>
      <c r="U1" s="239"/>
      <c r="V1" s="239"/>
      <c r="W1" s="239"/>
      <c r="X1" s="239"/>
      <c r="Y1" s="239"/>
      <c r="Z1" s="239"/>
      <c r="AA1" s="239"/>
    </row>
    <row r="2">
      <c r="A2" s="95">
        <f t="array" ref="A2:A1000">IF(B2:B1000="","",ROW(B2:B1000)-ROW(B2)+1)</f>
        <v>1</v>
      </c>
      <c r="B2" s="240" t="s">
        <v>5106</v>
      </c>
      <c r="C2" s="58" t="s">
        <v>168</v>
      </c>
      <c r="D2" s="58" t="s">
        <v>169</v>
      </c>
      <c r="E2" s="58"/>
      <c r="F2" s="58" t="s">
        <v>5107</v>
      </c>
      <c r="G2" s="241">
        <v>46072.0</v>
      </c>
      <c r="H2" s="241">
        <v>46072.0</v>
      </c>
      <c r="I2" s="95"/>
      <c r="J2" s="95"/>
      <c r="K2" s="95"/>
      <c r="L2" s="95"/>
      <c r="M2" s="95"/>
      <c r="N2" s="95"/>
      <c r="O2" s="95"/>
      <c r="P2" s="95"/>
      <c r="Q2" s="95"/>
      <c r="R2" s="95"/>
      <c r="S2" s="95"/>
      <c r="T2" s="95"/>
      <c r="U2" s="95"/>
      <c r="V2" s="95"/>
      <c r="W2" s="95"/>
      <c r="X2" s="95"/>
      <c r="Y2" s="95"/>
      <c r="Z2" s="95"/>
      <c r="AA2" s="95"/>
    </row>
    <row r="3">
      <c r="A3" s="95">
        <v>2.0</v>
      </c>
      <c r="B3" s="242" t="s">
        <v>5108</v>
      </c>
      <c r="C3" s="86" t="s">
        <v>5109</v>
      </c>
      <c r="D3" s="85" t="s">
        <v>5110</v>
      </c>
      <c r="E3" s="243">
        <v>3.0</v>
      </c>
      <c r="F3" s="85" t="s">
        <v>5111</v>
      </c>
      <c r="G3" s="244">
        <v>46062.0</v>
      </c>
      <c r="H3" s="95"/>
      <c r="I3" s="95"/>
      <c r="J3" s="95"/>
      <c r="K3" s="95"/>
      <c r="L3" s="95"/>
      <c r="M3" s="95"/>
      <c r="N3" s="95"/>
      <c r="O3" s="95"/>
      <c r="P3" s="95"/>
      <c r="Q3" s="95"/>
      <c r="R3" s="95"/>
      <c r="S3" s="95"/>
      <c r="T3" s="95"/>
      <c r="U3" s="95"/>
      <c r="V3" s="95"/>
      <c r="W3" s="95"/>
      <c r="X3" s="95"/>
      <c r="Y3" s="95"/>
      <c r="Z3" s="95"/>
      <c r="AA3" s="95"/>
    </row>
    <row r="4">
      <c r="A4" s="95">
        <v>3.0</v>
      </c>
      <c r="B4" s="58" t="s">
        <v>349</v>
      </c>
      <c r="C4" s="58" t="s">
        <v>5112</v>
      </c>
      <c r="D4" s="58" t="s">
        <v>348</v>
      </c>
      <c r="E4" s="58">
        <v>1.0</v>
      </c>
      <c r="F4" s="58" t="s">
        <v>5107</v>
      </c>
      <c r="G4" s="241">
        <v>46077.0</v>
      </c>
      <c r="H4" s="241">
        <v>46078.0</v>
      </c>
      <c r="I4" s="95"/>
      <c r="J4" s="95"/>
      <c r="K4" s="95"/>
      <c r="L4" s="95"/>
      <c r="M4" s="95"/>
      <c r="N4" s="95"/>
      <c r="O4" s="95"/>
      <c r="P4" s="95"/>
      <c r="Q4" s="95"/>
      <c r="R4" s="95"/>
      <c r="S4" s="95"/>
      <c r="T4" s="95"/>
      <c r="U4" s="95"/>
      <c r="V4" s="95"/>
      <c r="W4" s="95"/>
      <c r="X4" s="95"/>
      <c r="Y4" s="95"/>
      <c r="Z4" s="95"/>
      <c r="AA4" s="95"/>
    </row>
    <row r="5">
      <c r="A5" s="95">
        <v>4.0</v>
      </c>
      <c r="B5" s="58" t="s">
        <v>5113</v>
      </c>
      <c r="C5" s="58" t="s">
        <v>534</v>
      </c>
      <c r="D5" s="58" t="s">
        <v>535</v>
      </c>
      <c r="E5" s="58">
        <v>1.0</v>
      </c>
      <c r="F5" s="58" t="s">
        <v>5111</v>
      </c>
      <c r="G5" s="241">
        <v>46079.0</v>
      </c>
      <c r="H5" s="95"/>
      <c r="I5" s="95"/>
      <c r="J5" s="95"/>
      <c r="K5" s="95"/>
      <c r="L5" s="95"/>
      <c r="M5" s="95"/>
      <c r="N5" s="95"/>
      <c r="O5" s="95"/>
      <c r="P5" s="95"/>
      <c r="Q5" s="95"/>
      <c r="R5" s="95"/>
      <c r="S5" s="95"/>
      <c r="T5" s="95"/>
      <c r="U5" s="95"/>
      <c r="V5" s="95"/>
      <c r="W5" s="95"/>
      <c r="X5" s="95"/>
      <c r="Y5" s="95"/>
      <c r="Z5" s="95"/>
      <c r="AA5" s="95"/>
    </row>
    <row r="6">
      <c r="A6" s="95">
        <v>5.0</v>
      </c>
      <c r="B6" s="58" t="s">
        <v>5114</v>
      </c>
      <c r="C6" s="11" t="s">
        <v>5115</v>
      </c>
      <c r="D6" s="58" t="s">
        <v>552</v>
      </c>
      <c r="E6" s="58">
        <v>1.0</v>
      </c>
      <c r="F6" s="58" t="s">
        <v>5107</v>
      </c>
      <c r="G6" s="241">
        <v>46079.0</v>
      </c>
      <c r="H6" s="241">
        <v>46083.0</v>
      </c>
      <c r="I6" s="95"/>
      <c r="J6" s="95"/>
      <c r="K6" s="95"/>
      <c r="L6" s="95"/>
      <c r="M6" s="95"/>
      <c r="N6" s="95"/>
      <c r="O6" s="95"/>
      <c r="P6" s="95"/>
      <c r="Q6" s="95"/>
      <c r="R6" s="95"/>
      <c r="S6" s="95"/>
      <c r="T6" s="95"/>
      <c r="U6" s="95"/>
      <c r="V6" s="95"/>
      <c r="W6" s="95"/>
      <c r="X6" s="95"/>
      <c r="Y6" s="95"/>
      <c r="Z6" s="95"/>
      <c r="AA6" s="95"/>
    </row>
    <row r="7">
      <c r="A7" s="95" t="s">
        <v>5116</v>
      </c>
      <c r="B7" s="95"/>
      <c r="C7" s="58" t="s">
        <v>561</v>
      </c>
      <c r="D7" s="95"/>
      <c r="E7" s="95"/>
      <c r="F7" s="95"/>
      <c r="G7" s="95"/>
      <c r="H7" s="95"/>
      <c r="I7" s="95"/>
      <c r="J7" s="95"/>
      <c r="K7" s="95"/>
      <c r="L7" s="95"/>
      <c r="M7" s="95"/>
      <c r="N7" s="95"/>
      <c r="O7" s="95"/>
      <c r="P7" s="95"/>
      <c r="Q7" s="95"/>
      <c r="R7" s="95"/>
      <c r="S7" s="95"/>
      <c r="T7" s="95"/>
      <c r="U7" s="95"/>
      <c r="V7" s="95"/>
      <c r="W7" s="95"/>
      <c r="X7" s="95"/>
      <c r="Y7" s="95"/>
      <c r="Z7" s="95"/>
      <c r="AA7" s="95"/>
    </row>
    <row r="8">
      <c r="A8" s="95" t="s">
        <v>5116</v>
      </c>
      <c r="B8" s="95"/>
      <c r="C8" s="95"/>
      <c r="D8" s="95"/>
      <c r="E8" s="95"/>
      <c r="F8" s="95"/>
      <c r="G8" s="95"/>
      <c r="H8" s="95"/>
      <c r="I8" s="95"/>
      <c r="J8" s="95"/>
      <c r="K8" s="95"/>
      <c r="L8" s="95"/>
      <c r="M8" s="95"/>
      <c r="N8" s="95"/>
      <c r="O8" s="95"/>
      <c r="P8" s="95"/>
      <c r="Q8" s="95"/>
      <c r="R8" s="95"/>
      <c r="S8" s="95"/>
      <c r="T8" s="95"/>
      <c r="U8" s="95"/>
      <c r="V8" s="95"/>
      <c r="W8" s="95"/>
      <c r="X8" s="95"/>
      <c r="Y8" s="95"/>
      <c r="Z8" s="95"/>
      <c r="AA8" s="95"/>
    </row>
    <row r="9">
      <c r="A9" s="95" t="s">
        <v>5116</v>
      </c>
      <c r="B9" s="95"/>
      <c r="C9" s="95"/>
      <c r="D9" s="95"/>
      <c r="E9" s="95"/>
      <c r="F9" s="95"/>
      <c r="G9" s="95"/>
      <c r="H9" s="95"/>
      <c r="I9" s="95"/>
      <c r="J9" s="95"/>
      <c r="K9" s="95"/>
      <c r="L9" s="95"/>
      <c r="M9" s="95"/>
      <c r="N9" s="95"/>
      <c r="O9" s="95"/>
      <c r="P9" s="95"/>
      <c r="Q9" s="95"/>
      <c r="R9" s="95"/>
      <c r="S9" s="95"/>
      <c r="T9" s="95"/>
      <c r="U9" s="95"/>
      <c r="V9" s="95"/>
      <c r="W9" s="95"/>
      <c r="X9" s="95"/>
      <c r="Y9" s="95"/>
      <c r="Z9" s="95"/>
      <c r="AA9" s="95"/>
    </row>
    <row r="10">
      <c r="A10" s="95" t="s">
        <v>5116</v>
      </c>
      <c r="B10" s="95"/>
      <c r="C10" s="95"/>
      <c r="D10" s="95"/>
      <c r="E10" s="95"/>
      <c r="F10" s="95"/>
      <c r="G10" s="95"/>
      <c r="H10" s="95"/>
      <c r="I10" s="95"/>
      <c r="J10" s="95"/>
      <c r="K10" s="95"/>
      <c r="L10" s="95"/>
      <c r="M10" s="95"/>
      <c r="N10" s="95"/>
      <c r="O10" s="95"/>
      <c r="P10" s="95"/>
      <c r="Q10" s="95"/>
      <c r="R10" s="95"/>
      <c r="S10" s="95"/>
      <c r="T10" s="95"/>
      <c r="U10" s="95"/>
      <c r="V10" s="95"/>
      <c r="W10" s="95"/>
      <c r="X10" s="95"/>
      <c r="Y10" s="95"/>
      <c r="Z10" s="95"/>
      <c r="AA10" s="95"/>
    </row>
    <row r="11">
      <c r="A11" s="95" t="s">
        <v>5116</v>
      </c>
      <c r="B11" s="95"/>
      <c r="C11" s="95"/>
      <c r="D11" s="95"/>
      <c r="E11" s="95"/>
      <c r="F11" s="95"/>
      <c r="G11" s="95"/>
      <c r="H11" s="95"/>
      <c r="I11" s="95"/>
      <c r="J11" s="95"/>
      <c r="K11" s="95"/>
      <c r="L11" s="95"/>
      <c r="M11" s="95"/>
      <c r="N11" s="95"/>
      <c r="O11" s="95"/>
      <c r="P11" s="95"/>
      <c r="Q11" s="95"/>
      <c r="R11" s="95"/>
      <c r="S11" s="95"/>
      <c r="T11" s="95"/>
      <c r="U11" s="95"/>
      <c r="V11" s="95"/>
      <c r="W11" s="95"/>
      <c r="X11" s="95"/>
      <c r="Y11" s="95"/>
      <c r="Z11" s="95"/>
      <c r="AA11" s="95"/>
    </row>
    <row r="12">
      <c r="A12" s="95" t="s">
        <v>5116</v>
      </c>
      <c r="B12" s="95"/>
      <c r="C12" s="95"/>
      <c r="D12" s="95"/>
      <c r="E12" s="95"/>
      <c r="F12" s="95"/>
      <c r="G12" s="95"/>
      <c r="H12" s="95"/>
      <c r="I12" s="95"/>
      <c r="J12" s="95"/>
      <c r="K12" s="95"/>
      <c r="L12" s="95"/>
      <c r="M12" s="95"/>
      <c r="N12" s="95"/>
      <c r="O12" s="95"/>
      <c r="P12" s="95"/>
      <c r="Q12" s="95"/>
      <c r="R12" s="95"/>
      <c r="S12" s="95"/>
      <c r="T12" s="95"/>
      <c r="U12" s="95"/>
      <c r="V12" s="95"/>
      <c r="W12" s="95"/>
      <c r="X12" s="95"/>
      <c r="Y12" s="95"/>
      <c r="Z12" s="95"/>
      <c r="AA12" s="95"/>
    </row>
    <row r="13">
      <c r="A13" s="95" t="s">
        <v>5116</v>
      </c>
      <c r="B13" s="95"/>
      <c r="C13" s="95"/>
      <c r="D13" s="95"/>
      <c r="E13" s="95"/>
      <c r="F13" s="95"/>
      <c r="G13" s="95"/>
      <c r="H13" s="95"/>
      <c r="I13" s="95"/>
      <c r="J13" s="95"/>
      <c r="K13" s="95"/>
      <c r="L13" s="95"/>
      <c r="M13" s="95"/>
      <c r="N13" s="95"/>
      <c r="O13" s="95"/>
      <c r="P13" s="95"/>
      <c r="Q13" s="95"/>
      <c r="R13" s="95"/>
      <c r="S13" s="95"/>
      <c r="T13" s="95"/>
      <c r="U13" s="95"/>
      <c r="V13" s="95"/>
      <c r="W13" s="95"/>
      <c r="X13" s="95"/>
      <c r="Y13" s="95"/>
      <c r="Z13" s="95"/>
      <c r="AA13" s="95"/>
    </row>
    <row r="14">
      <c r="A14" s="95" t="s">
        <v>5116</v>
      </c>
      <c r="B14" s="95"/>
      <c r="C14" s="95"/>
      <c r="D14" s="95"/>
      <c r="E14" s="95"/>
      <c r="F14" s="95"/>
      <c r="G14" s="95"/>
      <c r="H14" s="95"/>
      <c r="I14" s="95"/>
      <c r="J14" s="95"/>
      <c r="K14" s="95"/>
      <c r="L14" s="95"/>
      <c r="M14" s="95"/>
      <c r="N14" s="95"/>
      <c r="O14" s="95"/>
      <c r="P14" s="95"/>
      <c r="Q14" s="95"/>
      <c r="R14" s="95"/>
      <c r="S14" s="95"/>
      <c r="T14" s="95"/>
      <c r="U14" s="95"/>
      <c r="V14" s="95"/>
      <c r="W14" s="95"/>
      <c r="X14" s="95"/>
      <c r="Y14" s="95"/>
      <c r="Z14" s="95"/>
      <c r="AA14" s="95"/>
    </row>
    <row r="15">
      <c r="A15" s="95" t="s">
        <v>5116</v>
      </c>
      <c r="B15" s="95"/>
      <c r="C15" s="95"/>
      <c r="D15" s="95"/>
      <c r="E15" s="95"/>
      <c r="F15" s="95"/>
      <c r="G15" s="95"/>
      <c r="H15" s="95"/>
      <c r="I15" s="95"/>
      <c r="J15" s="95"/>
      <c r="K15" s="95"/>
      <c r="L15" s="95"/>
      <c r="M15" s="95"/>
      <c r="N15" s="95"/>
      <c r="O15" s="95"/>
      <c r="P15" s="95"/>
      <c r="Q15" s="95"/>
      <c r="R15" s="95"/>
      <c r="S15" s="95"/>
      <c r="T15" s="95"/>
      <c r="U15" s="95"/>
      <c r="V15" s="95"/>
      <c r="W15" s="95"/>
      <c r="X15" s="95"/>
      <c r="Y15" s="95"/>
      <c r="Z15" s="95"/>
      <c r="AA15" s="95"/>
    </row>
    <row r="16">
      <c r="A16" s="95" t="s">
        <v>5116</v>
      </c>
      <c r="B16" s="95"/>
      <c r="C16" s="95"/>
      <c r="D16" s="95"/>
      <c r="E16" s="95"/>
      <c r="F16" s="95"/>
      <c r="G16" s="95"/>
      <c r="H16" s="95"/>
      <c r="I16" s="95"/>
      <c r="J16" s="95"/>
      <c r="K16" s="95"/>
      <c r="L16" s="95"/>
      <c r="M16" s="95"/>
      <c r="N16" s="95"/>
      <c r="O16" s="95"/>
      <c r="P16" s="95"/>
      <c r="Q16" s="95"/>
      <c r="R16" s="95"/>
      <c r="S16" s="95"/>
      <c r="T16" s="95"/>
      <c r="U16" s="95"/>
      <c r="V16" s="95"/>
      <c r="W16" s="95"/>
      <c r="X16" s="95"/>
      <c r="Y16" s="95"/>
      <c r="Z16" s="95"/>
      <c r="AA16" s="95"/>
    </row>
    <row r="17">
      <c r="A17" s="95" t="s">
        <v>5116</v>
      </c>
      <c r="B17" s="95"/>
      <c r="C17" s="95"/>
      <c r="D17" s="95"/>
      <c r="E17" s="95"/>
      <c r="F17" s="95"/>
      <c r="G17" s="95"/>
      <c r="H17" s="95"/>
      <c r="I17" s="95"/>
      <c r="J17" s="95"/>
      <c r="K17" s="95"/>
      <c r="L17" s="95"/>
      <c r="M17" s="95"/>
      <c r="N17" s="95"/>
      <c r="O17" s="95"/>
      <c r="P17" s="95"/>
      <c r="Q17" s="95"/>
      <c r="R17" s="95"/>
      <c r="S17" s="95"/>
      <c r="T17" s="95"/>
      <c r="U17" s="95"/>
      <c r="V17" s="95"/>
      <c r="W17" s="95"/>
      <c r="X17" s="95"/>
      <c r="Y17" s="95"/>
      <c r="Z17" s="95"/>
      <c r="AA17" s="95"/>
    </row>
    <row r="18">
      <c r="A18" s="95" t="s">
        <v>5116</v>
      </c>
      <c r="B18" s="95"/>
      <c r="C18" s="95"/>
      <c r="D18" s="95"/>
      <c r="E18" s="95"/>
      <c r="F18" s="95"/>
      <c r="G18" s="95"/>
      <c r="H18" s="95"/>
      <c r="I18" s="95"/>
      <c r="J18" s="95"/>
      <c r="K18" s="95"/>
      <c r="L18" s="95"/>
      <c r="M18" s="95"/>
      <c r="N18" s="95"/>
      <c r="O18" s="95"/>
      <c r="P18" s="95"/>
      <c r="Q18" s="95"/>
      <c r="R18" s="95"/>
      <c r="S18" s="95"/>
      <c r="T18" s="95"/>
      <c r="U18" s="95"/>
      <c r="V18" s="95"/>
      <c r="W18" s="95"/>
      <c r="X18" s="95"/>
      <c r="Y18" s="95"/>
      <c r="Z18" s="95"/>
      <c r="AA18" s="95"/>
    </row>
    <row r="19">
      <c r="A19" s="95" t="s">
        <v>5116</v>
      </c>
      <c r="B19" s="95"/>
      <c r="C19" s="95"/>
      <c r="D19" s="95"/>
      <c r="E19" s="95"/>
      <c r="F19" s="95"/>
      <c r="G19" s="95"/>
      <c r="H19" s="95"/>
      <c r="I19" s="95"/>
      <c r="J19" s="95"/>
      <c r="K19" s="95"/>
      <c r="L19" s="95"/>
      <c r="M19" s="95"/>
      <c r="N19" s="95"/>
      <c r="O19" s="95"/>
      <c r="P19" s="95"/>
      <c r="Q19" s="95"/>
      <c r="R19" s="95"/>
      <c r="S19" s="95"/>
      <c r="T19" s="95"/>
      <c r="U19" s="95"/>
      <c r="V19" s="95"/>
      <c r="W19" s="95"/>
      <c r="X19" s="95"/>
      <c r="Y19" s="95"/>
      <c r="Z19" s="95"/>
      <c r="AA19" s="95"/>
    </row>
    <row r="20">
      <c r="A20" s="95" t="s">
        <v>5116</v>
      </c>
      <c r="B20" s="95"/>
      <c r="C20" s="95"/>
      <c r="D20" s="95"/>
      <c r="E20" s="95"/>
      <c r="F20" s="95"/>
      <c r="G20" s="95"/>
      <c r="H20" s="95"/>
      <c r="I20" s="95"/>
      <c r="J20" s="95"/>
      <c r="K20" s="95"/>
      <c r="L20" s="95"/>
      <c r="M20" s="95"/>
      <c r="N20" s="95"/>
      <c r="O20" s="95"/>
      <c r="P20" s="95"/>
      <c r="Q20" s="95"/>
      <c r="R20" s="95"/>
      <c r="S20" s="95"/>
      <c r="T20" s="95"/>
      <c r="U20" s="95"/>
      <c r="V20" s="95"/>
      <c r="W20" s="95"/>
      <c r="X20" s="95"/>
      <c r="Y20" s="95"/>
      <c r="Z20" s="95"/>
      <c r="AA20" s="95"/>
    </row>
    <row r="21">
      <c r="A21" s="95" t="s">
        <v>5116</v>
      </c>
      <c r="B21" s="95"/>
      <c r="C21" s="95"/>
      <c r="D21" s="95"/>
      <c r="E21" s="95"/>
      <c r="F21" s="95"/>
      <c r="G21" s="95"/>
      <c r="H21" s="95"/>
      <c r="I21" s="95"/>
      <c r="J21" s="95"/>
      <c r="K21" s="95"/>
      <c r="L21" s="95"/>
      <c r="M21" s="95"/>
      <c r="N21" s="95"/>
      <c r="O21" s="95"/>
      <c r="P21" s="95"/>
      <c r="Q21" s="95"/>
      <c r="R21" s="95"/>
      <c r="S21" s="95"/>
      <c r="T21" s="95"/>
      <c r="U21" s="95"/>
      <c r="V21" s="95"/>
      <c r="W21" s="95"/>
      <c r="X21" s="95"/>
      <c r="Y21" s="95"/>
      <c r="Z21" s="95"/>
      <c r="AA21" s="95"/>
    </row>
    <row r="22">
      <c r="A22" s="95" t="s">
        <v>5116</v>
      </c>
      <c r="B22" s="95"/>
      <c r="C22" s="95"/>
      <c r="D22" s="95"/>
      <c r="E22" s="95"/>
      <c r="F22" s="95"/>
      <c r="G22" s="95"/>
      <c r="H22" s="95"/>
      <c r="I22" s="95"/>
      <c r="J22" s="95"/>
      <c r="K22" s="95"/>
      <c r="L22" s="95"/>
      <c r="M22" s="95"/>
      <c r="N22" s="95"/>
      <c r="O22" s="95"/>
      <c r="P22" s="95"/>
      <c r="Q22" s="95"/>
      <c r="R22" s="95"/>
      <c r="S22" s="95"/>
      <c r="T22" s="95"/>
      <c r="U22" s="95"/>
      <c r="V22" s="95"/>
      <c r="W22" s="95"/>
      <c r="X22" s="95"/>
      <c r="Y22" s="95"/>
      <c r="Z22" s="95"/>
      <c r="AA22" s="95"/>
    </row>
    <row r="23">
      <c r="A23" s="95" t="s">
        <v>5116</v>
      </c>
      <c r="B23" s="95"/>
      <c r="C23" s="95"/>
      <c r="D23" s="95"/>
      <c r="E23" s="95"/>
      <c r="F23" s="95"/>
      <c r="G23" s="95"/>
      <c r="H23" s="95"/>
      <c r="I23" s="95"/>
      <c r="J23" s="95"/>
      <c r="K23" s="95"/>
      <c r="L23" s="95"/>
      <c r="M23" s="95"/>
      <c r="N23" s="95"/>
      <c r="O23" s="95"/>
      <c r="P23" s="95"/>
      <c r="Q23" s="95"/>
      <c r="R23" s="95"/>
      <c r="S23" s="95"/>
      <c r="T23" s="95"/>
      <c r="U23" s="95"/>
      <c r="V23" s="95"/>
      <c r="W23" s="95"/>
      <c r="X23" s="95"/>
      <c r="Y23" s="95"/>
      <c r="Z23" s="95"/>
      <c r="AA23" s="95"/>
    </row>
    <row r="24">
      <c r="A24" s="95" t="s">
        <v>5116</v>
      </c>
      <c r="B24" s="95"/>
      <c r="C24" s="95"/>
      <c r="D24" s="95"/>
      <c r="E24" s="95"/>
      <c r="F24" s="95"/>
      <c r="G24" s="95"/>
      <c r="H24" s="95"/>
      <c r="I24" s="95"/>
      <c r="J24" s="95"/>
      <c r="K24" s="95"/>
      <c r="L24" s="95"/>
      <c r="M24" s="95"/>
      <c r="N24" s="95"/>
      <c r="O24" s="95"/>
      <c r="P24" s="95"/>
      <c r="Q24" s="95"/>
      <c r="R24" s="95"/>
      <c r="S24" s="95"/>
      <c r="T24" s="95"/>
      <c r="U24" s="95"/>
      <c r="V24" s="95"/>
      <c r="W24" s="95"/>
      <c r="X24" s="95"/>
      <c r="Y24" s="95"/>
      <c r="Z24" s="95"/>
      <c r="AA24" s="95"/>
    </row>
    <row r="25">
      <c r="A25" s="95" t="s">
        <v>5116</v>
      </c>
      <c r="B25" s="95"/>
      <c r="C25" s="95"/>
      <c r="D25" s="95"/>
      <c r="E25" s="95"/>
      <c r="F25" s="95"/>
      <c r="G25" s="95"/>
      <c r="H25" s="95"/>
      <c r="I25" s="95"/>
      <c r="J25" s="95"/>
      <c r="K25" s="95"/>
      <c r="L25" s="95"/>
      <c r="M25" s="95"/>
      <c r="N25" s="95"/>
      <c r="O25" s="95"/>
      <c r="P25" s="95"/>
      <c r="Q25" s="95"/>
      <c r="R25" s="95"/>
      <c r="S25" s="95"/>
      <c r="T25" s="95"/>
      <c r="U25" s="95"/>
      <c r="V25" s="95"/>
      <c r="W25" s="95"/>
      <c r="X25" s="95"/>
      <c r="Y25" s="95"/>
      <c r="Z25" s="95"/>
      <c r="AA25" s="95"/>
    </row>
    <row r="26">
      <c r="A26" s="95" t="s">
        <v>5116</v>
      </c>
      <c r="B26" s="95"/>
      <c r="C26" s="95"/>
      <c r="D26" s="95"/>
      <c r="E26" s="95"/>
      <c r="F26" s="95"/>
      <c r="G26" s="95"/>
      <c r="H26" s="95"/>
      <c r="I26" s="95"/>
      <c r="J26" s="95"/>
      <c r="K26" s="95"/>
      <c r="L26" s="95"/>
      <c r="M26" s="95"/>
      <c r="N26" s="95"/>
      <c r="O26" s="95"/>
      <c r="P26" s="95"/>
      <c r="Q26" s="95"/>
      <c r="R26" s="95"/>
      <c r="S26" s="95"/>
      <c r="T26" s="95"/>
      <c r="U26" s="95"/>
      <c r="V26" s="95"/>
      <c r="W26" s="95"/>
      <c r="X26" s="95"/>
      <c r="Y26" s="95"/>
      <c r="Z26" s="95"/>
      <c r="AA26" s="95"/>
    </row>
    <row r="27">
      <c r="A27" s="95" t="s">
        <v>5116</v>
      </c>
      <c r="B27" s="95"/>
      <c r="C27" s="95"/>
      <c r="D27" s="95"/>
      <c r="E27" s="95"/>
      <c r="F27" s="95"/>
      <c r="G27" s="95"/>
      <c r="H27" s="95"/>
      <c r="I27" s="95"/>
      <c r="J27" s="95"/>
      <c r="K27" s="95"/>
      <c r="L27" s="95"/>
      <c r="M27" s="95"/>
      <c r="N27" s="95"/>
      <c r="O27" s="95"/>
      <c r="P27" s="95"/>
      <c r="Q27" s="95"/>
      <c r="R27" s="95"/>
      <c r="S27" s="95"/>
      <c r="T27" s="95"/>
      <c r="U27" s="95"/>
      <c r="V27" s="95"/>
      <c r="W27" s="95"/>
      <c r="X27" s="95"/>
      <c r="Y27" s="95"/>
      <c r="Z27" s="95"/>
      <c r="AA27" s="95"/>
    </row>
    <row r="28">
      <c r="A28" s="95" t="s">
        <v>5116</v>
      </c>
      <c r="B28" s="95"/>
      <c r="C28" s="95"/>
      <c r="D28" s="95"/>
      <c r="E28" s="95"/>
      <c r="F28" s="95"/>
      <c r="G28" s="95"/>
      <c r="H28" s="95"/>
      <c r="I28" s="95"/>
      <c r="J28" s="95"/>
      <c r="K28" s="95"/>
      <c r="L28" s="95"/>
      <c r="M28" s="95"/>
      <c r="N28" s="95"/>
      <c r="O28" s="95"/>
      <c r="P28" s="95"/>
      <c r="Q28" s="95"/>
      <c r="R28" s="95"/>
      <c r="S28" s="95"/>
      <c r="T28" s="95"/>
      <c r="U28" s="95"/>
      <c r="V28" s="95"/>
      <c r="W28" s="95"/>
      <c r="X28" s="95"/>
      <c r="Y28" s="95"/>
      <c r="Z28" s="95"/>
      <c r="AA28" s="95"/>
    </row>
    <row r="29">
      <c r="A29" s="95" t="s">
        <v>5116</v>
      </c>
      <c r="B29" s="95"/>
      <c r="C29" s="95"/>
      <c r="D29" s="95"/>
      <c r="E29" s="95"/>
      <c r="F29" s="95"/>
      <c r="G29" s="95"/>
      <c r="H29" s="95"/>
      <c r="I29" s="95"/>
      <c r="J29" s="95"/>
      <c r="K29" s="95"/>
      <c r="L29" s="95"/>
      <c r="M29" s="95"/>
      <c r="N29" s="95"/>
      <c r="O29" s="95"/>
      <c r="P29" s="95"/>
      <c r="Q29" s="95"/>
      <c r="R29" s="95"/>
      <c r="S29" s="95"/>
      <c r="T29" s="95"/>
      <c r="U29" s="95"/>
      <c r="V29" s="95"/>
      <c r="W29" s="95"/>
      <c r="X29" s="95"/>
      <c r="Y29" s="95"/>
      <c r="Z29" s="95"/>
      <c r="AA29" s="95"/>
    </row>
    <row r="30">
      <c r="A30" s="95" t="s">
        <v>5116</v>
      </c>
      <c r="B30" s="95"/>
      <c r="C30" s="95"/>
      <c r="D30" s="95"/>
      <c r="E30" s="95"/>
      <c r="F30" s="95"/>
      <c r="G30" s="95"/>
      <c r="H30" s="95"/>
      <c r="I30" s="95"/>
      <c r="J30" s="95"/>
      <c r="K30" s="95"/>
      <c r="L30" s="95"/>
      <c r="M30" s="95"/>
      <c r="N30" s="95"/>
      <c r="O30" s="95"/>
      <c r="P30" s="95"/>
      <c r="Q30" s="95"/>
      <c r="R30" s="95"/>
      <c r="S30" s="95"/>
      <c r="T30" s="95"/>
      <c r="U30" s="95"/>
      <c r="V30" s="95"/>
      <c r="W30" s="95"/>
      <c r="X30" s="95"/>
      <c r="Y30" s="95"/>
      <c r="Z30" s="95"/>
      <c r="AA30" s="95"/>
    </row>
    <row r="31">
      <c r="A31" s="95" t="s">
        <v>5116</v>
      </c>
      <c r="B31" s="95"/>
      <c r="C31" s="95"/>
      <c r="D31" s="95"/>
      <c r="E31" s="95"/>
      <c r="F31" s="95"/>
      <c r="G31" s="95"/>
      <c r="H31" s="95"/>
      <c r="I31" s="95"/>
      <c r="J31" s="95"/>
      <c r="K31" s="95"/>
      <c r="L31" s="95"/>
      <c r="M31" s="95"/>
      <c r="N31" s="95"/>
      <c r="O31" s="95"/>
      <c r="P31" s="95"/>
      <c r="Q31" s="95"/>
      <c r="R31" s="95"/>
      <c r="S31" s="95"/>
      <c r="T31" s="95"/>
      <c r="U31" s="95"/>
      <c r="V31" s="95"/>
      <c r="W31" s="95"/>
      <c r="X31" s="95"/>
      <c r="Y31" s="95"/>
      <c r="Z31" s="95"/>
      <c r="AA31" s="95"/>
    </row>
    <row r="32">
      <c r="A32" s="95" t="s">
        <v>5116</v>
      </c>
      <c r="B32" s="95"/>
      <c r="C32" s="95"/>
      <c r="D32" s="95"/>
      <c r="E32" s="95"/>
      <c r="F32" s="95"/>
      <c r="G32" s="95"/>
      <c r="H32" s="95"/>
      <c r="I32" s="95"/>
      <c r="J32" s="95"/>
      <c r="K32" s="95"/>
      <c r="L32" s="95"/>
      <c r="M32" s="95"/>
      <c r="N32" s="95"/>
      <c r="O32" s="95"/>
      <c r="P32" s="95"/>
      <c r="Q32" s="95"/>
      <c r="R32" s="95"/>
      <c r="S32" s="95"/>
      <c r="T32" s="95"/>
      <c r="U32" s="95"/>
      <c r="V32" s="95"/>
      <c r="W32" s="95"/>
      <c r="X32" s="95"/>
      <c r="Y32" s="95"/>
      <c r="Z32" s="95"/>
      <c r="AA32" s="95"/>
    </row>
    <row r="33">
      <c r="A33" s="95" t="s">
        <v>5116</v>
      </c>
      <c r="B33" s="95"/>
      <c r="C33" s="95"/>
      <c r="D33" s="95"/>
      <c r="E33" s="95"/>
      <c r="F33" s="95"/>
      <c r="G33" s="95"/>
      <c r="H33" s="95"/>
      <c r="I33" s="95"/>
      <c r="J33" s="95"/>
      <c r="K33" s="95"/>
      <c r="L33" s="95"/>
      <c r="M33" s="95"/>
      <c r="N33" s="95"/>
      <c r="O33" s="95"/>
      <c r="P33" s="95"/>
      <c r="Q33" s="95"/>
      <c r="R33" s="95"/>
      <c r="S33" s="95"/>
      <c r="T33" s="95"/>
      <c r="U33" s="95"/>
      <c r="V33" s="95"/>
      <c r="W33" s="95"/>
      <c r="X33" s="95"/>
      <c r="Y33" s="95"/>
      <c r="Z33" s="95"/>
      <c r="AA33" s="95"/>
    </row>
    <row r="34">
      <c r="A34" s="95" t="s">
        <v>5116</v>
      </c>
      <c r="B34" s="95"/>
      <c r="C34" s="95"/>
      <c r="D34" s="95"/>
      <c r="E34" s="95"/>
      <c r="F34" s="95"/>
      <c r="G34" s="95"/>
      <c r="H34" s="95"/>
      <c r="I34" s="95"/>
      <c r="J34" s="95"/>
      <c r="K34" s="95"/>
      <c r="L34" s="95"/>
      <c r="M34" s="95"/>
      <c r="N34" s="95"/>
      <c r="O34" s="95"/>
      <c r="P34" s="95"/>
      <c r="Q34" s="95"/>
      <c r="R34" s="95"/>
      <c r="S34" s="95"/>
      <c r="T34" s="95"/>
      <c r="U34" s="95"/>
      <c r="V34" s="95"/>
      <c r="W34" s="95"/>
      <c r="X34" s="95"/>
      <c r="Y34" s="95"/>
      <c r="Z34" s="95"/>
      <c r="AA34" s="95"/>
    </row>
    <row r="35">
      <c r="A35" s="95" t="s">
        <v>5116</v>
      </c>
      <c r="B35" s="95"/>
      <c r="C35" s="95"/>
      <c r="D35" s="95"/>
      <c r="E35" s="95"/>
      <c r="F35" s="95"/>
      <c r="G35" s="95"/>
      <c r="H35" s="95"/>
      <c r="I35" s="95"/>
      <c r="J35" s="95"/>
      <c r="K35" s="95"/>
      <c r="L35" s="95"/>
      <c r="M35" s="95"/>
      <c r="N35" s="95"/>
      <c r="O35" s="95"/>
      <c r="P35" s="95"/>
      <c r="Q35" s="95"/>
      <c r="R35" s="95"/>
      <c r="S35" s="95"/>
      <c r="T35" s="95"/>
      <c r="U35" s="95"/>
      <c r="V35" s="95"/>
      <c r="W35" s="95"/>
      <c r="X35" s="95"/>
      <c r="Y35" s="95"/>
      <c r="Z35" s="95"/>
      <c r="AA35" s="95"/>
    </row>
    <row r="36">
      <c r="A36" s="95" t="s">
        <v>5116</v>
      </c>
      <c r="B36" s="95"/>
      <c r="C36" s="95"/>
      <c r="D36" s="95"/>
      <c r="E36" s="95"/>
      <c r="F36" s="95"/>
      <c r="G36" s="95"/>
      <c r="H36" s="95"/>
      <c r="I36" s="95"/>
      <c r="J36" s="95"/>
      <c r="K36" s="95"/>
      <c r="L36" s="95"/>
      <c r="M36" s="95"/>
      <c r="N36" s="95"/>
      <c r="O36" s="95"/>
      <c r="P36" s="95"/>
      <c r="Q36" s="95"/>
      <c r="R36" s="95"/>
      <c r="S36" s="95"/>
      <c r="T36" s="95"/>
      <c r="U36" s="95"/>
      <c r="V36" s="95"/>
      <c r="W36" s="95"/>
      <c r="X36" s="95"/>
      <c r="Y36" s="95"/>
      <c r="Z36" s="95"/>
      <c r="AA36" s="95"/>
    </row>
    <row r="37">
      <c r="A37" s="95" t="s">
        <v>5116</v>
      </c>
      <c r="B37" s="95"/>
      <c r="C37" s="95"/>
      <c r="D37" s="95"/>
      <c r="E37" s="95"/>
      <c r="F37" s="95"/>
      <c r="G37" s="95"/>
      <c r="H37" s="95"/>
      <c r="I37" s="95"/>
      <c r="J37" s="95"/>
      <c r="K37" s="95"/>
      <c r="L37" s="95"/>
      <c r="M37" s="95"/>
      <c r="N37" s="95"/>
      <c r="O37" s="95"/>
      <c r="P37" s="95"/>
      <c r="Q37" s="95"/>
      <c r="R37" s="95"/>
      <c r="S37" s="95"/>
      <c r="T37" s="95"/>
      <c r="U37" s="95"/>
      <c r="V37" s="95"/>
      <c r="W37" s="95"/>
      <c r="X37" s="95"/>
      <c r="Y37" s="95"/>
      <c r="Z37" s="95"/>
      <c r="AA37" s="95"/>
    </row>
    <row r="38">
      <c r="A38" s="95" t="s">
        <v>5116</v>
      </c>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row>
    <row r="39">
      <c r="A39" s="95" t="s">
        <v>5116</v>
      </c>
      <c r="B39" s="95"/>
      <c r="C39" s="95"/>
      <c r="D39" s="95"/>
      <c r="E39" s="95"/>
      <c r="F39" s="95"/>
      <c r="G39" s="95"/>
      <c r="H39" s="95"/>
      <c r="I39" s="95"/>
      <c r="J39" s="95"/>
      <c r="K39" s="95"/>
      <c r="L39" s="95"/>
      <c r="M39" s="95"/>
      <c r="N39" s="95"/>
      <c r="O39" s="95"/>
      <c r="P39" s="95"/>
      <c r="Q39" s="95"/>
      <c r="R39" s="95"/>
      <c r="S39" s="95"/>
      <c r="T39" s="95"/>
      <c r="U39" s="95"/>
      <c r="V39" s="95"/>
      <c r="W39" s="95"/>
      <c r="X39" s="95"/>
      <c r="Y39" s="95"/>
      <c r="Z39" s="95"/>
      <c r="AA39" s="95"/>
    </row>
    <row r="40">
      <c r="A40" s="95" t="s">
        <v>5116</v>
      </c>
      <c r="B40" s="95"/>
      <c r="C40" s="95"/>
      <c r="D40" s="95"/>
      <c r="E40" s="95"/>
      <c r="F40" s="95"/>
      <c r="G40" s="95"/>
      <c r="H40" s="95"/>
      <c r="I40" s="95"/>
      <c r="J40" s="95"/>
      <c r="K40" s="95"/>
      <c r="L40" s="95"/>
      <c r="M40" s="95"/>
      <c r="N40" s="95"/>
      <c r="O40" s="95"/>
      <c r="P40" s="95"/>
      <c r="Q40" s="95"/>
      <c r="R40" s="95"/>
      <c r="S40" s="95"/>
      <c r="T40" s="95"/>
      <c r="U40" s="95"/>
      <c r="V40" s="95"/>
      <c r="W40" s="95"/>
      <c r="X40" s="95"/>
      <c r="Y40" s="95"/>
      <c r="Z40" s="95"/>
      <c r="AA40" s="95"/>
    </row>
    <row r="41">
      <c r="A41" s="95" t="s">
        <v>5116</v>
      </c>
      <c r="B41" s="95"/>
      <c r="C41" s="95"/>
      <c r="D41" s="95"/>
      <c r="E41" s="95"/>
      <c r="F41" s="95"/>
      <c r="G41" s="95"/>
      <c r="H41" s="95"/>
      <c r="I41" s="95"/>
      <c r="J41" s="95"/>
      <c r="K41" s="95"/>
      <c r="L41" s="95"/>
      <c r="M41" s="95"/>
      <c r="N41" s="95"/>
      <c r="O41" s="95"/>
      <c r="P41" s="95"/>
      <c r="Q41" s="95"/>
      <c r="R41" s="95"/>
      <c r="S41" s="95"/>
      <c r="T41" s="95"/>
      <c r="U41" s="95"/>
      <c r="V41" s="95"/>
      <c r="W41" s="95"/>
      <c r="X41" s="95"/>
      <c r="Y41" s="95"/>
      <c r="Z41" s="95"/>
      <c r="AA41" s="95"/>
    </row>
    <row r="42">
      <c r="A42" s="95" t="s">
        <v>5116</v>
      </c>
      <c r="B42" s="95"/>
      <c r="C42" s="95"/>
      <c r="D42" s="95"/>
      <c r="E42" s="95"/>
      <c r="F42" s="95"/>
      <c r="G42" s="95"/>
      <c r="H42" s="95"/>
      <c r="I42" s="95"/>
      <c r="J42" s="95"/>
      <c r="K42" s="95"/>
      <c r="L42" s="95"/>
      <c r="M42" s="95"/>
      <c r="N42" s="95"/>
      <c r="O42" s="95"/>
      <c r="P42" s="95"/>
      <c r="Q42" s="95"/>
      <c r="R42" s="95"/>
      <c r="S42" s="95"/>
      <c r="T42" s="95"/>
      <c r="U42" s="95"/>
      <c r="V42" s="95"/>
      <c r="W42" s="95"/>
      <c r="X42" s="95"/>
      <c r="Y42" s="95"/>
      <c r="Z42" s="95"/>
      <c r="AA42" s="95"/>
    </row>
    <row r="43">
      <c r="A43" s="95" t="s">
        <v>5116</v>
      </c>
      <c r="B43" s="95"/>
      <c r="C43" s="95"/>
      <c r="D43" s="95"/>
      <c r="E43" s="95"/>
      <c r="F43" s="95"/>
      <c r="G43" s="95"/>
      <c r="H43" s="95"/>
      <c r="I43" s="95"/>
      <c r="J43" s="95"/>
      <c r="K43" s="95"/>
      <c r="L43" s="95"/>
      <c r="M43" s="95"/>
      <c r="N43" s="95"/>
      <c r="O43" s="95"/>
      <c r="P43" s="95"/>
      <c r="Q43" s="95"/>
      <c r="R43" s="95"/>
      <c r="S43" s="95"/>
      <c r="T43" s="95"/>
      <c r="U43" s="95"/>
      <c r="V43" s="95"/>
      <c r="W43" s="95"/>
      <c r="X43" s="95"/>
      <c r="Y43" s="95"/>
      <c r="Z43" s="95"/>
      <c r="AA43" s="95"/>
    </row>
    <row r="44">
      <c r="A44" s="95" t="s">
        <v>5116</v>
      </c>
      <c r="B44" s="95"/>
      <c r="C44" s="95"/>
      <c r="D44" s="95"/>
      <c r="E44" s="95"/>
      <c r="F44" s="95"/>
      <c r="G44" s="95"/>
      <c r="H44" s="95"/>
      <c r="I44" s="95"/>
      <c r="J44" s="95"/>
      <c r="K44" s="95"/>
      <c r="L44" s="95"/>
      <c r="M44" s="95"/>
      <c r="N44" s="95"/>
      <c r="O44" s="95"/>
      <c r="P44" s="95"/>
      <c r="Q44" s="95"/>
      <c r="R44" s="95"/>
      <c r="S44" s="95"/>
      <c r="T44" s="95"/>
      <c r="U44" s="95"/>
      <c r="V44" s="95"/>
      <c r="W44" s="95"/>
      <c r="X44" s="95"/>
      <c r="Y44" s="95"/>
      <c r="Z44" s="95"/>
      <c r="AA44" s="95"/>
    </row>
    <row r="45">
      <c r="A45" s="95" t="s">
        <v>5116</v>
      </c>
      <c r="B45" s="95"/>
      <c r="C45" s="95"/>
      <c r="D45" s="95"/>
      <c r="E45" s="95"/>
      <c r="F45" s="95"/>
      <c r="G45" s="95"/>
      <c r="H45" s="95"/>
      <c r="I45" s="95"/>
      <c r="J45" s="95"/>
      <c r="K45" s="95"/>
      <c r="L45" s="95"/>
      <c r="M45" s="95"/>
      <c r="N45" s="95"/>
      <c r="O45" s="95"/>
      <c r="P45" s="95"/>
      <c r="Q45" s="95"/>
      <c r="R45" s="95"/>
      <c r="S45" s="95"/>
      <c r="T45" s="95"/>
      <c r="U45" s="95"/>
      <c r="V45" s="95"/>
      <c r="W45" s="95"/>
      <c r="X45" s="95"/>
      <c r="Y45" s="95"/>
      <c r="Z45" s="95"/>
      <c r="AA45" s="95"/>
    </row>
    <row r="46">
      <c r="A46" s="95" t="s">
        <v>5116</v>
      </c>
      <c r="B46" s="95"/>
      <c r="C46" s="95"/>
      <c r="D46" s="95"/>
      <c r="E46" s="95"/>
      <c r="F46" s="95"/>
      <c r="G46" s="95"/>
      <c r="H46" s="95"/>
      <c r="I46" s="95"/>
      <c r="J46" s="95"/>
      <c r="K46" s="95"/>
      <c r="L46" s="95"/>
      <c r="M46" s="95"/>
      <c r="N46" s="95"/>
      <c r="O46" s="95"/>
      <c r="P46" s="95"/>
      <c r="Q46" s="95"/>
      <c r="R46" s="95"/>
      <c r="S46" s="95"/>
      <c r="T46" s="95"/>
      <c r="U46" s="95"/>
      <c r="V46" s="95"/>
      <c r="W46" s="95"/>
      <c r="X46" s="95"/>
      <c r="Y46" s="95"/>
      <c r="Z46" s="95"/>
      <c r="AA46" s="95"/>
    </row>
    <row r="47">
      <c r="A47" s="95" t="s">
        <v>5116</v>
      </c>
      <c r="B47" s="95"/>
      <c r="C47" s="95"/>
      <c r="D47" s="95"/>
      <c r="E47" s="95"/>
      <c r="F47" s="95"/>
      <c r="G47" s="95"/>
      <c r="H47" s="95"/>
      <c r="I47" s="95"/>
      <c r="J47" s="95"/>
      <c r="K47" s="95"/>
      <c r="L47" s="95"/>
      <c r="M47" s="95"/>
      <c r="N47" s="95"/>
      <c r="O47" s="95"/>
      <c r="P47" s="95"/>
      <c r="Q47" s="95"/>
      <c r="R47" s="95"/>
      <c r="S47" s="95"/>
      <c r="T47" s="95"/>
      <c r="U47" s="95"/>
      <c r="V47" s="95"/>
      <c r="W47" s="95"/>
      <c r="X47" s="95"/>
      <c r="Y47" s="95"/>
      <c r="Z47" s="95"/>
      <c r="AA47" s="95"/>
    </row>
    <row r="48">
      <c r="A48" s="95" t="s">
        <v>5116</v>
      </c>
      <c r="B48" s="95"/>
      <c r="C48" s="95"/>
      <c r="D48" s="95"/>
      <c r="E48" s="95"/>
      <c r="F48" s="95"/>
      <c r="G48" s="95"/>
      <c r="H48" s="95"/>
      <c r="I48" s="95"/>
      <c r="J48" s="95"/>
      <c r="K48" s="95"/>
      <c r="L48" s="95"/>
      <c r="M48" s="95"/>
      <c r="N48" s="95"/>
      <c r="O48" s="95"/>
      <c r="P48" s="95"/>
      <c r="Q48" s="95"/>
      <c r="R48" s="95"/>
      <c r="S48" s="95"/>
      <c r="T48" s="95"/>
      <c r="U48" s="95"/>
      <c r="V48" s="95"/>
      <c r="W48" s="95"/>
      <c r="X48" s="95"/>
      <c r="Y48" s="95"/>
      <c r="Z48" s="95"/>
      <c r="AA48" s="95"/>
    </row>
    <row r="49">
      <c r="A49" s="95" t="s">
        <v>5116</v>
      </c>
      <c r="B49" s="95"/>
      <c r="C49" s="95"/>
      <c r="D49" s="95"/>
      <c r="E49" s="95"/>
      <c r="F49" s="95"/>
      <c r="G49" s="95"/>
      <c r="H49" s="95"/>
      <c r="I49" s="95"/>
      <c r="J49" s="95"/>
      <c r="K49" s="95"/>
      <c r="L49" s="95"/>
      <c r="M49" s="95"/>
      <c r="N49" s="95"/>
      <c r="O49" s="95"/>
      <c r="P49" s="95"/>
      <c r="Q49" s="95"/>
      <c r="R49" s="95"/>
      <c r="S49" s="95"/>
      <c r="T49" s="95"/>
      <c r="U49" s="95"/>
      <c r="V49" s="95"/>
      <c r="W49" s="95"/>
      <c r="X49" s="95"/>
      <c r="Y49" s="95"/>
      <c r="Z49" s="95"/>
      <c r="AA49" s="95"/>
    </row>
    <row r="50">
      <c r="A50" s="95" t="s">
        <v>5116</v>
      </c>
      <c r="B50" s="95"/>
      <c r="C50" s="95"/>
      <c r="D50" s="95"/>
      <c r="E50" s="95"/>
      <c r="F50" s="95"/>
      <c r="G50" s="95"/>
      <c r="H50" s="95"/>
      <c r="I50" s="95"/>
      <c r="J50" s="95"/>
      <c r="K50" s="95"/>
      <c r="L50" s="95"/>
      <c r="M50" s="95"/>
      <c r="N50" s="95"/>
      <c r="O50" s="95"/>
      <c r="P50" s="95"/>
      <c r="Q50" s="95"/>
      <c r="R50" s="95"/>
      <c r="S50" s="95"/>
      <c r="T50" s="95"/>
      <c r="U50" s="95"/>
      <c r="V50" s="95"/>
      <c r="W50" s="95"/>
      <c r="X50" s="95"/>
      <c r="Y50" s="95"/>
      <c r="Z50" s="95"/>
      <c r="AA50" s="95"/>
    </row>
    <row r="51">
      <c r="A51" s="95" t="s">
        <v>5116</v>
      </c>
      <c r="B51" s="95"/>
      <c r="C51" s="95"/>
      <c r="D51" s="95"/>
      <c r="E51" s="95"/>
      <c r="F51" s="95"/>
      <c r="G51" s="95"/>
      <c r="H51" s="95"/>
      <c r="I51" s="95"/>
      <c r="J51" s="95"/>
      <c r="K51" s="95"/>
      <c r="L51" s="95"/>
      <c r="M51" s="95"/>
      <c r="N51" s="95"/>
      <c r="O51" s="95"/>
      <c r="P51" s="95"/>
      <c r="Q51" s="95"/>
      <c r="R51" s="95"/>
      <c r="S51" s="95"/>
      <c r="T51" s="95"/>
      <c r="U51" s="95"/>
      <c r="V51" s="95"/>
      <c r="W51" s="95"/>
      <c r="X51" s="95"/>
      <c r="Y51" s="95"/>
      <c r="Z51" s="95"/>
      <c r="AA51" s="95"/>
    </row>
    <row r="52">
      <c r="A52" s="95" t="s">
        <v>5116</v>
      </c>
      <c r="B52" s="95"/>
      <c r="C52" s="95"/>
      <c r="D52" s="95"/>
      <c r="E52" s="95"/>
      <c r="F52" s="95"/>
      <c r="G52" s="95"/>
      <c r="H52" s="95"/>
      <c r="I52" s="95"/>
      <c r="J52" s="95"/>
      <c r="K52" s="95"/>
      <c r="L52" s="95"/>
      <c r="M52" s="95"/>
      <c r="N52" s="95"/>
      <c r="O52" s="95"/>
      <c r="P52" s="95"/>
      <c r="Q52" s="95"/>
      <c r="R52" s="95"/>
      <c r="S52" s="95"/>
      <c r="T52" s="95"/>
      <c r="U52" s="95"/>
      <c r="V52" s="95"/>
      <c r="W52" s="95"/>
      <c r="X52" s="95"/>
      <c r="Y52" s="95"/>
      <c r="Z52" s="95"/>
      <c r="AA52" s="95"/>
    </row>
    <row r="53">
      <c r="A53" s="95" t="s">
        <v>5116</v>
      </c>
      <c r="B53" s="95"/>
      <c r="C53" s="95"/>
      <c r="D53" s="95"/>
      <c r="E53" s="95"/>
      <c r="F53" s="95"/>
      <c r="G53" s="95"/>
      <c r="H53" s="95"/>
      <c r="I53" s="95"/>
      <c r="J53" s="95"/>
      <c r="K53" s="95"/>
      <c r="L53" s="95"/>
      <c r="M53" s="95"/>
      <c r="N53" s="95"/>
      <c r="O53" s="95"/>
      <c r="P53" s="95"/>
      <c r="Q53" s="95"/>
      <c r="R53" s="95"/>
      <c r="S53" s="95"/>
      <c r="T53" s="95"/>
      <c r="U53" s="95"/>
      <c r="V53" s="95"/>
      <c r="W53" s="95"/>
      <c r="X53" s="95"/>
      <c r="Y53" s="95"/>
      <c r="Z53" s="95"/>
      <c r="AA53" s="95"/>
    </row>
    <row r="54">
      <c r="A54" s="95" t="s">
        <v>5116</v>
      </c>
      <c r="B54" s="95"/>
      <c r="C54" s="95"/>
      <c r="D54" s="95"/>
      <c r="E54" s="95"/>
      <c r="F54" s="95"/>
      <c r="G54" s="95"/>
      <c r="H54" s="95"/>
      <c r="I54" s="95"/>
      <c r="J54" s="95"/>
      <c r="K54" s="95"/>
      <c r="L54" s="95"/>
      <c r="M54" s="95"/>
      <c r="N54" s="95"/>
      <c r="O54" s="95"/>
      <c r="P54" s="95"/>
      <c r="Q54" s="95"/>
      <c r="R54" s="95"/>
      <c r="S54" s="95"/>
      <c r="T54" s="95"/>
      <c r="U54" s="95"/>
      <c r="V54" s="95"/>
      <c r="W54" s="95"/>
      <c r="X54" s="95"/>
      <c r="Y54" s="95"/>
      <c r="Z54" s="95"/>
      <c r="AA54" s="95"/>
    </row>
    <row r="55">
      <c r="A55" s="95" t="s">
        <v>5116</v>
      </c>
      <c r="B55" s="95"/>
      <c r="C55" s="95"/>
      <c r="D55" s="95"/>
      <c r="E55" s="95"/>
      <c r="F55" s="95"/>
      <c r="G55" s="95"/>
      <c r="H55" s="95"/>
      <c r="I55" s="95"/>
      <c r="J55" s="95"/>
      <c r="K55" s="95"/>
      <c r="L55" s="95"/>
      <c r="M55" s="95"/>
      <c r="N55" s="95"/>
      <c r="O55" s="95"/>
      <c r="P55" s="95"/>
      <c r="Q55" s="95"/>
      <c r="R55" s="95"/>
      <c r="S55" s="95"/>
      <c r="T55" s="95"/>
      <c r="U55" s="95"/>
      <c r="V55" s="95"/>
      <c r="W55" s="95"/>
      <c r="X55" s="95"/>
      <c r="Y55" s="95"/>
      <c r="Z55" s="95"/>
      <c r="AA55" s="95"/>
    </row>
    <row r="56">
      <c r="A56" s="95" t="s">
        <v>5116</v>
      </c>
      <c r="B56" s="95"/>
      <c r="C56" s="95"/>
      <c r="D56" s="95"/>
      <c r="E56" s="95"/>
      <c r="F56" s="95"/>
      <c r="G56" s="95"/>
      <c r="H56" s="95"/>
      <c r="I56" s="95"/>
      <c r="J56" s="95"/>
      <c r="K56" s="95"/>
      <c r="L56" s="95"/>
      <c r="M56" s="95"/>
      <c r="N56" s="95"/>
      <c r="O56" s="95"/>
      <c r="P56" s="95"/>
      <c r="Q56" s="95"/>
      <c r="R56" s="95"/>
      <c r="S56" s="95"/>
      <c r="T56" s="95"/>
      <c r="U56" s="95"/>
      <c r="V56" s="95"/>
      <c r="W56" s="95"/>
      <c r="X56" s="95"/>
      <c r="Y56" s="95"/>
      <c r="Z56" s="95"/>
      <c r="AA56" s="95"/>
    </row>
    <row r="57">
      <c r="A57" s="95" t="s">
        <v>5116</v>
      </c>
      <c r="B57" s="95"/>
      <c r="C57" s="95"/>
      <c r="D57" s="95"/>
      <c r="E57" s="95"/>
      <c r="F57" s="95"/>
      <c r="G57" s="95"/>
      <c r="H57" s="95"/>
      <c r="I57" s="95"/>
      <c r="J57" s="95"/>
      <c r="K57" s="95"/>
      <c r="L57" s="95"/>
      <c r="M57" s="95"/>
      <c r="N57" s="95"/>
      <c r="O57" s="95"/>
      <c r="P57" s="95"/>
      <c r="Q57" s="95"/>
      <c r="R57" s="95"/>
      <c r="S57" s="95"/>
      <c r="T57" s="95"/>
      <c r="U57" s="95"/>
      <c r="V57" s="95"/>
      <c r="W57" s="95"/>
      <c r="X57" s="95"/>
      <c r="Y57" s="95"/>
      <c r="Z57" s="95"/>
      <c r="AA57" s="95"/>
    </row>
    <row r="58">
      <c r="A58" s="95" t="s">
        <v>5116</v>
      </c>
      <c r="B58" s="95"/>
      <c r="C58" s="95"/>
      <c r="D58" s="95"/>
      <c r="E58" s="95"/>
      <c r="F58" s="95"/>
      <c r="G58" s="95"/>
      <c r="H58" s="95"/>
      <c r="I58" s="95"/>
      <c r="J58" s="95"/>
      <c r="K58" s="95"/>
      <c r="L58" s="95"/>
      <c r="M58" s="95"/>
      <c r="N58" s="95"/>
      <c r="O58" s="95"/>
      <c r="P58" s="95"/>
      <c r="Q58" s="95"/>
      <c r="R58" s="95"/>
      <c r="S58" s="95"/>
      <c r="T58" s="95"/>
      <c r="U58" s="95"/>
      <c r="V58" s="95"/>
      <c r="W58" s="95"/>
      <c r="X58" s="95"/>
      <c r="Y58" s="95"/>
      <c r="Z58" s="95"/>
      <c r="AA58" s="95"/>
    </row>
    <row r="59">
      <c r="A59" s="95" t="s">
        <v>5116</v>
      </c>
      <c r="B59" s="95"/>
      <c r="C59" s="95"/>
      <c r="D59" s="95"/>
      <c r="E59" s="95"/>
      <c r="F59" s="95"/>
      <c r="G59" s="95"/>
      <c r="H59" s="95"/>
      <c r="I59" s="95"/>
      <c r="J59" s="95"/>
      <c r="K59" s="95"/>
      <c r="L59" s="95"/>
      <c r="M59" s="95"/>
      <c r="N59" s="95"/>
      <c r="O59" s="95"/>
      <c r="P59" s="95"/>
      <c r="Q59" s="95"/>
      <c r="R59" s="95"/>
      <c r="S59" s="95"/>
      <c r="T59" s="95"/>
      <c r="U59" s="95"/>
      <c r="V59" s="95"/>
      <c r="W59" s="95"/>
      <c r="X59" s="95"/>
      <c r="Y59" s="95"/>
      <c r="Z59" s="95"/>
      <c r="AA59" s="95"/>
    </row>
    <row r="60">
      <c r="A60" s="95" t="s">
        <v>5116</v>
      </c>
      <c r="B60" s="95"/>
      <c r="C60" s="95"/>
      <c r="D60" s="95"/>
      <c r="E60" s="95"/>
      <c r="F60" s="95"/>
      <c r="G60" s="95"/>
      <c r="H60" s="95"/>
      <c r="I60" s="95"/>
      <c r="J60" s="95"/>
      <c r="K60" s="95"/>
      <c r="L60" s="95"/>
      <c r="M60" s="95"/>
      <c r="N60" s="95"/>
      <c r="O60" s="95"/>
      <c r="P60" s="95"/>
      <c r="Q60" s="95"/>
      <c r="R60" s="95"/>
      <c r="S60" s="95"/>
      <c r="T60" s="95"/>
      <c r="U60" s="95"/>
      <c r="V60" s="95"/>
      <c r="W60" s="95"/>
      <c r="X60" s="95"/>
      <c r="Y60" s="95"/>
      <c r="Z60" s="95"/>
      <c r="AA60" s="95"/>
    </row>
    <row r="61">
      <c r="A61" s="95" t="s">
        <v>5116</v>
      </c>
      <c r="B61" s="95"/>
      <c r="C61" s="95"/>
      <c r="D61" s="95"/>
      <c r="E61" s="95"/>
      <c r="F61" s="95"/>
      <c r="G61" s="95"/>
      <c r="H61" s="95"/>
      <c r="I61" s="95"/>
      <c r="J61" s="95"/>
      <c r="K61" s="95"/>
      <c r="L61" s="95"/>
      <c r="M61" s="95"/>
      <c r="N61" s="95"/>
      <c r="O61" s="95"/>
      <c r="P61" s="95"/>
      <c r="Q61" s="95"/>
      <c r="R61" s="95"/>
      <c r="S61" s="95"/>
      <c r="T61" s="95"/>
      <c r="U61" s="95"/>
      <c r="V61" s="95"/>
      <c r="W61" s="95"/>
      <c r="X61" s="95"/>
      <c r="Y61" s="95"/>
      <c r="Z61" s="95"/>
      <c r="AA61" s="95"/>
    </row>
    <row r="62">
      <c r="A62" s="95" t="s">
        <v>5116</v>
      </c>
      <c r="B62" s="95"/>
      <c r="C62" s="95"/>
      <c r="D62" s="95"/>
      <c r="E62" s="95"/>
      <c r="F62" s="95"/>
      <c r="G62" s="95"/>
      <c r="H62" s="95"/>
      <c r="I62" s="95"/>
      <c r="J62" s="95"/>
      <c r="K62" s="95"/>
      <c r="L62" s="95"/>
      <c r="M62" s="95"/>
      <c r="N62" s="95"/>
      <c r="O62" s="95"/>
      <c r="P62" s="95"/>
      <c r="Q62" s="95"/>
      <c r="R62" s="95"/>
      <c r="S62" s="95"/>
      <c r="T62" s="95"/>
      <c r="U62" s="95"/>
      <c r="V62" s="95"/>
      <c r="W62" s="95"/>
      <c r="X62" s="95"/>
      <c r="Y62" s="95"/>
      <c r="Z62" s="95"/>
      <c r="AA62" s="95"/>
    </row>
    <row r="63">
      <c r="A63" s="95" t="s">
        <v>5116</v>
      </c>
      <c r="B63" s="95"/>
      <c r="C63" s="95"/>
      <c r="D63" s="95"/>
      <c r="E63" s="95"/>
      <c r="F63" s="95"/>
      <c r="G63" s="95"/>
      <c r="H63" s="95"/>
      <c r="I63" s="95"/>
      <c r="J63" s="95"/>
      <c r="K63" s="95"/>
      <c r="L63" s="95"/>
      <c r="M63" s="95"/>
      <c r="N63" s="95"/>
      <c r="O63" s="95"/>
      <c r="P63" s="95"/>
      <c r="Q63" s="95"/>
      <c r="R63" s="95"/>
      <c r="S63" s="95"/>
      <c r="T63" s="95"/>
      <c r="U63" s="95"/>
      <c r="V63" s="95"/>
      <c r="W63" s="95"/>
      <c r="X63" s="95"/>
      <c r="Y63" s="95"/>
      <c r="Z63" s="95"/>
      <c r="AA63" s="95"/>
    </row>
    <row r="64">
      <c r="A64" s="95" t="s">
        <v>5116</v>
      </c>
      <c r="B64" s="95"/>
      <c r="C64" s="95"/>
      <c r="D64" s="95"/>
      <c r="E64" s="95"/>
      <c r="F64" s="95"/>
      <c r="G64" s="95"/>
      <c r="H64" s="95"/>
      <c r="I64" s="95"/>
      <c r="J64" s="95"/>
      <c r="K64" s="95"/>
      <c r="L64" s="95"/>
      <c r="M64" s="95"/>
      <c r="N64" s="95"/>
      <c r="O64" s="95"/>
      <c r="P64" s="95"/>
      <c r="Q64" s="95"/>
      <c r="R64" s="95"/>
      <c r="S64" s="95"/>
      <c r="T64" s="95"/>
      <c r="U64" s="95"/>
      <c r="V64" s="95"/>
      <c r="W64" s="95"/>
      <c r="X64" s="95"/>
      <c r="Y64" s="95"/>
      <c r="Z64" s="95"/>
      <c r="AA64" s="95"/>
    </row>
    <row r="65">
      <c r="A65" s="95" t="s">
        <v>5116</v>
      </c>
      <c r="B65" s="95"/>
      <c r="C65" s="95"/>
      <c r="D65" s="95"/>
      <c r="E65" s="95"/>
      <c r="F65" s="95"/>
      <c r="G65" s="95"/>
      <c r="H65" s="95"/>
      <c r="I65" s="95"/>
      <c r="J65" s="95"/>
      <c r="K65" s="95"/>
      <c r="L65" s="95"/>
      <c r="M65" s="95"/>
      <c r="N65" s="95"/>
      <c r="O65" s="95"/>
      <c r="P65" s="95"/>
      <c r="Q65" s="95"/>
      <c r="R65" s="95"/>
      <c r="S65" s="95"/>
      <c r="T65" s="95"/>
      <c r="U65" s="95"/>
      <c r="V65" s="95"/>
      <c r="W65" s="95"/>
      <c r="X65" s="95"/>
      <c r="Y65" s="95"/>
      <c r="Z65" s="95"/>
      <c r="AA65" s="95"/>
    </row>
    <row r="66">
      <c r="A66" s="95" t="s">
        <v>5116</v>
      </c>
      <c r="B66" s="95"/>
      <c r="C66" s="95"/>
      <c r="D66" s="95"/>
      <c r="E66" s="95"/>
      <c r="F66" s="95"/>
      <c r="G66" s="95"/>
      <c r="H66" s="95"/>
      <c r="I66" s="95"/>
      <c r="J66" s="95"/>
      <c r="K66" s="95"/>
      <c r="L66" s="95"/>
      <c r="M66" s="95"/>
      <c r="N66" s="95"/>
      <c r="O66" s="95"/>
      <c r="P66" s="95"/>
      <c r="Q66" s="95"/>
      <c r="R66" s="95"/>
      <c r="S66" s="95"/>
      <c r="T66" s="95"/>
      <c r="U66" s="95"/>
      <c r="V66" s="95"/>
      <c r="W66" s="95"/>
      <c r="X66" s="95"/>
      <c r="Y66" s="95"/>
      <c r="Z66" s="95"/>
      <c r="AA66" s="95"/>
    </row>
    <row r="67">
      <c r="A67" s="95" t="s">
        <v>5116</v>
      </c>
      <c r="B67" s="95"/>
      <c r="C67" s="95"/>
      <c r="D67" s="95"/>
      <c r="E67" s="95"/>
      <c r="F67" s="95"/>
      <c r="G67" s="95"/>
      <c r="H67" s="95"/>
      <c r="I67" s="95"/>
      <c r="J67" s="95"/>
      <c r="K67" s="95"/>
      <c r="L67" s="95"/>
      <c r="M67" s="95"/>
      <c r="N67" s="95"/>
      <c r="O67" s="95"/>
      <c r="P67" s="95"/>
      <c r="Q67" s="95"/>
      <c r="R67" s="95"/>
      <c r="S67" s="95"/>
      <c r="T67" s="95"/>
      <c r="U67" s="95"/>
      <c r="V67" s="95"/>
      <c r="W67" s="95"/>
      <c r="X67" s="95"/>
      <c r="Y67" s="95"/>
      <c r="Z67" s="95"/>
      <c r="AA67" s="95"/>
    </row>
    <row r="68">
      <c r="A68" s="95" t="s">
        <v>5116</v>
      </c>
      <c r="B68" s="95"/>
      <c r="C68" s="95"/>
      <c r="D68" s="95"/>
      <c r="E68" s="95"/>
      <c r="F68" s="95"/>
      <c r="G68" s="95"/>
      <c r="H68" s="95"/>
      <c r="I68" s="95"/>
      <c r="J68" s="95"/>
      <c r="K68" s="95"/>
      <c r="L68" s="95"/>
      <c r="M68" s="95"/>
      <c r="N68" s="95"/>
      <c r="O68" s="95"/>
      <c r="P68" s="95"/>
      <c r="Q68" s="95"/>
      <c r="R68" s="95"/>
      <c r="S68" s="95"/>
      <c r="T68" s="95"/>
      <c r="U68" s="95"/>
      <c r="V68" s="95"/>
      <c r="W68" s="95"/>
      <c r="X68" s="95"/>
      <c r="Y68" s="95"/>
      <c r="Z68" s="95"/>
      <c r="AA68" s="95"/>
    </row>
    <row r="69">
      <c r="A69" s="95" t="s">
        <v>5116</v>
      </c>
      <c r="B69" s="95"/>
      <c r="C69" s="95"/>
      <c r="D69" s="95"/>
      <c r="E69" s="95"/>
      <c r="F69" s="95"/>
      <c r="G69" s="95"/>
      <c r="H69" s="95"/>
      <c r="I69" s="95"/>
      <c r="J69" s="95"/>
      <c r="K69" s="95"/>
      <c r="L69" s="95"/>
      <c r="M69" s="95"/>
      <c r="N69" s="95"/>
      <c r="O69" s="95"/>
      <c r="P69" s="95"/>
      <c r="Q69" s="95"/>
      <c r="R69" s="95"/>
      <c r="S69" s="95"/>
      <c r="T69" s="95"/>
      <c r="U69" s="95"/>
      <c r="V69" s="95"/>
      <c r="W69" s="95"/>
      <c r="X69" s="95"/>
      <c r="Y69" s="95"/>
      <c r="Z69" s="95"/>
      <c r="AA69" s="95"/>
    </row>
    <row r="70">
      <c r="A70" s="95" t="s">
        <v>5116</v>
      </c>
      <c r="B70" s="95"/>
      <c r="C70" s="95"/>
      <c r="D70" s="95"/>
      <c r="E70" s="95"/>
      <c r="F70" s="95"/>
      <c r="G70" s="95"/>
      <c r="H70" s="95"/>
      <c r="I70" s="95"/>
      <c r="J70" s="95"/>
      <c r="K70" s="95"/>
      <c r="L70" s="95"/>
      <c r="M70" s="95"/>
      <c r="N70" s="95"/>
      <c r="O70" s="95"/>
      <c r="P70" s="95"/>
      <c r="Q70" s="95"/>
      <c r="R70" s="95"/>
      <c r="S70" s="95"/>
      <c r="T70" s="95"/>
      <c r="U70" s="95"/>
      <c r="V70" s="95"/>
      <c r="W70" s="95"/>
      <c r="X70" s="95"/>
      <c r="Y70" s="95"/>
      <c r="Z70" s="95"/>
      <c r="AA70" s="95"/>
    </row>
    <row r="71">
      <c r="A71" s="95" t="s">
        <v>5116</v>
      </c>
      <c r="B71" s="95"/>
      <c r="C71" s="95"/>
      <c r="D71" s="95"/>
      <c r="E71" s="95"/>
      <c r="F71" s="95"/>
      <c r="G71" s="95"/>
      <c r="H71" s="95"/>
      <c r="I71" s="95"/>
      <c r="J71" s="95"/>
      <c r="K71" s="95"/>
      <c r="L71" s="95"/>
      <c r="M71" s="95"/>
      <c r="N71" s="95"/>
      <c r="O71" s="95"/>
      <c r="P71" s="95"/>
      <c r="Q71" s="95"/>
      <c r="R71" s="95"/>
      <c r="S71" s="95"/>
      <c r="T71" s="95"/>
      <c r="U71" s="95"/>
      <c r="V71" s="95"/>
      <c r="W71" s="95"/>
      <c r="X71" s="95"/>
      <c r="Y71" s="95"/>
      <c r="Z71" s="95"/>
      <c r="AA71" s="95"/>
    </row>
    <row r="72">
      <c r="A72" s="95" t="s">
        <v>5116</v>
      </c>
      <c r="B72" s="95"/>
      <c r="C72" s="95"/>
      <c r="D72" s="95"/>
      <c r="E72" s="95"/>
      <c r="F72" s="95"/>
      <c r="G72" s="95"/>
      <c r="H72" s="95"/>
      <c r="I72" s="95"/>
      <c r="J72" s="95"/>
      <c r="K72" s="95"/>
      <c r="L72" s="95"/>
      <c r="M72" s="95"/>
      <c r="N72" s="95"/>
      <c r="O72" s="95"/>
      <c r="P72" s="95"/>
      <c r="Q72" s="95"/>
      <c r="R72" s="95"/>
      <c r="S72" s="95"/>
      <c r="T72" s="95"/>
      <c r="U72" s="95"/>
      <c r="V72" s="95"/>
      <c r="W72" s="95"/>
      <c r="X72" s="95"/>
      <c r="Y72" s="95"/>
      <c r="Z72" s="95"/>
      <c r="AA72" s="95"/>
    </row>
    <row r="73">
      <c r="A73" s="95" t="s">
        <v>5116</v>
      </c>
      <c r="B73" s="95"/>
      <c r="C73" s="95"/>
      <c r="D73" s="95"/>
      <c r="E73" s="95"/>
      <c r="F73" s="95"/>
      <c r="G73" s="95"/>
      <c r="H73" s="95"/>
      <c r="I73" s="95"/>
      <c r="J73" s="95"/>
      <c r="K73" s="95"/>
      <c r="L73" s="95"/>
      <c r="M73" s="95"/>
      <c r="N73" s="95"/>
      <c r="O73" s="95"/>
      <c r="P73" s="95"/>
      <c r="Q73" s="95"/>
      <c r="R73" s="95"/>
      <c r="S73" s="95"/>
      <c r="T73" s="95"/>
      <c r="U73" s="95"/>
      <c r="V73" s="95"/>
      <c r="W73" s="95"/>
      <c r="X73" s="95"/>
      <c r="Y73" s="95"/>
      <c r="Z73" s="95"/>
      <c r="AA73" s="95"/>
    </row>
    <row r="74">
      <c r="A74" s="95" t="s">
        <v>5116</v>
      </c>
      <c r="B74" s="95"/>
      <c r="C74" s="95"/>
      <c r="D74" s="95"/>
      <c r="E74" s="95"/>
      <c r="F74" s="95"/>
      <c r="G74" s="95"/>
      <c r="H74" s="95"/>
      <c r="I74" s="95"/>
      <c r="J74" s="95"/>
      <c r="K74" s="95"/>
      <c r="L74" s="95"/>
      <c r="M74" s="95"/>
      <c r="N74" s="95"/>
      <c r="O74" s="95"/>
      <c r="P74" s="95"/>
      <c r="Q74" s="95"/>
      <c r="R74" s="95"/>
      <c r="S74" s="95"/>
      <c r="T74" s="95"/>
      <c r="U74" s="95"/>
      <c r="V74" s="95"/>
      <c r="W74" s="95"/>
      <c r="X74" s="95"/>
      <c r="Y74" s="95"/>
      <c r="Z74" s="95"/>
      <c r="AA74" s="95"/>
    </row>
    <row r="75">
      <c r="A75" s="95" t="s">
        <v>5116</v>
      </c>
      <c r="B75" s="95"/>
      <c r="C75" s="95"/>
      <c r="D75" s="95"/>
      <c r="E75" s="95"/>
      <c r="F75" s="95"/>
      <c r="G75" s="95"/>
      <c r="H75" s="95"/>
      <c r="I75" s="95"/>
      <c r="J75" s="95"/>
      <c r="K75" s="95"/>
      <c r="L75" s="95"/>
      <c r="M75" s="95"/>
      <c r="N75" s="95"/>
      <c r="O75" s="95"/>
      <c r="P75" s="95"/>
      <c r="Q75" s="95"/>
      <c r="R75" s="95"/>
      <c r="S75" s="95"/>
      <c r="T75" s="95"/>
      <c r="U75" s="95"/>
      <c r="V75" s="95"/>
      <c r="W75" s="95"/>
      <c r="X75" s="95"/>
      <c r="Y75" s="95"/>
      <c r="Z75" s="95"/>
      <c r="AA75" s="95"/>
    </row>
    <row r="76">
      <c r="A76" s="95" t="s">
        <v>5116</v>
      </c>
      <c r="B76" s="95"/>
      <c r="C76" s="95"/>
      <c r="D76" s="95"/>
      <c r="E76" s="95"/>
      <c r="F76" s="95"/>
      <c r="G76" s="95"/>
      <c r="H76" s="95"/>
      <c r="I76" s="95"/>
      <c r="J76" s="95"/>
      <c r="K76" s="95"/>
      <c r="L76" s="95"/>
      <c r="M76" s="95"/>
      <c r="N76" s="95"/>
      <c r="O76" s="95"/>
      <c r="P76" s="95"/>
      <c r="Q76" s="95"/>
      <c r="R76" s="95"/>
      <c r="S76" s="95"/>
      <c r="T76" s="95"/>
      <c r="U76" s="95"/>
      <c r="V76" s="95"/>
      <c r="W76" s="95"/>
      <c r="X76" s="95"/>
      <c r="Y76" s="95"/>
      <c r="Z76" s="95"/>
      <c r="AA76" s="95"/>
    </row>
    <row r="77">
      <c r="A77" s="95" t="s">
        <v>5116</v>
      </c>
      <c r="B77" s="95"/>
      <c r="C77" s="95"/>
      <c r="D77" s="95"/>
      <c r="E77" s="95"/>
      <c r="F77" s="95"/>
      <c r="G77" s="95"/>
      <c r="H77" s="95"/>
      <c r="I77" s="95"/>
      <c r="J77" s="95"/>
      <c r="K77" s="95"/>
      <c r="L77" s="95"/>
      <c r="M77" s="95"/>
      <c r="N77" s="95"/>
      <c r="O77" s="95"/>
      <c r="P77" s="95"/>
      <c r="Q77" s="95"/>
      <c r="R77" s="95"/>
      <c r="S77" s="95"/>
      <c r="T77" s="95"/>
      <c r="U77" s="95"/>
      <c r="V77" s="95"/>
      <c r="W77" s="95"/>
      <c r="X77" s="95"/>
      <c r="Y77" s="95"/>
      <c r="Z77" s="95"/>
      <c r="AA77" s="95"/>
    </row>
    <row r="78">
      <c r="A78" s="95" t="s">
        <v>5116</v>
      </c>
      <c r="B78" s="95"/>
      <c r="C78" s="95"/>
      <c r="D78" s="95"/>
      <c r="E78" s="95"/>
      <c r="F78" s="95"/>
      <c r="G78" s="95"/>
      <c r="H78" s="95"/>
      <c r="I78" s="95"/>
      <c r="J78" s="95"/>
      <c r="K78" s="95"/>
      <c r="L78" s="95"/>
      <c r="M78" s="95"/>
      <c r="N78" s="95"/>
      <c r="O78" s="95"/>
      <c r="P78" s="95"/>
      <c r="Q78" s="95"/>
      <c r="R78" s="95"/>
      <c r="S78" s="95"/>
      <c r="T78" s="95"/>
      <c r="U78" s="95"/>
      <c r="V78" s="95"/>
      <c r="W78" s="95"/>
      <c r="X78" s="95"/>
      <c r="Y78" s="95"/>
      <c r="Z78" s="95"/>
      <c r="AA78" s="95"/>
    </row>
    <row r="79">
      <c r="A79" s="95" t="s">
        <v>5116</v>
      </c>
      <c r="B79" s="95"/>
      <c r="C79" s="95"/>
      <c r="D79" s="95"/>
      <c r="E79" s="95"/>
      <c r="F79" s="95"/>
      <c r="G79" s="95"/>
      <c r="H79" s="95"/>
      <c r="I79" s="95"/>
      <c r="J79" s="95"/>
      <c r="K79" s="95"/>
      <c r="L79" s="95"/>
      <c r="M79" s="95"/>
      <c r="N79" s="95"/>
      <c r="O79" s="95"/>
      <c r="P79" s="95"/>
      <c r="Q79" s="95"/>
      <c r="R79" s="95"/>
      <c r="S79" s="95"/>
      <c r="T79" s="95"/>
      <c r="U79" s="95"/>
      <c r="V79" s="95"/>
      <c r="W79" s="95"/>
      <c r="X79" s="95"/>
      <c r="Y79" s="95"/>
      <c r="Z79" s="95"/>
      <c r="AA79" s="95"/>
    </row>
    <row r="80">
      <c r="A80" s="95" t="s">
        <v>5116</v>
      </c>
      <c r="B80" s="95"/>
      <c r="C80" s="95"/>
      <c r="D80" s="95"/>
      <c r="E80" s="95"/>
      <c r="F80" s="95"/>
      <c r="G80" s="95"/>
      <c r="H80" s="95"/>
      <c r="I80" s="95"/>
      <c r="J80" s="95"/>
      <c r="K80" s="95"/>
      <c r="L80" s="95"/>
      <c r="M80" s="95"/>
      <c r="N80" s="95"/>
      <c r="O80" s="95"/>
      <c r="P80" s="95"/>
      <c r="Q80" s="95"/>
      <c r="R80" s="95"/>
      <c r="S80" s="95"/>
      <c r="T80" s="95"/>
      <c r="U80" s="95"/>
      <c r="V80" s="95"/>
      <c r="W80" s="95"/>
      <c r="X80" s="95"/>
      <c r="Y80" s="95"/>
      <c r="Z80" s="95"/>
      <c r="AA80" s="95"/>
    </row>
    <row r="81">
      <c r="A81" s="95" t="s">
        <v>5116</v>
      </c>
      <c r="B81" s="95"/>
      <c r="C81" s="95"/>
      <c r="D81" s="95"/>
      <c r="E81" s="95"/>
      <c r="F81" s="95"/>
      <c r="G81" s="95"/>
      <c r="H81" s="95"/>
      <c r="I81" s="95"/>
      <c r="J81" s="95"/>
      <c r="K81" s="95"/>
      <c r="L81" s="95"/>
      <c r="M81" s="95"/>
      <c r="N81" s="95"/>
      <c r="O81" s="95"/>
      <c r="P81" s="95"/>
      <c r="Q81" s="95"/>
      <c r="R81" s="95"/>
      <c r="S81" s="95"/>
      <c r="T81" s="95"/>
      <c r="U81" s="95"/>
      <c r="V81" s="95"/>
      <c r="W81" s="95"/>
      <c r="X81" s="95"/>
      <c r="Y81" s="95"/>
      <c r="Z81" s="95"/>
      <c r="AA81" s="95"/>
    </row>
    <row r="82">
      <c r="A82" s="95" t="s">
        <v>5116</v>
      </c>
      <c r="B82" s="95"/>
      <c r="C82" s="95"/>
      <c r="D82" s="95"/>
      <c r="E82" s="95"/>
      <c r="F82" s="95"/>
      <c r="G82" s="95"/>
      <c r="H82" s="95"/>
      <c r="I82" s="95"/>
      <c r="J82" s="95"/>
      <c r="K82" s="95"/>
      <c r="L82" s="95"/>
      <c r="M82" s="95"/>
      <c r="N82" s="95"/>
      <c r="O82" s="95"/>
      <c r="P82" s="95"/>
      <c r="Q82" s="95"/>
      <c r="R82" s="95"/>
      <c r="S82" s="95"/>
      <c r="T82" s="95"/>
      <c r="U82" s="95"/>
      <c r="V82" s="95"/>
      <c r="W82" s="95"/>
      <c r="X82" s="95"/>
      <c r="Y82" s="95"/>
      <c r="Z82" s="95"/>
      <c r="AA82" s="95"/>
    </row>
    <row r="83">
      <c r="A83" s="95" t="s">
        <v>5116</v>
      </c>
      <c r="B83" s="95"/>
      <c r="C83" s="95"/>
      <c r="D83" s="95"/>
      <c r="E83" s="95"/>
      <c r="F83" s="95"/>
      <c r="G83" s="95"/>
      <c r="H83" s="95"/>
      <c r="I83" s="95"/>
      <c r="J83" s="95"/>
      <c r="K83" s="95"/>
      <c r="L83" s="95"/>
      <c r="M83" s="95"/>
      <c r="N83" s="95"/>
      <c r="O83" s="95"/>
      <c r="P83" s="95"/>
      <c r="Q83" s="95"/>
      <c r="R83" s="95"/>
      <c r="S83" s="95"/>
      <c r="T83" s="95"/>
      <c r="U83" s="95"/>
      <c r="V83" s="95"/>
      <c r="W83" s="95"/>
      <c r="X83" s="95"/>
      <c r="Y83" s="95"/>
      <c r="Z83" s="95"/>
      <c r="AA83" s="95"/>
    </row>
    <row r="84">
      <c r="A84" s="95" t="s">
        <v>5116</v>
      </c>
      <c r="B84" s="95"/>
      <c r="C84" s="95"/>
      <c r="D84" s="95"/>
      <c r="E84" s="95"/>
      <c r="F84" s="95"/>
      <c r="G84" s="95"/>
      <c r="H84" s="95"/>
      <c r="I84" s="95"/>
      <c r="J84" s="95"/>
      <c r="K84" s="95"/>
      <c r="L84" s="95"/>
      <c r="M84" s="95"/>
      <c r="N84" s="95"/>
      <c r="O84" s="95"/>
      <c r="P84" s="95"/>
      <c r="Q84" s="95"/>
      <c r="R84" s="95"/>
      <c r="S84" s="95"/>
      <c r="T84" s="95"/>
      <c r="U84" s="95"/>
      <c r="V84" s="95"/>
      <c r="W84" s="95"/>
      <c r="X84" s="95"/>
      <c r="Y84" s="95"/>
      <c r="Z84" s="95"/>
      <c r="AA84" s="95"/>
    </row>
    <row r="85">
      <c r="A85" s="95" t="s">
        <v>5116</v>
      </c>
      <c r="B85" s="95"/>
      <c r="C85" s="95"/>
      <c r="D85" s="95"/>
      <c r="E85" s="95"/>
      <c r="F85" s="95"/>
      <c r="G85" s="95"/>
      <c r="H85" s="95"/>
      <c r="I85" s="95"/>
      <c r="J85" s="95"/>
      <c r="K85" s="95"/>
      <c r="L85" s="95"/>
      <c r="M85" s="95"/>
      <c r="N85" s="95"/>
      <c r="O85" s="95"/>
      <c r="P85" s="95"/>
      <c r="Q85" s="95"/>
      <c r="R85" s="95"/>
      <c r="S85" s="95"/>
      <c r="T85" s="95"/>
      <c r="U85" s="95"/>
      <c r="V85" s="95"/>
      <c r="W85" s="95"/>
      <c r="X85" s="95"/>
      <c r="Y85" s="95"/>
      <c r="Z85" s="95"/>
      <c r="AA85" s="95"/>
    </row>
    <row r="86">
      <c r="A86" s="95" t="s">
        <v>5116</v>
      </c>
      <c r="B86" s="95"/>
      <c r="C86" s="95"/>
      <c r="D86" s="95"/>
      <c r="E86" s="95"/>
      <c r="F86" s="95"/>
      <c r="G86" s="95"/>
      <c r="H86" s="95"/>
      <c r="I86" s="95"/>
      <c r="J86" s="95"/>
      <c r="K86" s="95"/>
      <c r="L86" s="95"/>
      <c r="M86" s="95"/>
      <c r="N86" s="95"/>
      <c r="O86" s="95"/>
      <c r="P86" s="95"/>
      <c r="Q86" s="95"/>
      <c r="R86" s="95"/>
      <c r="S86" s="95"/>
      <c r="T86" s="95"/>
      <c r="U86" s="95"/>
      <c r="V86" s="95"/>
      <c r="W86" s="95"/>
      <c r="X86" s="95"/>
      <c r="Y86" s="95"/>
      <c r="Z86" s="95"/>
      <c r="AA86" s="95"/>
    </row>
    <row r="87">
      <c r="A87" s="95" t="s">
        <v>5116</v>
      </c>
      <c r="B87" s="95"/>
      <c r="C87" s="95"/>
      <c r="D87" s="95"/>
      <c r="E87" s="95"/>
      <c r="F87" s="95"/>
      <c r="G87" s="95"/>
      <c r="H87" s="95"/>
      <c r="I87" s="95"/>
      <c r="J87" s="95"/>
      <c r="K87" s="95"/>
      <c r="L87" s="95"/>
      <c r="M87" s="95"/>
      <c r="N87" s="95"/>
      <c r="O87" s="95"/>
      <c r="P87" s="95"/>
      <c r="Q87" s="95"/>
      <c r="R87" s="95"/>
      <c r="S87" s="95"/>
      <c r="T87" s="95"/>
      <c r="U87" s="95"/>
      <c r="V87" s="95"/>
      <c r="W87" s="95"/>
      <c r="X87" s="95"/>
      <c r="Y87" s="95"/>
      <c r="Z87" s="95"/>
      <c r="AA87" s="95"/>
    </row>
    <row r="88">
      <c r="A88" s="95" t="s">
        <v>5116</v>
      </c>
      <c r="B88" s="95"/>
      <c r="C88" s="95"/>
      <c r="D88" s="95"/>
      <c r="E88" s="95"/>
      <c r="F88" s="95"/>
      <c r="G88" s="95"/>
      <c r="H88" s="95"/>
      <c r="I88" s="95"/>
      <c r="J88" s="95"/>
      <c r="K88" s="95"/>
      <c r="L88" s="95"/>
      <c r="M88" s="95"/>
      <c r="N88" s="95"/>
      <c r="O88" s="95"/>
      <c r="P88" s="95"/>
      <c r="Q88" s="95"/>
      <c r="R88" s="95"/>
      <c r="S88" s="95"/>
      <c r="T88" s="95"/>
      <c r="U88" s="95"/>
      <c r="V88" s="95"/>
      <c r="W88" s="95"/>
      <c r="X88" s="95"/>
      <c r="Y88" s="95"/>
      <c r="Z88" s="95"/>
      <c r="AA88" s="95"/>
    </row>
    <row r="89">
      <c r="A89" s="95" t="s">
        <v>5116</v>
      </c>
      <c r="B89" s="95"/>
      <c r="C89" s="95"/>
      <c r="D89" s="95"/>
      <c r="E89" s="95"/>
      <c r="F89" s="95"/>
      <c r="G89" s="95"/>
      <c r="H89" s="95"/>
      <c r="I89" s="95"/>
      <c r="J89" s="95"/>
      <c r="K89" s="95"/>
      <c r="L89" s="95"/>
      <c r="M89" s="95"/>
      <c r="N89" s="95"/>
      <c r="O89" s="95"/>
      <c r="P89" s="95"/>
      <c r="Q89" s="95"/>
      <c r="R89" s="95"/>
      <c r="S89" s="95"/>
      <c r="T89" s="95"/>
      <c r="U89" s="95"/>
      <c r="V89" s="95"/>
      <c r="W89" s="95"/>
      <c r="X89" s="95"/>
      <c r="Y89" s="95"/>
      <c r="Z89" s="95"/>
      <c r="AA89" s="95"/>
    </row>
    <row r="90">
      <c r="A90" s="95" t="s">
        <v>5116</v>
      </c>
      <c r="B90" s="95"/>
      <c r="C90" s="95"/>
      <c r="D90" s="95"/>
      <c r="E90" s="95"/>
      <c r="F90" s="95"/>
      <c r="G90" s="95"/>
      <c r="H90" s="95"/>
      <c r="I90" s="95"/>
      <c r="J90" s="95"/>
      <c r="K90" s="95"/>
      <c r="L90" s="95"/>
      <c r="M90" s="95"/>
      <c r="N90" s="95"/>
      <c r="O90" s="95"/>
      <c r="P90" s="95"/>
      <c r="Q90" s="95"/>
      <c r="R90" s="95"/>
      <c r="S90" s="95"/>
      <c r="T90" s="95"/>
      <c r="U90" s="95"/>
      <c r="V90" s="95"/>
      <c r="W90" s="95"/>
      <c r="X90" s="95"/>
      <c r="Y90" s="95"/>
      <c r="Z90" s="95"/>
      <c r="AA90" s="95"/>
    </row>
    <row r="91">
      <c r="A91" s="95" t="s">
        <v>5116</v>
      </c>
      <c r="B91" s="95"/>
      <c r="C91" s="95"/>
      <c r="D91" s="95"/>
      <c r="E91" s="95"/>
      <c r="F91" s="95"/>
      <c r="G91" s="95"/>
      <c r="H91" s="95"/>
      <c r="I91" s="95"/>
      <c r="J91" s="95"/>
      <c r="K91" s="95"/>
      <c r="L91" s="95"/>
      <c r="M91" s="95"/>
      <c r="N91" s="95"/>
      <c r="O91" s="95"/>
      <c r="P91" s="95"/>
      <c r="Q91" s="95"/>
      <c r="R91" s="95"/>
      <c r="S91" s="95"/>
      <c r="T91" s="95"/>
      <c r="U91" s="95"/>
      <c r="V91" s="95"/>
      <c r="W91" s="95"/>
      <c r="X91" s="95"/>
      <c r="Y91" s="95"/>
      <c r="Z91" s="95"/>
      <c r="AA91" s="95"/>
    </row>
    <row r="92">
      <c r="A92" s="95" t="s">
        <v>5116</v>
      </c>
      <c r="B92" s="95"/>
      <c r="C92" s="95"/>
      <c r="D92" s="95"/>
      <c r="E92" s="95"/>
      <c r="F92" s="95"/>
      <c r="G92" s="95"/>
      <c r="H92" s="95"/>
      <c r="I92" s="95"/>
      <c r="J92" s="95"/>
      <c r="K92" s="95"/>
      <c r="L92" s="95"/>
      <c r="M92" s="95"/>
      <c r="N92" s="95"/>
      <c r="O92" s="95"/>
      <c r="P92" s="95"/>
      <c r="Q92" s="95"/>
      <c r="R92" s="95"/>
      <c r="S92" s="95"/>
      <c r="T92" s="95"/>
      <c r="U92" s="95"/>
      <c r="V92" s="95"/>
      <c r="W92" s="95"/>
      <c r="X92" s="95"/>
      <c r="Y92" s="95"/>
      <c r="Z92" s="95"/>
      <c r="AA92" s="95"/>
    </row>
    <row r="93">
      <c r="A93" s="95" t="s">
        <v>5116</v>
      </c>
      <c r="B93" s="95"/>
      <c r="C93" s="95"/>
      <c r="D93" s="95"/>
      <c r="E93" s="95"/>
      <c r="F93" s="95"/>
      <c r="G93" s="95"/>
      <c r="H93" s="95"/>
      <c r="I93" s="95"/>
      <c r="J93" s="95"/>
      <c r="K93" s="95"/>
      <c r="L93" s="95"/>
      <c r="M93" s="95"/>
      <c r="N93" s="95"/>
      <c r="O93" s="95"/>
      <c r="P93" s="95"/>
      <c r="Q93" s="95"/>
      <c r="R93" s="95"/>
      <c r="S93" s="95"/>
      <c r="T93" s="95"/>
      <c r="U93" s="95"/>
      <c r="V93" s="95"/>
      <c r="W93" s="95"/>
      <c r="X93" s="95"/>
      <c r="Y93" s="95"/>
      <c r="Z93" s="95"/>
      <c r="AA93" s="95"/>
    </row>
    <row r="94">
      <c r="A94" s="95" t="s">
        <v>5116</v>
      </c>
      <c r="B94" s="95"/>
      <c r="C94" s="95"/>
      <c r="D94" s="95"/>
      <c r="E94" s="95"/>
      <c r="F94" s="95"/>
      <c r="G94" s="95"/>
      <c r="H94" s="95"/>
      <c r="I94" s="95"/>
      <c r="J94" s="95"/>
      <c r="K94" s="95"/>
      <c r="L94" s="95"/>
      <c r="M94" s="95"/>
      <c r="N94" s="95"/>
      <c r="O94" s="95"/>
      <c r="P94" s="95"/>
      <c r="Q94" s="95"/>
      <c r="R94" s="95"/>
      <c r="S94" s="95"/>
      <c r="T94" s="95"/>
      <c r="U94" s="95"/>
      <c r="V94" s="95"/>
      <c r="W94" s="95"/>
      <c r="X94" s="95"/>
      <c r="Y94" s="95"/>
      <c r="Z94" s="95"/>
      <c r="AA94" s="95"/>
    </row>
    <row r="95">
      <c r="A95" s="95" t="s">
        <v>5116</v>
      </c>
      <c r="B95" s="95"/>
      <c r="C95" s="95"/>
      <c r="D95" s="95"/>
      <c r="E95" s="95"/>
      <c r="F95" s="95"/>
      <c r="G95" s="95"/>
      <c r="H95" s="95"/>
      <c r="I95" s="95"/>
      <c r="J95" s="95"/>
      <c r="K95" s="95"/>
      <c r="L95" s="95"/>
      <c r="M95" s="95"/>
      <c r="N95" s="95"/>
      <c r="O95" s="95"/>
      <c r="P95" s="95"/>
      <c r="Q95" s="95"/>
      <c r="R95" s="95"/>
      <c r="S95" s="95"/>
      <c r="T95" s="95"/>
      <c r="U95" s="95"/>
      <c r="V95" s="95"/>
      <c r="W95" s="95"/>
      <c r="X95" s="95"/>
      <c r="Y95" s="95"/>
      <c r="Z95" s="95"/>
      <c r="AA95" s="95"/>
    </row>
    <row r="96">
      <c r="A96" s="95" t="s">
        <v>5116</v>
      </c>
      <c r="B96" s="95"/>
      <c r="C96" s="95"/>
      <c r="D96" s="95"/>
      <c r="E96" s="95"/>
      <c r="F96" s="95"/>
      <c r="G96" s="95"/>
      <c r="H96" s="95"/>
      <c r="I96" s="95"/>
      <c r="J96" s="95"/>
      <c r="K96" s="95"/>
      <c r="L96" s="95"/>
      <c r="M96" s="95"/>
      <c r="N96" s="95"/>
      <c r="O96" s="95"/>
      <c r="P96" s="95"/>
      <c r="Q96" s="95"/>
      <c r="R96" s="95"/>
      <c r="S96" s="95"/>
      <c r="T96" s="95"/>
      <c r="U96" s="95"/>
      <c r="V96" s="95"/>
      <c r="W96" s="95"/>
      <c r="X96" s="95"/>
      <c r="Y96" s="95"/>
      <c r="Z96" s="95"/>
      <c r="AA96" s="95"/>
    </row>
    <row r="97">
      <c r="A97" s="95" t="s">
        <v>5116</v>
      </c>
      <c r="B97" s="95"/>
      <c r="C97" s="95"/>
      <c r="D97" s="95"/>
      <c r="E97" s="95"/>
      <c r="F97" s="95"/>
      <c r="G97" s="95"/>
      <c r="H97" s="95"/>
      <c r="I97" s="95"/>
      <c r="J97" s="95"/>
      <c r="K97" s="95"/>
      <c r="L97" s="95"/>
      <c r="M97" s="95"/>
      <c r="N97" s="95"/>
      <c r="O97" s="95"/>
      <c r="P97" s="95"/>
      <c r="Q97" s="95"/>
      <c r="R97" s="95"/>
      <c r="S97" s="95"/>
      <c r="T97" s="95"/>
      <c r="U97" s="95"/>
      <c r="V97" s="95"/>
      <c r="W97" s="95"/>
      <c r="X97" s="95"/>
      <c r="Y97" s="95"/>
      <c r="Z97" s="95"/>
      <c r="AA97" s="95"/>
    </row>
    <row r="98">
      <c r="A98" s="95" t="s">
        <v>5116</v>
      </c>
      <c r="B98" s="95"/>
      <c r="C98" s="95"/>
      <c r="D98" s="95"/>
      <c r="E98" s="95"/>
      <c r="F98" s="95"/>
      <c r="G98" s="95"/>
      <c r="H98" s="95"/>
      <c r="I98" s="95"/>
      <c r="J98" s="95"/>
      <c r="K98" s="95"/>
      <c r="L98" s="95"/>
      <c r="M98" s="95"/>
      <c r="N98" s="95"/>
      <c r="O98" s="95"/>
      <c r="P98" s="95"/>
      <c r="Q98" s="95"/>
      <c r="R98" s="95"/>
      <c r="S98" s="95"/>
      <c r="T98" s="95"/>
      <c r="U98" s="95"/>
      <c r="V98" s="95"/>
      <c r="W98" s="95"/>
      <c r="X98" s="95"/>
      <c r="Y98" s="95"/>
      <c r="Z98" s="95"/>
      <c r="AA98" s="95"/>
    </row>
    <row r="99">
      <c r="A99" s="95" t="s">
        <v>5116</v>
      </c>
      <c r="B99" s="95"/>
      <c r="C99" s="95"/>
      <c r="D99" s="95"/>
      <c r="E99" s="95"/>
      <c r="F99" s="95"/>
      <c r="G99" s="95"/>
      <c r="H99" s="95"/>
      <c r="I99" s="95"/>
      <c r="J99" s="95"/>
      <c r="K99" s="95"/>
      <c r="L99" s="95"/>
      <c r="M99" s="95"/>
      <c r="N99" s="95"/>
      <c r="O99" s="95"/>
      <c r="P99" s="95"/>
      <c r="Q99" s="95"/>
      <c r="R99" s="95"/>
      <c r="S99" s="95"/>
      <c r="T99" s="95"/>
      <c r="U99" s="95"/>
      <c r="V99" s="95"/>
      <c r="W99" s="95"/>
      <c r="X99" s="95"/>
      <c r="Y99" s="95"/>
      <c r="Z99" s="95"/>
      <c r="AA99" s="95"/>
    </row>
    <row r="100">
      <c r="A100" s="95" t="s">
        <v>5116</v>
      </c>
      <c r="B100" s="95"/>
      <c r="C100" s="95"/>
      <c r="D100" s="95"/>
      <c r="E100" s="95"/>
      <c r="F100" s="95"/>
      <c r="G100" s="95"/>
      <c r="H100" s="95"/>
      <c r="I100" s="95"/>
      <c r="J100" s="95"/>
      <c r="K100" s="95"/>
      <c r="L100" s="95"/>
      <c r="M100" s="95"/>
      <c r="N100" s="95"/>
      <c r="O100" s="95"/>
      <c r="P100" s="95"/>
      <c r="Q100" s="95"/>
      <c r="R100" s="95"/>
      <c r="S100" s="95"/>
      <c r="T100" s="95"/>
      <c r="U100" s="95"/>
      <c r="V100" s="95"/>
      <c r="W100" s="95"/>
      <c r="X100" s="95"/>
      <c r="Y100" s="95"/>
      <c r="Z100" s="95"/>
      <c r="AA100" s="95"/>
    </row>
    <row r="101">
      <c r="A101" s="95" t="s">
        <v>5116</v>
      </c>
      <c r="B101" s="95"/>
      <c r="C101" s="95"/>
      <c r="D101" s="95"/>
      <c r="E101" s="95"/>
      <c r="F101" s="95"/>
      <c r="G101" s="95"/>
      <c r="H101" s="95"/>
      <c r="I101" s="95"/>
      <c r="J101" s="95"/>
      <c r="K101" s="95"/>
      <c r="L101" s="95"/>
      <c r="M101" s="95"/>
      <c r="N101" s="95"/>
      <c r="O101" s="95"/>
      <c r="P101" s="95"/>
      <c r="Q101" s="95"/>
      <c r="R101" s="95"/>
      <c r="S101" s="95"/>
      <c r="T101" s="95"/>
      <c r="U101" s="95"/>
      <c r="V101" s="95"/>
      <c r="W101" s="95"/>
      <c r="X101" s="95"/>
      <c r="Y101" s="95"/>
      <c r="Z101" s="95"/>
      <c r="AA101" s="95"/>
    </row>
    <row r="102">
      <c r="A102" s="95" t="s">
        <v>5116</v>
      </c>
      <c r="B102" s="95"/>
      <c r="C102" s="95"/>
      <c r="D102" s="95"/>
      <c r="E102" s="95"/>
      <c r="F102" s="95"/>
      <c r="G102" s="95"/>
      <c r="H102" s="95"/>
      <c r="I102" s="95"/>
      <c r="J102" s="95"/>
      <c r="K102" s="95"/>
      <c r="L102" s="95"/>
      <c r="M102" s="95"/>
      <c r="N102" s="95"/>
      <c r="O102" s="95"/>
      <c r="P102" s="95"/>
      <c r="Q102" s="95"/>
      <c r="R102" s="95"/>
      <c r="S102" s="95"/>
      <c r="T102" s="95"/>
      <c r="U102" s="95"/>
      <c r="V102" s="95"/>
      <c r="W102" s="95"/>
      <c r="X102" s="95"/>
      <c r="Y102" s="95"/>
      <c r="Z102" s="95"/>
      <c r="AA102" s="95"/>
    </row>
    <row r="103">
      <c r="A103" s="95" t="s">
        <v>5116</v>
      </c>
      <c r="B103" s="95"/>
      <c r="C103" s="95"/>
      <c r="D103" s="95"/>
      <c r="E103" s="95"/>
      <c r="F103" s="95"/>
      <c r="G103" s="95"/>
      <c r="H103" s="95"/>
      <c r="I103" s="95"/>
      <c r="J103" s="95"/>
      <c r="K103" s="95"/>
      <c r="L103" s="95"/>
      <c r="M103" s="95"/>
      <c r="N103" s="95"/>
      <c r="O103" s="95"/>
      <c r="P103" s="95"/>
      <c r="Q103" s="95"/>
      <c r="R103" s="95"/>
      <c r="S103" s="95"/>
      <c r="T103" s="95"/>
      <c r="U103" s="95"/>
      <c r="V103" s="95"/>
      <c r="W103" s="95"/>
      <c r="X103" s="95"/>
      <c r="Y103" s="95"/>
      <c r="Z103" s="95"/>
      <c r="AA103" s="95"/>
    </row>
    <row r="104">
      <c r="A104" s="95" t="s">
        <v>5116</v>
      </c>
      <c r="B104" s="95"/>
      <c r="C104" s="95"/>
      <c r="D104" s="95"/>
      <c r="E104" s="95"/>
      <c r="F104" s="95"/>
      <c r="G104" s="95"/>
      <c r="H104" s="95"/>
      <c r="I104" s="95"/>
      <c r="J104" s="95"/>
      <c r="K104" s="95"/>
      <c r="L104" s="95"/>
      <c r="M104" s="95"/>
      <c r="N104" s="95"/>
      <c r="O104" s="95"/>
      <c r="P104" s="95"/>
      <c r="Q104" s="95"/>
      <c r="R104" s="95"/>
      <c r="S104" s="95"/>
      <c r="T104" s="95"/>
      <c r="U104" s="95"/>
      <c r="V104" s="95"/>
      <c r="W104" s="95"/>
      <c r="X104" s="95"/>
      <c r="Y104" s="95"/>
      <c r="Z104" s="95"/>
      <c r="AA104" s="95"/>
    </row>
    <row r="105">
      <c r="A105" s="95" t="s">
        <v>5116</v>
      </c>
      <c r="B105" s="95"/>
      <c r="C105" s="95"/>
      <c r="D105" s="95"/>
      <c r="E105" s="95"/>
      <c r="F105" s="95"/>
      <c r="G105" s="95"/>
      <c r="H105" s="95"/>
      <c r="I105" s="95"/>
      <c r="J105" s="95"/>
      <c r="K105" s="95"/>
      <c r="L105" s="95"/>
      <c r="M105" s="95"/>
      <c r="N105" s="95"/>
      <c r="O105" s="95"/>
      <c r="P105" s="95"/>
      <c r="Q105" s="95"/>
      <c r="R105" s="95"/>
      <c r="S105" s="95"/>
      <c r="T105" s="95"/>
      <c r="U105" s="95"/>
      <c r="V105" s="95"/>
      <c r="W105" s="95"/>
      <c r="X105" s="95"/>
      <c r="Y105" s="95"/>
      <c r="Z105" s="95"/>
      <c r="AA105" s="95"/>
    </row>
    <row r="106">
      <c r="A106" s="95" t="s">
        <v>5116</v>
      </c>
      <c r="B106" s="95"/>
      <c r="C106" s="95"/>
      <c r="D106" s="95"/>
      <c r="E106" s="95"/>
      <c r="F106" s="95"/>
      <c r="G106" s="95"/>
      <c r="H106" s="95"/>
      <c r="I106" s="95"/>
      <c r="J106" s="95"/>
      <c r="K106" s="95"/>
      <c r="L106" s="95"/>
      <c r="M106" s="95"/>
      <c r="N106" s="95"/>
      <c r="O106" s="95"/>
      <c r="P106" s="95"/>
      <c r="Q106" s="95"/>
      <c r="R106" s="95"/>
      <c r="S106" s="95"/>
      <c r="T106" s="95"/>
      <c r="U106" s="95"/>
      <c r="V106" s="95"/>
      <c r="W106" s="95"/>
      <c r="X106" s="95"/>
      <c r="Y106" s="95"/>
      <c r="Z106" s="95"/>
      <c r="AA106" s="95"/>
    </row>
    <row r="107">
      <c r="A107" s="95" t="s">
        <v>5116</v>
      </c>
      <c r="B107" s="95"/>
      <c r="C107" s="95"/>
      <c r="D107" s="95"/>
      <c r="E107" s="95"/>
      <c r="F107" s="95"/>
      <c r="G107" s="95"/>
      <c r="H107" s="95"/>
      <c r="I107" s="95"/>
      <c r="J107" s="95"/>
      <c r="K107" s="95"/>
      <c r="L107" s="95"/>
      <c r="M107" s="95"/>
      <c r="N107" s="95"/>
      <c r="O107" s="95"/>
      <c r="P107" s="95"/>
      <c r="Q107" s="95"/>
      <c r="R107" s="95"/>
      <c r="S107" s="95"/>
      <c r="T107" s="95"/>
      <c r="U107" s="95"/>
      <c r="V107" s="95"/>
      <c r="W107" s="95"/>
      <c r="X107" s="95"/>
      <c r="Y107" s="95"/>
      <c r="Z107" s="95"/>
      <c r="AA107" s="95"/>
    </row>
    <row r="108">
      <c r="A108" s="95" t="s">
        <v>5116</v>
      </c>
      <c r="B108" s="95"/>
      <c r="C108" s="95"/>
      <c r="D108" s="95"/>
      <c r="E108" s="95"/>
      <c r="F108" s="95"/>
      <c r="G108" s="95"/>
      <c r="H108" s="95"/>
      <c r="I108" s="95"/>
      <c r="J108" s="95"/>
      <c r="K108" s="95"/>
      <c r="L108" s="95"/>
      <c r="M108" s="95"/>
      <c r="N108" s="95"/>
      <c r="O108" s="95"/>
      <c r="P108" s="95"/>
      <c r="Q108" s="95"/>
      <c r="R108" s="95"/>
      <c r="S108" s="95"/>
      <c r="T108" s="95"/>
      <c r="U108" s="95"/>
      <c r="V108" s="95"/>
      <c r="W108" s="95"/>
      <c r="X108" s="95"/>
      <c r="Y108" s="95"/>
      <c r="Z108" s="95"/>
      <c r="AA108" s="95"/>
    </row>
    <row r="109">
      <c r="A109" s="95" t="s">
        <v>5116</v>
      </c>
      <c r="B109" s="95"/>
      <c r="C109" s="95"/>
      <c r="D109" s="95"/>
      <c r="E109" s="95"/>
      <c r="F109" s="95"/>
      <c r="G109" s="95"/>
      <c r="H109" s="95"/>
      <c r="I109" s="95"/>
      <c r="J109" s="95"/>
      <c r="K109" s="95"/>
      <c r="L109" s="95"/>
      <c r="M109" s="95"/>
      <c r="N109" s="95"/>
      <c r="O109" s="95"/>
      <c r="P109" s="95"/>
      <c r="Q109" s="95"/>
      <c r="R109" s="95"/>
      <c r="S109" s="95"/>
      <c r="T109" s="95"/>
      <c r="U109" s="95"/>
      <c r="V109" s="95"/>
      <c r="W109" s="95"/>
      <c r="X109" s="95"/>
      <c r="Y109" s="95"/>
      <c r="Z109" s="95"/>
      <c r="AA109" s="95"/>
    </row>
    <row r="110">
      <c r="A110" s="95" t="s">
        <v>5116</v>
      </c>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c r="AA110" s="95"/>
    </row>
    <row r="111">
      <c r="A111" s="95" t="s">
        <v>5116</v>
      </c>
      <c r="B111" s="95"/>
      <c r="C111" s="95"/>
      <c r="D111" s="95"/>
      <c r="E111" s="95"/>
      <c r="F111" s="95"/>
      <c r="G111" s="95"/>
      <c r="H111" s="95"/>
      <c r="I111" s="95"/>
      <c r="J111" s="95"/>
      <c r="K111" s="95"/>
      <c r="L111" s="95"/>
      <c r="M111" s="95"/>
      <c r="N111" s="95"/>
      <c r="O111" s="95"/>
      <c r="P111" s="95"/>
      <c r="Q111" s="95"/>
      <c r="R111" s="95"/>
      <c r="S111" s="95"/>
      <c r="T111" s="95"/>
      <c r="U111" s="95"/>
      <c r="V111" s="95"/>
      <c r="W111" s="95"/>
      <c r="X111" s="95"/>
      <c r="Y111" s="95"/>
      <c r="Z111" s="95"/>
      <c r="AA111" s="95"/>
    </row>
    <row r="112">
      <c r="A112" s="95" t="s">
        <v>5116</v>
      </c>
      <c r="B112" s="95"/>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5"/>
      <c r="AA112" s="95"/>
    </row>
    <row r="113">
      <c r="A113" s="95" t="s">
        <v>5116</v>
      </c>
      <c r="B113" s="95"/>
      <c r="C113" s="95"/>
      <c r="D113" s="95"/>
      <c r="E113" s="95"/>
      <c r="F113" s="95"/>
      <c r="G113" s="95"/>
      <c r="H113" s="95"/>
      <c r="I113" s="95"/>
      <c r="J113" s="95"/>
      <c r="K113" s="95"/>
      <c r="L113" s="95"/>
      <c r="M113" s="95"/>
      <c r="N113" s="95"/>
      <c r="O113" s="95"/>
      <c r="P113" s="95"/>
      <c r="Q113" s="95"/>
      <c r="R113" s="95"/>
      <c r="S113" s="95"/>
      <c r="T113" s="95"/>
      <c r="U113" s="95"/>
      <c r="V113" s="95"/>
      <c r="W113" s="95"/>
      <c r="X113" s="95"/>
      <c r="Y113" s="95"/>
      <c r="Z113" s="95"/>
      <c r="AA113" s="95"/>
    </row>
    <row r="114">
      <c r="A114" s="95" t="s">
        <v>5116</v>
      </c>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c r="AA114" s="95"/>
    </row>
    <row r="115">
      <c r="A115" s="95" t="s">
        <v>5116</v>
      </c>
      <c r="B115" s="95"/>
      <c r="C115" s="95"/>
      <c r="D115" s="95"/>
      <c r="E115" s="95"/>
      <c r="F115" s="95"/>
      <c r="G115" s="95"/>
      <c r="H115" s="95"/>
      <c r="I115" s="95"/>
      <c r="J115" s="95"/>
      <c r="K115" s="95"/>
      <c r="L115" s="95"/>
      <c r="M115" s="95"/>
      <c r="N115" s="95"/>
      <c r="O115" s="95"/>
      <c r="P115" s="95"/>
      <c r="Q115" s="95"/>
      <c r="R115" s="95"/>
      <c r="S115" s="95"/>
      <c r="T115" s="95"/>
      <c r="U115" s="95"/>
      <c r="V115" s="95"/>
      <c r="W115" s="95"/>
      <c r="X115" s="95"/>
      <c r="Y115" s="95"/>
      <c r="Z115" s="95"/>
      <c r="AA115" s="95"/>
    </row>
    <row r="116">
      <c r="A116" s="95" t="s">
        <v>5116</v>
      </c>
      <c r="B116" s="95"/>
      <c r="C116" s="95"/>
      <c r="D116" s="95"/>
      <c r="E116" s="95"/>
      <c r="F116" s="95"/>
      <c r="G116" s="95"/>
      <c r="H116" s="95"/>
      <c r="I116" s="95"/>
      <c r="J116" s="95"/>
      <c r="K116" s="95"/>
      <c r="L116" s="95"/>
      <c r="M116" s="95"/>
      <c r="N116" s="95"/>
      <c r="O116" s="95"/>
      <c r="P116" s="95"/>
      <c r="Q116" s="95"/>
      <c r="R116" s="95"/>
      <c r="S116" s="95"/>
      <c r="T116" s="95"/>
      <c r="U116" s="95"/>
      <c r="V116" s="95"/>
      <c r="W116" s="95"/>
      <c r="X116" s="95"/>
      <c r="Y116" s="95"/>
      <c r="Z116" s="95"/>
      <c r="AA116" s="95"/>
    </row>
    <row r="117">
      <c r="A117" s="95" t="s">
        <v>5116</v>
      </c>
      <c r="B117" s="95"/>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5"/>
      <c r="AA117" s="95"/>
    </row>
    <row r="118">
      <c r="A118" s="95" t="s">
        <v>5116</v>
      </c>
      <c r="B118" s="95"/>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5"/>
      <c r="AA118" s="95"/>
    </row>
    <row r="119">
      <c r="A119" s="95" t="s">
        <v>5116</v>
      </c>
      <c r="B119" s="95"/>
      <c r="C119" s="95"/>
      <c r="D119" s="95"/>
      <c r="E119" s="95"/>
      <c r="F119" s="95"/>
      <c r="G119" s="95"/>
      <c r="H119" s="95"/>
      <c r="I119" s="95"/>
      <c r="J119" s="95"/>
      <c r="K119" s="95"/>
      <c r="L119" s="95"/>
      <c r="M119" s="95"/>
      <c r="N119" s="95"/>
      <c r="O119" s="95"/>
      <c r="P119" s="95"/>
      <c r="Q119" s="95"/>
      <c r="R119" s="95"/>
      <c r="S119" s="95"/>
      <c r="T119" s="95"/>
      <c r="U119" s="95"/>
      <c r="V119" s="95"/>
      <c r="W119" s="95"/>
      <c r="X119" s="95"/>
      <c r="Y119" s="95"/>
      <c r="Z119" s="95"/>
      <c r="AA119" s="95"/>
    </row>
    <row r="120">
      <c r="A120" s="95" t="s">
        <v>5116</v>
      </c>
      <c r="B120" s="95"/>
      <c r="C120" s="95"/>
      <c r="D120" s="95"/>
      <c r="E120" s="95"/>
      <c r="F120" s="95"/>
      <c r="G120" s="95"/>
      <c r="H120" s="95"/>
      <c r="I120" s="95"/>
      <c r="J120" s="95"/>
      <c r="K120" s="95"/>
      <c r="L120" s="95"/>
      <c r="M120" s="95"/>
      <c r="N120" s="95"/>
      <c r="O120" s="95"/>
      <c r="P120" s="95"/>
      <c r="Q120" s="95"/>
      <c r="R120" s="95"/>
      <c r="S120" s="95"/>
      <c r="T120" s="95"/>
      <c r="U120" s="95"/>
      <c r="V120" s="95"/>
      <c r="W120" s="95"/>
      <c r="X120" s="95"/>
      <c r="Y120" s="95"/>
      <c r="Z120" s="95"/>
      <c r="AA120" s="95"/>
    </row>
    <row r="121">
      <c r="A121" s="95" t="s">
        <v>5116</v>
      </c>
      <c r="B121" s="95"/>
      <c r="C121" s="95"/>
      <c r="D121" s="95"/>
      <c r="E121" s="95"/>
      <c r="F121" s="95"/>
      <c r="G121" s="95"/>
      <c r="H121" s="95"/>
      <c r="I121" s="95"/>
      <c r="J121" s="95"/>
      <c r="K121" s="95"/>
      <c r="L121" s="95"/>
      <c r="M121" s="95"/>
      <c r="N121" s="95"/>
      <c r="O121" s="95"/>
      <c r="P121" s="95"/>
      <c r="Q121" s="95"/>
      <c r="R121" s="95"/>
      <c r="S121" s="95"/>
      <c r="T121" s="95"/>
      <c r="U121" s="95"/>
      <c r="V121" s="95"/>
      <c r="W121" s="95"/>
      <c r="X121" s="95"/>
      <c r="Y121" s="95"/>
      <c r="Z121" s="95"/>
      <c r="AA121" s="95"/>
    </row>
    <row r="122">
      <c r="A122" s="95" t="s">
        <v>5116</v>
      </c>
      <c r="B122" s="95"/>
      <c r="C122" s="95"/>
      <c r="D122" s="95"/>
      <c r="E122" s="95"/>
      <c r="F122" s="95"/>
      <c r="G122" s="95"/>
      <c r="H122" s="95"/>
      <c r="I122" s="95"/>
      <c r="J122" s="95"/>
      <c r="K122" s="95"/>
      <c r="L122" s="95"/>
      <c r="M122" s="95"/>
      <c r="N122" s="95"/>
      <c r="O122" s="95"/>
      <c r="P122" s="95"/>
      <c r="Q122" s="95"/>
      <c r="R122" s="95"/>
      <c r="S122" s="95"/>
      <c r="T122" s="95"/>
      <c r="U122" s="95"/>
      <c r="V122" s="95"/>
      <c r="W122" s="95"/>
      <c r="X122" s="95"/>
      <c r="Y122" s="95"/>
      <c r="Z122" s="95"/>
      <c r="AA122" s="95"/>
    </row>
    <row r="123">
      <c r="A123" s="95" t="s">
        <v>5116</v>
      </c>
      <c r="B123" s="95"/>
      <c r="C123" s="95"/>
      <c r="D123" s="95"/>
      <c r="E123" s="95"/>
      <c r="F123" s="95"/>
      <c r="G123" s="95"/>
      <c r="H123" s="95"/>
      <c r="I123" s="95"/>
      <c r="J123" s="95"/>
      <c r="K123" s="95"/>
      <c r="L123" s="95"/>
      <c r="M123" s="95"/>
      <c r="N123" s="95"/>
      <c r="O123" s="95"/>
      <c r="P123" s="95"/>
      <c r="Q123" s="95"/>
      <c r="R123" s="95"/>
      <c r="S123" s="95"/>
      <c r="T123" s="95"/>
      <c r="U123" s="95"/>
      <c r="V123" s="95"/>
      <c r="W123" s="95"/>
      <c r="X123" s="95"/>
      <c r="Y123" s="95"/>
      <c r="Z123" s="95"/>
      <c r="AA123" s="95"/>
    </row>
    <row r="124">
      <c r="A124" s="95" t="s">
        <v>5116</v>
      </c>
      <c r="B124" s="95"/>
      <c r="C124" s="95"/>
      <c r="D124" s="95"/>
      <c r="E124" s="95"/>
      <c r="F124" s="95"/>
      <c r="G124" s="95"/>
      <c r="H124" s="95"/>
      <c r="I124" s="95"/>
      <c r="J124" s="95"/>
      <c r="K124" s="95"/>
      <c r="L124" s="95"/>
      <c r="M124" s="95"/>
      <c r="N124" s="95"/>
      <c r="O124" s="95"/>
      <c r="P124" s="95"/>
      <c r="Q124" s="95"/>
      <c r="R124" s="95"/>
      <c r="S124" s="95"/>
      <c r="T124" s="95"/>
      <c r="U124" s="95"/>
      <c r="V124" s="95"/>
      <c r="W124" s="95"/>
      <c r="X124" s="95"/>
      <c r="Y124" s="95"/>
      <c r="Z124" s="95"/>
      <c r="AA124" s="95"/>
    </row>
    <row r="125">
      <c r="A125" s="95" t="s">
        <v>5116</v>
      </c>
      <c r="B125" s="95"/>
      <c r="C125" s="95"/>
      <c r="D125" s="95"/>
      <c r="E125" s="95"/>
      <c r="F125" s="95"/>
      <c r="G125" s="95"/>
      <c r="H125" s="95"/>
      <c r="I125" s="95"/>
      <c r="J125" s="95"/>
      <c r="K125" s="95"/>
      <c r="L125" s="95"/>
      <c r="M125" s="95"/>
      <c r="N125" s="95"/>
      <c r="O125" s="95"/>
      <c r="P125" s="95"/>
      <c r="Q125" s="95"/>
      <c r="R125" s="95"/>
      <c r="S125" s="95"/>
      <c r="T125" s="95"/>
      <c r="U125" s="95"/>
      <c r="V125" s="95"/>
      <c r="W125" s="95"/>
      <c r="X125" s="95"/>
      <c r="Y125" s="95"/>
      <c r="Z125" s="95"/>
      <c r="AA125" s="95"/>
    </row>
    <row r="126">
      <c r="A126" s="95" t="s">
        <v>5116</v>
      </c>
      <c r="B126" s="95"/>
      <c r="C126" s="95"/>
      <c r="D126" s="95"/>
      <c r="E126" s="95"/>
      <c r="F126" s="95"/>
      <c r="G126" s="95"/>
      <c r="H126" s="95"/>
      <c r="I126" s="95"/>
      <c r="J126" s="95"/>
      <c r="K126" s="95"/>
      <c r="L126" s="95"/>
      <c r="M126" s="95"/>
      <c r="N126" s="95"/>
      <c r="O126" s="95"/>
      <c r="P126" s="95"/>
      <c r="Q126" s="95"/>
      <c r="R126" s="95"/>
      <c r="S126" s="95"/>
      <c r="T126" s="95"/>
      <c r="U126" s="95"/>
      <c r="V126" s="95"/>
      <c r="W126" s="95"/>
      <c r="X126" s="95"/>
      <c r="Y126" s="95"/>
      <c r="Z126" s="95"/>
      <c r="AA126" s="95"/>
    </row>
    <row r="127">
      <c r="A127" s="95" t="s">
        <v>5116</v>
      </c>
      <c r="B127" s="95"/>
      <c r="C127" s="95"/>
      <c r="D127" s="95"/>
      <c r="E127" s="95"/>
      <c r="F127" s="95"/>
      <c r="G127" s="95"/>
      <c r="H127" s="95"/>
      <c r="I127" s="95"/>
      <c r="J127" s="95"/>
      <c r="K127" s="95"/>
      <c r="L127" s="95"/>
      <c r="M127" s="95"/>
      <c r="N127" s="95"/>
      <c r="O127" s="95"/>
      <c r="P127" s="95"/>
      <c r="Q127" s="95"/>
      <c r="R127" s="95"/>
      <c r="S127" s="95"/>
      <c r="T127" s="95"/>
      <c r="U127" s="95"/>
      <c r="V127" s="95"/>
      <c r="W127" s="95"/>
      <c r="X127" s="95"/>
      <c r="Y127" s="95"/>
      <c r="Z127" s="95"/>
      <c r="AA127" s="95"/>
    </row>
    <row r="128">
      <c r="A128" s="95" t="s">
        <v>5116</v>
      </c>
      <c r="B128" s="95"/>
      <c r="C128" s="95"/>
      <c r="D128" s="95"/>
      <c r="E128" s="95"/>
      <c r="F128" s="95"/>
      <c r="G128" s="95"/>
      <c r="H128" s="95"/>
      <c r="I128" s="95"/>
      <c r="J128" s="95"/>
      <c r="K128" s="95"/>
      <c r="L128" s="95"/>
      <c r="M128" s="95"/>
      <c r="N128" s="95"/>
      <c r="O128" s="95"/>
      <c r="P128" s="95"/>
      <c r="Q128" s="95"/>
      <c r="R128" s="95"/>
      <c r="S128" s="95"/>
      <c r="T128" s="95"/>
      <c r="U128" s="95"/>
      <c r="V128" s="95"/>
      <c r="W128" s="95"/>
      <c r="X128" s="95"/>
      <c r="Y128" s="95"/>
      <c r="Z128" s="95"/>
      <c r="AA128" s="95"/>
    </row>
    <row r="129">
      <c r="A129" s="95" t="s">
        <v>5116</v>
      </c>
      <c r="B129" s="95"/>
      <c r="C129" s="95"/>
      <c r="D129" s="95"/>
      <c r="E129" s="95"/>
      <c r="F129" s="95"/>
      <c r="G129" s="95"/>
      <c r="H129" s="95"/>
      <c r="I129" s="95"/>
      <c r="J129" s="95"/>
      <c r="K129" s="95"/>
      <c r="L129" s="95"/>
      <c r="M129" s="95"/>
      <c r="N129" s="95"/>
      <c r="O129" s="95"/>
      <c r="P129" s="95"/>
      <c r="Q129" s="95"/>
      <c r="R129" s="95"/>
      <c r="S129" s="95"/>
      <c r="T129" s="95"/>
      <c r="U129" s="95"/>
      <c r="V129" s="95"/>
      <c r="W129" s="95"/>
      <c r="X129" s="95"/>
      <c r="Y129" s="95"/>
      <c r="Z129" s="95"/>
      <c r="AA129" s="95"/>
    </row>
    <row r="130">
      <c r="A130" s="95" t="s">
        <v>5116</v>
      </c>
      <c r="B130" s="95"/>
      <c r="C130" s="95"/>
      <c r="D130" s="95"/>
      <c r="E130" s="95"/>
      <c r="F130" s="95"/>
      <c r="G130" s="95"/>
      <c r="H130" s="95"/>
      <c r="I130" s="95"/>
      <c r="J130" s="95"/>
      <c r="K130" s="95"/>
      <c r="L130" s="95"/>
      <c r="M130" s="95"/>
      <c r="N130" s="95"/>
      <c r="O130" s="95"/>
      <c r="P130" s="95"/>
      <c r="Q130" s="95"/>
      <c r="R130" s="95"/>
      <c r="S130" s="95"/>
      <c r="T130" s="95"/>
      <c r="U130" s="95"/>
      <c r="V130" s="95"/>
      <c r="W130" s="95"/>
      <c r="X130" s="95"/>
      <c r="Y130" s="95"/>
      <c r="Z130" s="95"/>
      <c r="AA130" s="95"/>
    </row>
    <row r="131">
      <c r="A131" s="95" t="s">
        <v>5116</v>
      </c>
      <c r="B131" s="95"/>
      <c r="C131" s="95"/>
      <c r="D131" s="95"/>
      <c r="E131" s="95"/>
      <c r="F131" s="95"/>
      <c r="G131" s="95"/>
      <c r="H131" s="95"/>
      <c r="I131" s="95"/>
      <c r="J131" s="95"/>
      <c r="K131" s="95"/>
      <c r="L131" s="95"/>
      <c r="M131" s="95"/>
      <c r="N131" s="95"/>
      <c r="O131" s="95"/>
      <c r="P131" s="95"/>
      <c r="Q131" s="95"/>
      <c r="R131" s="95"/>
      <c r="S131" s="95"/>
      <c r="T131" s="95"/>
      <c r="U131" s="95"/>
      <c r="V131" s="95"/>
      <c r="W131" s="95"/>
      <c r="X131" s="95"/>
      <c r="Y131" s="95"/>
      <c r="Z131" s="95"/>
      <c r="AA131" s="95"/>
    </row>
    <row r="132">
      <c r="A132" s="95" t="s">
        <v>5116</v>
      </c>
      <c r="B132" s="95"/>
      <c r="C132" s="95"/>
      <c r="D132" s="95"/>
      <c r="E132" s="95"/>
      <c r="F132" s="95"/>
      <c r="G132" s="95"/>
      <c r="H132" s="95"/>
      <c r="I132" s="95"/>
      <c r="J132" s="95"/>
      <c r="K132" s="95"/>
      <c r="L132" s="95"/>
      <c r="M132" s="95"/>
      <c r="N132" s="95"/>
      <c r="O132" s="95"/>
      <c r="P132" s="95"/>
      <c r="Q132" s="95"/>
      <c r="R132" s="95"/>
      <c r="S132" s="95"/>
      <c r="T132" s="95"/>
      <c r="U132" s="95"/>
      <c r="V132" s="95"/>
      <c r="W132" s="95"/>
      <c r="X132" s="95"/>
      <c r="Y132" s="95"/>
      <c r="Z132" s="95"/>
      <c r="AA132" s="95"/>
    </row>
    <row r="133">
      <c r="A133" s="95" t="s">
        <v>5116</v>
      </c>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c r="AA133" s="95"/>
    </row>
    <row r="134">
      <c r="A134" s="95" t="s">
        <v>5116</v>
      </c>
      <c r="B134" s="95"/>
      <c r="C134" s="95"/>
      <c r="D134" s="95"/>
      <c r="E134" s="95"/>
      <c r="F134" s="95"/>
      <c r="G134" s="95"/>
      <c r="H134" s="95"/>
      <c r="I134" s="95"/>
      <c r="J134" s="95"/>
      <c r="K134" s="95"/>
      <c r="L134" s="95"/>
      <c r="M134" s="95"/>
      <c r="N134" s="95"/>
      <c r="O134" s="95"/>
      <c r="P134" s="95"/>
      <c r="Q134" s="95"/>
      <c r="R134" s="95"/>
      <c r="S134" s="95"/>
      <c r="T134" s="95"/>
      <c r="U134" s="95"/>
      <c r="V134" s="95"/>
      <c r="W134" s="95"/>
      <c r="X134" s="95"/>
      <c r="Y134" s="95"/>
      <c r="Z134" s="95"/>
      <c r="AA134" s="95"/>
    </row>
    <row r="135">
      <c r="A135" s="95" t="s">
        <v>5116</v>
      </c>
      <c r="B135" s="95"/>
      <c r="C135" s="95"/>
      <c r="D135" s="95"/>
      <c r="E135" s="95"/>
      <c r="F135" s="95"/>
      <c r="G135" s="95"/>
      <c r="H135" s="95"/>
      <c r="I135" s="95"/>
      <c r="J135" s="95"/>
      <c r="K135" s="95"/>
      <c r="L135" s="95"/>
      <c r="M135" s="95"/>
      <c r="N135" s="95"/>
      <c r="O135" s="95"/>
      <c r="P135" s="95"/>
      <c r="Q135" s="95"/>
      <c r="R135" s="95"/>
      <c r="S135" s="95"/>
      <c r="T135" s="95"/>
      <c r="U135" s="95"/>
      <c r="V135" s="95"/>
      <c r="W135" s="95"/>
      <c r="X135" s="95"/>
      <c r="Y135" s="95"/>
      <c r="Z135" s="95"/>
      <c r="AA135" s="95"/>
    </row>
    <row r="136">
      <c r="A136" s="95" t="s">
        <v>5116</v>
      </c>
      <c r="B136" s="95"/>
      <c r="C136" s="95"/>
      <c r="D136" s="95"/>
      <c r="E136" s="95"/>
      <c r="F136" s="95"/>
      <c r="G136" s="95"/>
      <c r="H136" s="95"/>
      <c r="I136" s="95"/>
      <c r="J136" s="95"/>
      <c r="K136" s="95"/>
      <c r="L136" s="95"/>
      <c r="M136" s="95"/>
      <c r="N136" s="95"/>
      <c r="O136" s="95"/>
      <c r="P136" s="95"/>
      <c r="Q136" s="95"/>
      <c r="R136" s="95"/>
      <c r="S136" s="95"/>
      <c r="T136" s="95"/>
      <c r="U136" s="95"/>
      <c r="V136" s="95"/>
      <c r="W136" s="95"/>
      <c r="X136" s="95"/>
      <c r="Y136" s="95"/>
      <c r="Z136" s="95"/>
      <c r="AA136" s="95"/>
    </row>
    <row r="137">
      <c r="A137" s="95" t="s">
        <v>5116</v>
      </c>
      <c r="B137" s="95"/>
      <c r="C137" s="95"/>
      <c r="D137" s="95"/>
      <c r="E137" s="95"/>
      <c r="F137" s="95"/>
      <c r="G137" s="95"/>
      <c r="H137" s="95"/>
      <c r="I137" s="95"/>
      <c r="J137" s="95"/>
      <c r="K137" s="95"/>
      <c r="L137" s="95"/>
      <c r="M137" s="95"/>
      <c r="N137" s="95"/>
      <c r="O137" s="95"/>
      <c r="P137" s="95"/>
      <c r="Q137" s="95"/>
      <c r="R137" s="95"/>
      <c r="S137" s="95"/>
      <c r="T137" s="95"/>
      <c r="U137" s="95"/>
      <c r="V137" s="95"/>
      <c r="W137" s="95"/>
      <c r="X137" s="95"/>
      <c r="Y137" s="95"/>
      <c r="Z137" s="95"/>
      <c r="AA137" s="95"/>
    </row>
    <row r="138">
      <c r="A138" s="95" t="s">
        <v>5116</v>
      </c>
      <c r="B138" s="95"/>
      <c r="C138" s="95"/>
      <c r="D138" s="95"/>
      <c r="E138" s="95"/>
      <c r="F138" s="95"/>
      <c r="G138" s="95"/>
      <c r="H138" s="95"/>
      <c r="I138" s="95"/>
      <c r="J138" s="95"/>
      <c r="K138" s="95"/>
      <c r="L138" s="95"/>
      <c r="M138" s="95"/>
      <c r="N138" s="95"/>
      <c r="O138" s="95"/>
      <c r="P138" s="95"/>
      <c r="Q138" s="95"/>
      <c r="R138" s="95"/>
      <c r="S138" s="95"/>
      <c r="T138" s="95"/>
      <c r="U138" s="95"/>
      <c r="V138" s="95"/>
      <c r="W138" s="95"/>
      <c r="X138" s="95"/>
      <c r="Y138" s="95"/>
      <c r="Z138" s="95"/>
      <c r="AA138" s="95"/>
    </row>
    <row r="139">
      <c r="A139" s="95" t="s">
        <v>5116</v>
      </c>
      <c r="B139" s="95"/>
      <c r="C139" s="95"/>
      <c r="D139" s="95"/>
      <c r="E139" s="95"/>
      <c r="F139" s="95"/>
      <c r="G139" s="95"/>
      <c r="H139" s="95"/>
      <c r="I139" s="95"/>
      <c r="J139" s="95"/>
      <c r="K139" s="95"/>
      <c r="L139" s="95"/>
      <c r="M139" s="95"/>
      <c r="N139" s="95"/>
      <c r="O139" s="95"/>
      <c r="P139" s="95"/>
      <c r="Q139" s="95"/>
      <c r="R139" s="95"/>
      <c r="S139" s="95"/>
      <c r="T139" s="95"/>
      <c r="U139" s="95"/>
      <c r="V139" s="95"/>
      <c r="W139" s="95"/>
      <c r="X139" s="95"/>
      <c r="Y139" s="95"/>
      <c r="Z139" s="95"/>
      <c r="AA139" s="95"/>
    </row>
    <row r="140">
      <c r="A140" s="95" t="s">
        <v>5116</v>
      </c>
      <c r="B140" s="95"/>
      <c r="C140" s="95"/>
      <c r="D140" s="95"/>
      <c r="E140" s="95"/>
      <c r="F140" s="95"/>
      <c r="G140" s="95"/>
      <c r="H140" s="95"/>
      <c r="I140" s="95"/>
      <c r="J140" s="95"/>
      <c r="K140" s="95"/>
      <c r="L140" s="95"/>
      <c r="M140" s="95"/>
      <c r="N140" s="95"/>
      <c r="O140" s="95"/>
      <c r="P140" s="95"/>
      <c r="Q140" s="95"/>
      <c r="R140" s="95"/>
      <c r="S140" s="95"/>
      <c r="T140" s="95"/>
      <c r="U140" s="95"/>
      <c r="V140" s="95"/>
      <c r="W140" s="95"/>
      <c r="X140" s="95"/>
      <c r="Y140" s="95"/>
      <c r="Z140" s="95"/>
      <c r="AA140" s="95"/>
    </row>
    <row r="141">
      <c r="A141" s="95" t="s">
        <v>5116</v>
      </c>
      <c r="B141" s="95"/>
      <c r="C141" s="95"/>
      <c r="D141" s="95"/>
      <c r="E141" s="95"/>
      <c r="F141" s="95"/>
      <c r="G141" s="95"/>
      <c r="H141" s="95"/>
      <c r="I141" s="95"/>
      <c r="J141" s="95"/>
      <c r="K141" s="95"/>
      <c r="L141" s="95"/>
      <c r="M141" s="95"/>
      <c r="N141" s="95"/>
      <c r="O141" s="95"/>
      <c r="P141" s="95"/>
      <c r="Q141" s="95"/>
      <c r="R141" s="95"/>
      <c r="S141" s="95"/>
      <c r="T141" s="95"/>
      <c r="U141" s="95"/>
      <c r="V141" s="95"/>
      <c r="W141" s="95"/>
      <c r="X141" s="95"/>
      <c r="Y141" s="95"/>
      <c r="Z141" s="95"/>
      <c r="AA141" s="95"/>
    </row>
    <row r="142">
      <c r="A142" s="95" t="s">
        <v>5116</v>
      </c>
      <c r="B142" s="95"/>
      <c r="C142" s="95"/>
      <c r="D142" s="95"/>
      <c r="E142" s="95"/>
      <c r="F142" s="95"/>
      <c r="G142" s="95"/>
      <c r="H142" s="95"/>
      <c r="I142" s="95"/>
      <c r="J142" s="95"/>
      <c r="K142" s="95"/>
      <c r="L142" s="95"/>
      <c r="M142" s="95"/>
      <c r="N142" s="95"/>
      <c r="O142" s="95"/>
      <c r="P142" s="95"/>
      <c r="Q142" s="95"/>
      <c r="R142" s="95"/>
      <c r="S142" s="95"/>
      <c r="T142" s="95"/>
      <c r="U142" s="95"/>
      <c r="V142" s="95"/>
      <c r="W142" s="95"/>
      <c r="X142" s="95"/>
      <c r="Y142" s="95"/>
      <c r="Z142" s="95"/>
      <c r="AA142" s="95"/>
    </row>
    <row r="143">
      <c r="A143" s="95" t="s">
        <v>5116</v>
      </c>
      <c r="B143" s="95"/>
      <c r="C143" s="95"/>
      <c r="D143" s="95"/>
      <c r="E143" s="95"/>
      <c r="F143" s="95"/>
      <c r="G143" s="95"/>
      <c r="H143" s="95"/>
      <c r="I143" s="95"/>
      <c r="J143" s="95"/>
      <c r="K143" s="95"/>
      <c r="L143" s="95"/>
      <c r="M143" s="95"/>
      <c r="N143" s="95"/>
      <c r="O143" s="95"/>
      <c r="P143" s="95"/>
      <c r="Q143" s="95"/>
      <c r="R143" s="95"/>
      <c r="S143" s="95"/>
      <c r="T143" s="95"/>
      <c r="U143" s="95"/>
      <c r="V143" s="95"/>
      <c r="W143" s="95"/>
      <c r="X143" s="95"/>
      <c r="Y143" s="95"/>
      <c r="Z143" s="95"/>
      <c r="AA143" s="95"/>
    </row>
    <row r="144">
      <c r="A144" s="95" t="s">
        <v>5116</v>
      </c>
      <c r="B144" s="95"/>
      <c r="C144" s="95"/>
      <c r="D144" s="95"/>
      <c r="E144" s="95"/>
      <c r="F144" s="95"/>
      <c r="G144" s="95"/>
      <c r="H144" s="95"/>
      <c r="I144" s="95"/>
      <c r="J144" s="95"/>
      <c r="K144" s="95"/>
      <c r="L144" s="95"/>
      <c r="M144" s="95"/>
      <c r="N144" s="95"/>
      <c r="O144" s="95"/>
      <c r="P144" s="95"/>
      <c r="Q144" s="95"/>
      <c r="R144" s="95"/>
      <c r="S144" s="95"/>
      <c r="T144" s="95"/>
      <c r="U144" s="95"/>
      <c r="V144" s="95"/>
      <c r="W144" s="95"/>
      <c r="X144" s="95"/>
      <c r="Y144" s="95"/>
      <c r="Z144" s="95"/>
      <c r="AA144" s="95"/>
    </row>
    <row r="145">
      <c r="A145" s="95" t="s">
        <v>5116</v>
      </c>
      <c r="B145" s="95"/>
      <c r="C145" s="95"/>
      <c r="D145" s="95"/>
      <c r="E145" s="95"/>
      <c r="F145" s="95"/>
      <c r="G145" s="95"/>
      <c r="H145" s="95"/>
      <c r="I145" s="95"/>
      <c r="J145" s="95"/>
      <c r="K145" s="95"/>
      <c r="L145" s="95"/>
      <c r="M145" s="95"/>
      <c r="N145" s="95"/>
      <c r="O145" s="95"/>
      <c r="P145" s="95"/>
      <c r="Q145" s="95"/>
      <c r="R145" s="95"/>
      <c r="S145" s="95"/>
      <c r="T145" s="95"/>
      <c r="U145" s="95"/>
      <c r="V145" s="95"/>
      <c r="W145" s="95"/>
      <c r="X145" s="95"/>
      <c r="Y145" s="95"/>
      <c r="Z145" s="95"/>
      <c r="AA145" s="95"/>
    </row>
    <row r="146">
      <c r="A146" s="95" t="s">
        <v>5116</v>
      </c>
      <c r="B146" s="95"/>
      <c r="C146" s="95"/>
      <c r="D146" s="95"/>
      <c r="E146" s="95"/>
      <c r="F146" s="95"/>
      <c r="G146" s="95"/>
      <c r="H146" s="95"/>
      <c r="I146" s="95"/>
      <c r="J146" s="95"/>
      <c r="K146" s="95"/>
      <c r="L146" s="95"/>
      <c r="M146" s="95"/>
      <c r="N146" s="95"/>
      <c r="O146" s="95"/>
      <c r="P146" s="95"/>
      <c r="Q146" s="95"/>
      <c r="R146" s="95"/>
      <c r="S146" s="95"/>
      <c r="T146" s="95"/>
      <c r="U146" s="95"/>
      <c r="V146" s="95"/>
      <c r="W146" s="95"/>
      <c r="X146" s="95"/>
      <c r="Y146" s="95"/>
      <c r="Z146" s="95"/>
      <c r="AA146" s="95"/>
    </row>
    <row r="147">
      <c r="A147" s="95" t="s">
        <v>5116</v>
      </c>
      <c r="B147" s="95"/>
      <c r="C147" s="95"/>
      <c r="D147" s="95"/>
      <c r="E147" s="95"/>
      <c r="F147" s="95"/>
      <c r="G147" s="95"/>
      <c r="H147" s="95"/>
      <c r="I147" s="95"/>
      <c r="J147" s="95"/>
      <c r="K147" s="95"/>
      <c r="L147" s="95"/>
      <c r="M147" s="95"/>
      <c r="N147" s="95"/>
      <c r="O147" s="95"/>
      <c r="P147" s="95"/>
      <c r="Q147" s="95"/>
      <c r="R147" s="95"/>
      <c r="S147" s="95"/>
      <c r="T147" s="95"/>
      <c r="U147" s="95"/>
      <c r="V147" s="95"/>
      <c r="W147" s="95"/>
      <c r="X147" s="95"/>
      <c r="Y147" s="95"/>
      <c r="Z147" s="95"/>
      <c r="AA147" s="95"/>
    </row>
    <row r="148">
      <c r="A148" s="95" t="s">
        <v>5116</v>
      </c>
      <c r="B148" s="95"/>
      <c r="C148" s="95"/>
      <c r="D148" s="95"/>
      <c r="E148" s="95"/>
      <c r="F148" s="95"/>
      <c r="G148" s="95"/>
      <c r="H148" s="95"/>
      <c r="I148" s="95"/>
      <c r="J148" s="95"/>
      <c r="K148" s="95"/>
      <c r="L148" s="95"/>
      <c r="M148" s="95"/>
      <c r="N148" s="95"/>
      <c r="O148" s="95"/>
      <c r="P148" s="95"/>
      <c r="Q148" s="95"/>
      <c r="R148" s="95"/>
      <c r="S148" s="95"/>
      <c r="T148" s="95"/>
      <c r="U148" s="95"/>
      <c r="V148" s="95"/>
      <c r="W148" s="95"/>
      <c r="X148" s="95"/>
      <c r="Y148" s="95"/>
      <c r="Z148" s="95"/>
      <c r="AA148" s="95"/>
    </row>
    <row r="149">
      <c r="A149" s="95" t="s">
        <v>5116</v>
      </c>
      <c r="B149" s="95"/>
      <c r="C149" s="95"/>
      <c r="D149" s="95"/>
      <c r="E149" s="95"/>
      <c r="F149" s="95"/>
      <c r="G149" s="95"/>
      <c r="H149" s="95"/>
      <c r="I149" s="95"/>
      <c r="J149" s="95"/>
      <c r="K149" s="95"/>
      <c r="L149" s="95"/>
      <c r="M149" s="95"/>
      <c r="N149" s="95"/>
      <c r="O149" s="95"/>
      <c r="P149" s="95"/>
      <c r="Q149" s="95"/>
      <c r="R149" s="95"/>
      <c r="S149" s="95"/>
      <c r="T149" s="95"/>
      <c r="U149" s="95"/>
      <c r="V149" s="95"/>
      <c r="W149" s="95"/>
      <c r="X149" s="95"/>
      <c r="Y149" s="95"/>
      <c r="Z149" s="95"/>
      <c r="AA149" s="95"/>
    </row>
    <row r="150">
      <c r="A150" s="95" t="s">
        <v>5116</v>
      </c>
      <c r="B150" s="95"/>
      <c r="C150" s="95"/>
      <c r="D150" s="95"/>
      <c r="E150" s="95"/>
      <c r="F150" s="95"/>
      <c r="G150" s="95"/>
      <c r="H150" s="95"/>
      <c r="I150" s="95"/>
      <c r="J150" s="95"/>
      <c r="K150" s="95"/>
      <c r="L150" s="95"/>
      <c r="M150" s="95"/>
      <c r="N150" s="95"/>
      <c r="O150" s="95"/>
      <c r="P150" s="95"/>
      <c r="Q150" s="95"/>
      <c r="R150" s="95"/>
      <c r="S150" s="95"/>
      <c r="T150" s="95"/>
      <c r="U150" s="95"/>
      <c r="V150" s="95"/>
      <c r="W150" s="95"/>
      <c r="X150" s="95"/>
      <c r="Y150" s="95"/>
      <c r="Z150" s="95"/>
      <c r="AA150" s="95"/>
    </row>
    <row r="151">
      <c r="A151" s="95" t="s">
        <v>5116</v>
      </c>
      <c r="B151" s="95"/>
      <c r="C151" s="95"/>
      <c r="D151" s="95"/>
      <c r="E151" s="95"/>
      <c r="F151" s="95"/>
      <c r="G151" s="95"/>
      <c r="H151" s="95"/>
      <c r="I151" s="95"/>
      <c r="J151" s="95"/>
      <c r="K151" s="95"/>
      <c r="L151" s="95"/>
      <c r="M151" s="95"/>
      <c r="N151" s="95"/>
      <c r="O151" s="95"/>
      <c r="P151" s="95"/>
      <c r="Q151" s="95"/>
      <c r="R151" s="95"/>
      <c r="S151" s="95"/>
      <c r="T151" s="95"/>
      <c r="U151" s="95"/>
      <c r="V151" s="95"/>
      <c r="W151" s="95"/>
      <c r="X151" s="95"/>
      <c r="Y151" s="95"/>
      <c r="Z151" s="95"/>
      <c r="AA151" s="95"/>
    </row>
    <row r="152">
      <c r="A152" s="95" t="s">
        <v>5116</v>
      </c>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c r="AA152" s="95"/>
    </row>
    <row r="153">
      <c r="A153" s="95" t="s">
        <v>5116</v>
      </c>
      <c r="B153" s="95"/>
      <c r="C153" s="95"/>
      <c r="D153" s="95"/>
      <c r="E153" s="95"/>
      <c r="F153" s="95"/>
      <c r="G153" s="95"/>
      <c r="H153" s="95"/>
      <c r="I153" s="95"/>
      <c r="J153" s="95"/>
      <c r="K153" s="95"/>
      <c r="L153" s="95"/>
      <c r="M153" s="95"/>
      <c r="N153" s="95"/>
      <c r="O153" s="95"/>
      <c r="P153" s="95"/>
      <c r="Q153" s="95"/>
      <c r="R153" s="95"/>
      <c r="S153" s="95"/>
      <c r="T153" s="95"/>
      <c r="U153" s="95"/>
      <c r="V153" s="95"/>
      <c r="W153" s="95"/>
      <c r="X153" s="95"/>
      <c r="Y153" s="95"/>
      <c r="Z153" s="95"/>
      <c r="AA153" s="95"/>
    </row>
    <row r="154">
      <c r="A154" s="95" t="s">
        <v>5116</v>
      </c>
      <c r="B154" s="95"/>
      <c r="C154" s="95"/>
      <c r="D154" s="95"/>
      <c r="E154" s="95"/>
      <c r="F154" s="95"/>
      <c r="G154" s="95"/>
      <c r="H154" s="95"/>
      <c r="I154" s="95"/>
      <c r="J154" s="95"/>
      <c r="K154" s="95"/>
      <c r="L154" s="95"/>
      <c r="M154" s="95"/>
      <c r="N154" s="95"/>
      <c r="O154" s="95"/>
      <c r="P154" s="95"/>
      <c r="Q154" s="95"/>
      <c r="R154" s="95"/>
      <c r="S154" s="95"/>
      <c r="T154" s="95"/>
      <c r="U154" s="95"/>
      <c r="V154" s="95"/>
      <c r="W154" s="95"/>
      <c r="X154" s="95"/>
      <c r="Y154" s="95"/>
      <c r="Z154" s="95"/>
      <c r="AA154" s="95"/>
    </row>
    <row r="155">
      <c r="A155" s="95" t="s">
        <v>5116</v>
      </c>
      <c r="B155" s="95"/>
      <c r="C155" s="95"/>
      <c r="D155" s="95"/>
      <c r="E155" s="95"/>
      <c r="F155" s="95"/>
      <c r="G155" s="95"/>
      <c r="H155" s="95"/>
      <c r="I155" s="95"/>
      <c r="J155" s="95"/>
      <c r="K155" s="95"/>
      <c r="L155" s="95"/>
      <c r="M155" s="95"/>
      <c r="N155" s="95"/>
      <c r="O155" s="95"/>
      <c r="P155" s="95"/>
      <c r="Q155" s="95"/>
      <c r="R155" s="95"/>
      <c r="S155" s="95"/>
      <c r="T155" s="95"/>
      <c r="U155" s="95"/>
      <c r="V155" s="95"/>
      <c r="W155" s="95"/>
      <c r="X155" s="95"/>
      <c r="Y155" s="95"/>
      <c r="Z155" s="95"/>
      <c r="AA155" s="95"/>
    </row>
    <row r="156">
      <c r="A156" s="95" t="s">
        <v>5116</v>
      </c>
      <c r="B156" s="95"/>
      <c r="C156" s="95"/>
      <c r="D156" s="95"/>
      <c r="E156" s="95"/>
      <c r="F156" s="95"/>
      <c r="G156" s="95"/>
      <c r="H156" s="95"/>
      <c r="I156" s="95"/>
      <c r="J156" s="95"/>
      <c r="K156" s="95"/>
      <c r="L156" s="95"/>
      <c r="M156" s="95"/>
      <c r="N156" s="95"/>
      <c r="O156" s="95"/>
      <c r="P156" s="95"/>
      <c r="Q156" s="95"/>
      <c r="R156" s="95"/>
      <c r="S156" s="95"/>
      <c r="T156" s="95"/>
      <c r="U156" s="95"/>
      <c r="V156" s="95"/>
      <c r="W156" s="95"/>
      <c r="X156" s="95"/>
      <c r="Y156" s="95"/>
      <c r="Z156" s="95"/>
      <c r="AA156" s="95"/>
    </row>
    <row r="157">
      <c r="A157" s="95" t="s">
        <v>5116</v>
      </c>
      <c r="B157" s="95"/>
      <c r="C157" s="95"/>
      <c r="D157" s="95"/>
      <c r="E157" s="95"/>
      <c r="F157" s="95"/>
      <c r="G157" s="95"/>
      <c r="H157" s="95"/>
      <c r="I157" s="95"/>
      <c r="J157" s="95"/>
      <c r="K157" s="95"/>
      <c r="L157" s="95"/>
      <c r="M157" s="95"/>
      <c r="N157" s="95"/>
      <c r="O157" s="95"/>
      <c r="P157" s="95"/>
      <c r="Q157" s="95"/>
      <c r="R157" s="95"/>
      <c r="S157" s="95"/>
      <c r="T157" s="95"/>
      <c r="U157" s="95"/>
      <c r="V157" s="95"/>
      <c r="W157" s="95"/>
      <c r="X157" s="95"/>
      <c r="Y157" s="95"/>
      <c r="Z157" s="95"/>
      <c r="AA157" s="95"/>
    </row>
    <row r="158">
      <c r="A158" s="95" t="s">
        <v>5116</v>
      </c>
      <c r="B158" s="95"/>
      <c r="C158" s="95"/>
      <c r="D158" s="95"/>
      <c r="E158" s="95"/>
      <c r="F158" s="95"/>
      <c r="G158" s="95"/>
      <c r="H158" s="95"/>
      <c r="I158" s="95"/>
      <c r="J158" s="95"/>
      <c r="K158" s="95"/>
      <c r="L158" s="95"/>
      <c r="M158" s="95"/>
      <c r="N158" s="95"/>
      <c r="O158" s="95"/>
      <c r="P158" s="95"/>
      <c r="Q158" s="95"/>
      <c r="R158" s="95"/>
      <c r="S158" s="95"/>
      <c r="T158" s="95"/>
      <c r="U158" s="95"/>
      <c r="V158" s="95"/>
      <c r="W158" s="95"/>
      <c r="X158" s="95"/>
      <c r="Y158" s="95"/>
      <c r="Z158" s="95"/>
      <c r="AA158" s="95"/>
    </row>
    <row r="159">
      <c r="A159" s="95" t="s">
        <v>5116</v>
      </c>
      <c r="B159" s="95"/>
      <c r="C159" s="95"/>
      <c r="D159" s="95"/>
      <c r="E159" s="95"/>
      <c r="F159" s="95"/>
      <c r="G159" s="95"/>
      <c r="H159" s="95"/>
      <c r="I159" s="95"/>
      <c r="J159" s="95"/>
      <c r="K159" s="95"/>
      <c r="L159" s="95"/>
      <c r="M159" s="95"/>
      <c r="N159" s="95"/>
      <c r="O159" s="95"/>
      <c r="P159" s="95"/>
      <c r="Q159" s="95"/>
      <c r="R159" s="95"/>
      <c r="S159" s="95"/>
      <c r="T159" s="95"/>
      <c r="U159" s="95"/>
      <c r="V159" s="95"/>
      <c r="W159" s="95"/>
      <c r="X159" s="95"/>
      <c r="Y159" s="95"/>
      <c r="Z159" s="95"/>
      <c r="AA159" s="95"/>
    </row>
    <row r="160">
      <c r="A160" s="95" t="s">
        <v>5116</v>
      </c>
      <c r="B160" s="95"/>
      <c r="C160" s="95"/>
      <c r="D160" s="95"/>
      <c r="E160" s="95"/>
      <c r="F160" s="95"/>
      <c r="G160" s="95"/>
      <c r="H160" s="95"/>
      <c r="I160" s="95"/>
      <c r="J160" s="95"/>
      <c r="K160" s="95"/>
      <c r="L160" s="95"/>
      <c r="M160" s="95"/>
      <c r="N160" s="95"/>
      <c r="O160" s="95"/>
      <c r="P160" s="95"/>
      <c r="Q160" s="95"/>
      <c r="R160" s="95"/>
      <c r="S160" s="95"/>
      <c r="T160" s="95"/>
      <c r="U160" s="95"/>
      <c r="V160" s="95"/>
      <c r="W160" s="95"/>
      <c r="X160" s="95"/>
      <c r="Y160" s="95"/>
      <c r="Z160" s="95"/>
      <c r="AA160" s="95"/>
    </row>
    <row r="161">
      <c r="A161" s="95" t="s">
        <v>5116</v>
      </c>
      <c r="B161" s="95"/>
      <c r="C161" s="95"/>
      <c r="D161" s="95"/>
      <c r="E161" s="95"/>
      <c r="F161" s="95"/>
      <c r="G161" s="95"/>
      <c r="H161" s="95"/>
      <c r="I161" s="95"/>
      <c r="J161" s="95"/>
      <c r="K161" s="95"/>
      <c r="L161" s="95"/>
      <c r="M161" s="95"/>
      <c r="N161" s="95"/>
      <c r="O161" s="95"/>
      <c r="P161" s="95"/>
      <c r="Q161" s="95"/>
      <c r="R161" s="95"/>
      <c r="S161" s="95"/>
      <c r="T161" s="95"/>
      <c r="U161" s="95"/>
      <c r="V161" s="95"/>
      <c r="W161" s="95"/>
      <c r="X161" s="95"/>
      <c r="Y161" s="95"/>
      <c r="Z161" s="95"/>
      <c r="AA161" s="95"/>
    </row>
    <row r="162">
      <c r="A162" s="95" t="s">
        <v>5116</v>
      </c>
      <c r="B162" s="95"/>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5"/>
      <c r="AA162" s="95"/>
    </row>
    <row r="163">
      <c r="A163" s="95" t="s">
        <v>5116</v>
      </c>
      <c r="B163" s="95"/>
      <c r="C163" s="95"/>
      <c r="D163" s="95"/>
      <c r="E163" s="95"/>
      <c r="F163" s="95"/>
      <c r="G163" s="95"/>
      <c r="H163" s="95"/>
      <c r="I163" s="95"/>
      <c r="J163" s="95"/>
      <c r="K163" s="95"/>
      <c r="L163" s="95"/>
      <c r="M163" s="95"/>
      <c r="N163" s="95"/>
      <c r="O163" s="95"/>
      <c r="P163" s="95"/>
      <c r="Q163" s="95"/>
      <c r="R163" s="95"/>
      <c r="S163" s="95"/>
      <c r="T163" s="95"/>
      <c r="U163" s="95"/>
      <c r="V163" s="95"/>
      <c r="W163" s="95"/>
      <c r="X163" s="95"/>
      <c r="Y163" s="95"/>
      <c r="Z163" s="95"/>
      <c r="AA163" s="95"/>
    </row>
    <row r="164">
      <c r="A164" s="95" t="s">
        <v>5116</v>
      </c>
      <c r="B164" s="95"/>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c r="AA164" s="95"/>
    </row>
    <row r="165">
      <c r="A165" s="95" t="s">
        <v>5116</v>
      </c>
      <c r="B165" s="95"/>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c r="AA165" s="95"/>
    </row>
    <row r="166">
      <c r="A166" s="95" t="s">
        <v>5116</v>
      </c>
      <c r="B166" s="95"/>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c r="AA166" s="95"/>
    </row>
    <row r="167">
      <c r="A167" s="95" t="s">
        <v>5116</v>
      </c>
      <c r="B167" s="95"/>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c r="AA167" s="95"/>
    </row>
    <row r="168">
      <c r="A168" s="95" t="s">
        <v>5116</v>
      </c>
      <c r="B168" s="95"/>
      <c r="C168" s="95"/>
      <c r="D168" s="95"/>
      <c r="E168" s="95"/>
      <c r="F168" s="95"/>
      <c r="G168" s="95"/>
      <c r="H168" s="95"/>
      <c r="I168" s="95"/>
      <c r="J168" s="95"/>
      <c r="K168" s="95"/>
      <c r="L168" s="95"/>
      <c r="M168" s="95"/>
      <c r="N168" s="95"/>
      <c r="O168" s="95"/>
      <c r="P168" s="95"/>
      <c r="Q168" s="95"/>
      <c r="R168" s="95"/>
      <c r="S168" s="95"/>
      <c r="T168" s="95"/>
      <c r="U168" s="95"/>
      <c r="V168" s="95"/>
      <c r="W168" s="95"/>
      <c r="X168" s="95"/>
      <c r="Y168" s="95"/>
      <c r="Z168" s="95"/>
      <c r="AA168" s="95"/>
    </row>
    <row r="169">
      <c r="A169" s="95" t="s">
        <v>5116</v>
      </c>
      <c r="B169" s="95"/>
      <c r="C169" s="95"/>
      <c r="D169" s="95"/>
      <c r="E169" s="95"/>
      <c r="F169" s="95"/>
      <c r="G169" s="95"/>
      <c r="H169" s="95"/>
      <c r="I169" s="95"/>
      <c r="J169" s="95"/>
      <c r="K169" s="95"/>
      <c r="L169" s="95"/>
      <c r="M169" s="95"/>
      <c r="N169" s="95"/>
      <c r="O169" s="95"/>
      <c r="P169" s="95"/>
      <c r="Q169" s="95"/>
      <c r="R169" s="95"/>
      <c r="S169" s="95"/>
      <c r="T169" s="95"/>
      <c r="U169" s="95"/>
      <c r="V169" s="95"/>
      <c r="W169" s="95"/>
      <c r="X169" s="95"/>
      <c r="Y169" s="95"/>
      <c r="Z169" s="95"/>
      <c r="AA169" s="95"/>
    </row>
    <row r="170">
      <c r="A170" s="95" t="s">
        <v>5116</v>
      </c>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c r="AA170" s="95"/>
    </row>
    <row r="171">
      <c r="A171" s="95" t="s">
        <v>5116</v>
      </c>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c r="AA171" s="95"/>
    </row>
    <row r="172">
      <c r="A172" s="95" t="s">
        <v>5116</v>
      </c>
      <c r="B172" s="95"/>
      <c r="C172" s="95"/>
      <c r="D172" s="95"/>
      <c r="E172" s="95"/>
      <c r="F172" s="95"/>
      <c r="G172" s="95"/>
      <c r="H172" s="95"/>
      <c r="I172" s="95"/>
      <c r="J172" s="95"/>
      <c r="K172" s="95"/>
      <c r="L172" s="95"/>
      <c r="M172" s="95"/>
      <c r="N172" s="95"/>
      <c r="O172" s="95"/>
      <c r="P172" s="95"/>
      <c r="Q172" s="95"/>
      <c r="R172" s="95"/>
      <c r="S172" s="95"/>
      <c r="T172" s="95"/>
      <c r="U172" s="95"/>
      <c r="V172" s="95"/>
      <c r="W172" s="95"/>
      <c r="X172" s="95"/>
      <c r="Y172" s="95"/>
      <c r="Z172" s="95"/>
      <c r="AA172" s="95"/>
    </row>
    <row r="173">
      <c r="A173" s="95" t="s">
        <v>5116</v>
      </c>
      <c r="B173" s="95"/>
      <c r="C173" s="95"/>
      <c r="D173" s="95"/>
      <c r="E173" s="95"/>
      <c r="F173" s="95"/>
      <c r="G173" s="95"/>
      <c r="H173" s="95"/>
      <c r="I173" s="95"/>
      <c r="J173" s="95"/>
      <c r="K173" s="95"/>
      <c r="L173" s="95"/>
      <c r="M173" s="95"/>
      <c r="N173" s="95"/>
      <c r="O173" s="95"/>
      <c r="P173" s="95"/>
      <c r="Q173" s="95"/>
      <c r="R173" s="95"/>
      <c r="S173" s="95"/>
      <c r="T173" s="95"/>
      <c r="U173" s="95"/>
      <c r="V173" s="95"/>
      <c r="W173" s="95"/>
      <c r="X173" s="95"/>
      <c r="Y173" s="95"/>
      <c r="Z173" s="95"/>
      <c r="AA173" s="95"/>
    </row>
    <row r="174">
      <c r="A174" s="95" t="s">
        <v>5116</v>
      </c>
      <c r="B174" s="95"/>
      <c r="C174" s="95"/>
      <c r="D174" s="95"/>
      <c r="E174" s="95"/>
      <c r="F174" s="95"/>
      <c r="G174" s="95"/>
      <c r="H174" s="95"/>
      <c r="I174" s="95"/>
      <c r="J174" s="95"/>
      <c r="K174" s="95"/>
      <c r="L174" s="95"/>
      <c r="M174" s="95"/>
      <c r="N174" s="95"/>
      <c r="O174" s="95"/>
      <c r="P174" s="95"/>
      <c r="Q174" s="95"/>
      <c r="R174" s="95"/>
      <c r="S174" s="95"/>
      <c r="T174" s="95"/>
      <c r="U174" s="95"/>
      <c r="V174" s="95"/>
      <c r="W174" s="95"/>
      <c r="X174" s="95"/>
      <c r="Y174" s="95"/>
      <c r="Z174" s="95"/>
      <c r="AA174" s="95"/>
    </row>
    <row r="175">
      <c r="A175" s="95" t="s">
        <v>5116</v>
      </c>
      <c r="B175" s="95"/>
      <c r="C175" s="95"/>
      <c r="D175" s="95"/>
      <c r="E175" s="95"/>
      <c r="F175" s="95"/>
      <c r="G175" s="95"/>
      <c r="H175" s="95"/>
      <c r="I175" s="95"/>
      <c r="J175" s="95"/>
      <c r="K175" s="95"/>
      <c r="L175" s="95"/>
      <c r="M175" s="95"/>
      <c r="N175" s="95"/>
      <c r="O175" s="95"/>
      <c r="P175" s="95"/>
      <c r="Q175" s="95"/>
      <c r="R175" s="95"/>
      <c r="S175" s="95"/>
      <c r="T175" s="95"/>
      <c r="U175" s="95"/>
      <c r="V175" s="95"/>
      <c r="W175" s="95"/>
      <c r="X175" s="95"/>
      <c r="Y175" s="95"/>
      <c r="Z175" s="95"/>
      <c r="AA175" s="95"/>
    </row>
    <row r="176">
      <c r="A176" s="95" t="s">
        <v>5116</v>
      </c>
      <c r="B176" s="95"/>
      <c r="C176" s="95"/>
      <c r="D176" s="95"/>
      <c r="E176" s="95"/>
      <c r="F176" s="95"/>
      <c r="G176" s="95"/>
      <c r="H176" s="95"/>
      <c r="I176" s="95"/>
      <c r="J176" s="95"/>
      <c r="K176" s="95"/>
      <c r="L176" s="95"/>
      <c r="M176" s="95"/>
      <c r="N176" s="95"/>
      <c r="O176" s="95"/>
      <c r="P176" s="95"/>
      <c r="Q176" s="95"/>
      <c r="R176" s="95"/>
      <c r="S176" s="95"/>
      <c r="T176" s="95"/>
      <c r="U176" s="95"/>
      <c r="V176" s="95"/>
      <c r="W176" s="95"/>
      <c r="X176" s="95"/>
      <c r="Y176" s="95"/>
      <c r="Z176" s="95"/>
      <c r="AA176" s="95"/>
    </row>
    <row r="177">
      <c r="A177" s="95" t="s">
        <v>5116</v>
      </c>
      <c r="B177" s="95"/>
      <c r="C177" s="95"/>
      <c r="D177" s="95"/>
      <c r="E177" s="95"/>
      <c r="F177" s="95"/>
      <c r="G177" s="95"/>
      <c r="H177" s="95"/>
      <c r="I177" s="95"/>
      <c r="J177" s="95"/>
      <c r="K177" s="95"/>
      <c r="L177" s="95"/>
      <c r="M177" s="95"/>
      <c r="N177" s="95"/>
      <c r="O177" s="95"/>
      <c r="P177" s="95"/>
      <c r="Q177" s="95"/>
      <c r="R177" s="95"/>
      <c r="S177" s="95"/>
      <c r="T177" s="95"/>
      <c r="U177" s="95"/>
      <c r="V177" s="95"/>
      <c r="W177" s="95"/>
      <c r="X177" s="95"/>
      <c r="Y177" s="95"/>
      <c r="Z177" s="95"/>
      <c r="AA177" s="95"/>
    </row>
    <row r="178">
      <c r="A178" s="95" t="s">
        <v>5116</v>
      </c>
      <c r="B178" s="95"/>
      <c r="C178" s="95"/>
      <c r="D178" s="95"/>
      <c r="E178" s="95"/>
      <c r="F178" s="95"/>
      <c r="G178" s="95"/>
      <c r="H178" s="95"/>
      <c r="I178" s="95"/>
      <c r="J178" s="95"/>
      <c r="K178" s="95"/>
      <c r="L178" s="95"/>
      <c r="M178" s="95"/>
      <c r="N178" s="95"/>
      <c r="O178" s="95"/>
      <c r="P178" s="95"/>
      <c r="Q178" s="95"/>
      <c r="R178" s="95"/>
      <c r="S178" s="95"/>
      <c r="T178" s="95"/>
      <c r="U178" s="95"/>
      <c r="V178" s="95"/>
      <c r="W178" s="95"/>
      <c r="X178" s="95"/>
      <c r="Y178" s="95"/>
      <c r="Z178" s="95"/>
      <c r="AA178" s="95"/>
    </row>
    <row r="179">
      <c r="A179" s="95" t="s">
        <v>5116</v>
      </c>
      <c r="B179" s="95"/>
      <c r="C179" s="95"/>
      <c r="D179" s="95"/>
      <c r="E179" s="95"/>
      <c r="F179" s="95"/>
      <c r="G179" s="95"/>
      <c r="H179" s="95"/>
      <c r="I179" s="95"/>
      <c r="J179" s="95"/>
      <c r="K179" s="95"/>
      <c r="L179" s="95"/>
      <c r="M179" s="95"/>
      <c r="N179" s="95"/>
      <c r="O179" s="95"/>
      <c r="P179" s="95"/>
      <c r="Q179" s="95"/>
      <c r="R179" s="95"/>
      <c r="S179" s="95"/>
      <c r="T179" s="95"/>
      <c r="U179" s="95"/>
      <c r="V179" s="95"/>
      <c r="W179" s="95"/>
      <c r="X179" s="95"/>
      <c r="Y179" s="95"/>
      <c r="Z179" s="95"/>
      <c r="AA179" s="95"/>
    </row>
    <row r="180">
      <c r="A180" s="95" t="s">
        <v>5116</v>
      </c>
      <c r="B180" s="95"/>
      <c r="C180" s="95"/>
      <c r="D180" s="95"/>
      <c r="E180" s="95"/>
      <c r="F180" s="95"/>
      <c r="G180" s="95"/>
      <c r="H180" s="95"/>
      <c r="I180" s="95"/>
      <c r="J180" s="95"/>
      <c r="K180" s="95"/>
      <c r="L180" s="95"/>
      <c r="M180" s="95"/>
      <c r="N180" s="95"/>
      <c r="O180" s="95"/>
      <c r="P180" s="95"/>
      <c r="Q180" s="95"/>
      <c r="R180" s="95"/>
      <c r="S180" s="95"/>
      <c r="T180" s="95"/>
      <c r="U180" s="95"/>
      <c r="V180" s="95"/>
      <c r="W180" s="95"/>
      <c r="X180" s="95"/>
      <c r="Y180" s="95"/>
      <c r="Z180" s="95"/>
      <c r="AA180" s="95"/>
    </row>
    <row r="181">
      <c r="A181" s="95" t="s">
        <v>5116</v>
      </c>
      <c r="B181" s="95"/>
      <c r="C181" s="95"/>
      <c r="D181" s="95"/>
      <c r="E181" s="95"/>
      <c r="F181" s="95"/>
      <c r="G181" s="95"/>
      <c r="H181" s="95"/>
      <c r="I181" s="95"/>
      <c r="J181" s="95"/>
      <c r="K181" s="95"/>
      <c r="L181" s="95"/>
      <c r="M181" s="95"/>
      <c r="N181" s="95"/>
      <c r="O181" s="95"/>
      <c r="P181" s="95"/>
      <c r="Q181" s="95"/>
      <c r="R181" s="95"/>
      <c r="S181" s="95"/>
      <c r="T181" s="95"/>
      <c r="U181" s="95"/>
      <c r="V181" s="95"/>
      <c r="W181" s="95"/>
      <c r="X181" s="95"/>
      <c r="Y181" s="95"/>
      <c r="Z181" s="95"/>
      <c r="AA181" s="95"/>
    </row>
    <row r="182">
      <c r="A182" s="95" t="s">
        <v>5116</v>
      </c>
      <c r="B182" s="95"/>
      <c r="C182" s="95"/>
      <c r="D182" s="95"/>
      <c r="E182" s="95"/>
      <c r="F182" s="95"/>
      <c r="G182" s="95"/>
      <c r="H182" s="95"/>
      <c r="I182" s="95"/>
      <c r="J182" s="95"/>
      <c r="K182" s="95"/>
      <c r="L182" s="95"/>
      <c r="M182" s="95"/>
      <c r="N182" s="95"/>
      <c r="O182" s="95"/>
      <c r="P182" s="95"/>
      <c r="Q182" s="95"/>
      <c r="R182" s="95"/>
      <c r="S182" s="95"/>
      <c r="T182" s="95"/>
      <c r="U182" s="95"/>
      <c r="V182" s="95"/>
      <c r="W182" s="95"/>
      <c r="X182" s="95"/>
      <c r="Y182" s="95"/>
      <c r="Z182" s="95"/>
      <c r="AA182" s="95"/>
    </row>
    <row r="183">
      <c r="A183" s="95" t="s">
        <v>5116</v>
      </c>
      <c r="B183" s="95"/>
      <c r="C183" s="95"/>
      <c r="D183" s="95"/>
      <c r="E183" s="95"/>
      <c r="F183" s="95"/>
      <c r="G183" s="95"/>
      <c r="H183" s="95"/>
      <c r="I183" s="95"/>
      <c r="J183" s="95"/>
      <c r="K183" s="95"/>
      <c r="L183" s="95"/>
      <c r="M183" s="95"/>
      <c r="N183" s="95"/>
      <c r="O183" s="95"/>
      <c r="P183" s="95"/>
      <c r="Q183" s="95"/>
      <c r="R183" s="95"/>
      <c r="S183" s="95"/>
      <c r="T183" s="95"/>
      <c r="U183" s="95"/>
      <c r="V183" s="95"/>
      <c r="W183" s="95"/>
      <c r="X183" s="95"/>
      <c r="Y183" s="95"/>
      <c r="Z183" s="95"/>
      <c r="AA183" s="95"/>
    </row>
    <row r="184">
      <c r="A184" s="95" t="s">
        <v>5116</v>
      </c>
      <c r="B184" s="95"/>
      <c r="C184" s="95"/>
      <c r="D184" s="95"/>
      <c r="E184" s="95"/>
      <c r="F184" s="95"/>
      <c r="G184" s="95"/>
      <c r="H184" s="95"/>
      <c r="I184" s="95"/>
      <c r="J184" s="95"/>
      <c r="K184" s="95"/>
      <c r="L184" s="95"/>
      <c r="M184" s="95"/>
      <c r="N184" s="95"/>
      <c r="O184" s="95"/>
      <c r="P184" s="95"/>
      <c r="Q184" s="95"/>
      <c r="R184" s="95"/>
      <c r="S184" s="95"/>
      <c r="T184" s="95"/>
      <c r="U184" s="95"/>
      <c r="V184" s="95"/>
      <c r="W184" s="95"/>
      <c r="X184" s="95"/>
      <c r="Y184" s="95"/>
      <c r="Z184" s="95"/>
      <c r="AA184" s="95"/>
    </row>
    <row r="185">
      <c r="A185" s="95" t="s">
        <v>5116</v>
      </c>
      <c r="B185" s="95"/>
      <c r="C185" s="95"/>
      <c r="D185" s="95"/>
      <c r="E185" s="95"/>
      <c r="F185" s="95"/>
      <c r="G185" s="95"/>
      <c r="H185" s="95"/>
      <c r="I185" s="95"/>
      <c r="J185" s="95"/>
      <c r="K185" s="95"/>
      <c r="L185" s="95"/>
      <c r="M185" s="95"/>
      <c r="N185" s="95"/>
      <c r="O185" s="95"/>
      <c r="P185" s="95"/>
      <c r="Q185" s="95"/>
      <c r="R185" s="95"/>
      <c r="S185" s="95"/>
      <c r="T185" s="95"/>
      <c r="U185" s="95"/>
      <c r="V185" s="95"/>
      <c r="W185" s="95"/>
      <c r="X185" s="95"/>
      <c r="Y185" s="95"/>
      <c r="Z185" s="95"/>
      <c r="AA185" s="95"/>
    </row>
    <row r="186">
      <c r="A186" s="95" t="s">
        <v>5116</v>
      </c>
      <c r="B186" s="95"/>
      <c r="C186" s="95"/>
      <c r="D186" s="95"/>
      <c r="E186" s="95"/>
      <c r="F186" s="95"/>
      <c r="G186" s="95"/>
      <c r="H186" s="95"/>
      <c r="I186" s="95"/>
      <c r="J186" s="95"/>
      <c r="K186" s="95"/>
      <c r="L186" s="95"/>
      <c r="M186" s="95"/>
      <c r="N186" s="95"/>
      <c r="O186" s="95"/>
      <c r="P186" s="95"/>
      <c r="Q186" s="95"/>
      <c r="R186" s="95"/>
      <c r="S186" s="95"/>
      <c r="T186" s="95"/>
      <c r="U186" s="95"/>
      <c r="V186" s="95"/>
      <c r="W186" s="95"/>
      <c r="X186" s="95"/>
      <c r="Y186" s="95"/>
      <c r="Z186" s="95"/>
      <c r="AA186" s="95"/>
    </row>
    <row r="187">
      <c r="A187" s="95" t="s">
        <v>5116</v>
      </c>
      <c r="B187" s="95"/>
      <c r="C187" s="95"/>
      <c r="D187" s="95"/>
      <c r="E187" s="95"/>
      <c r="F187" s="95"/>
      <c r="G187" s="95"/>
      <c r="H187" s="95"/>
      <c r="I187" s="95"/>
      <c r="J187" s="95"/>
      <c r="K187" s="95"/>
      <c r="L187" s="95"/>
      <c r="M187" s="95"/>
      <c r="N187" s="95"/>
      <c r="O187" s="95"/>
      <c r="P187" s="95"/>
      <c r="Q187" s="95"/>
      <c r="R187" s="95"/>
      <c r="S187" s="95"/>
      <c r="T187" s="95"/>
      <c r="U187" s="95"/>
      <c r="V187" s="95"/>
      <c r="W187" s="95"/>
      <c r="X187" s="95"/>
      <c r="Y187" s="95"/>
      <c r="Z187" s="95"/>
      <c r="AA187" s="95"/>
    </row>
    <row r="188">
      <c r="A188" s="95" t="s">
        <v>5116</v>
      </c>
      <c r="B188" s="95"/>
      <c r="C188" s="95"/>
      <c r="D188" s="95"/>
      <c r="E188" s="95"/>
      <c r="F188" s="95"/>
      <c r="G188" s="95"/>
      <c r="H188" s="95"/>
      <c r="I188" s="95"/>
      <c r="J188" s="95"/>
      <c r="K188" s="95"/>
      <c r="L188" s="95"/>
      <c r="M188" s="95"/>
      <c r="N188" s="95"/>
      <c r="O188" s="95"/>
      <c r="P188" s="95"/>
      <c r="Q188" s="95"/>
      <c r="R188" s="95"/>
      <c r="S188" s="95"/>
      <c r="T188" s="95"/>
      <c r="U188" s="95"/>
      <c r="V188" s="95"/>
      <c r="W188" s="95"/>
      <c r="X188" s="95"/>
      <c r="Y188" s="95"/>
      <c r="Z188" s="95"/>
      <c r="AA188" s="95"/>
    </row>
    <row r="189">
      <c r="A189" s="95" t="s">
        <v>5116</v>
      </c>
      <c r="B189" s="95"/>
      <c r="C189" s="95"/>
      <c r="D189" s="95"/>
      <c r="E189" s="95"/>
      <c r="F189" s="95"/>
      <c r="G189" s="95"/>
      <c r="H189" s="95"/>
      <c r="I189" s="95"/>
      <c r="J189" s="95"/>
      <c r="K189" s="95"/>
      <c r="L189" s="95"/>
      <c r="M189" s="95"/>
      <c r="N189" s="95"/>
      <c r="O189" s="95"/>
      <c r="P189" s="95"/>
      <c r="Q189" s="95"/>
      <c r="R189" s="95"/>
      <c r="S189" s="95"/>
      <c r="T189" s="95"/>
      <c r="U189" s="95"/>
      <c r="V189" s="95"/>
      <c r="W189" s="95"/>
      <c r="X189" s="95"/>
      <c r="Y189" s="95"/>
      <c r="Z189" s="95"/>
      <c r="AA189" s="95"/>
    </row>
    <row r="190">
      <c r="A190" s="95" t="s">
        <v>5116</v>
      </c>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c r="AA190" s="95"/>
    </row>
    <row r="191">
      <c r="A191" s="95" t="s">
        <v>5116</v>
      </c>
      <c r="B191" s="95"/>
      <c r="C191" s="95"/>
      <c r="D191" s="95"/>
      <c r="E191" s="95"/>
      <c r="F191" s="95"/>
      <c r="G191" s="95"/>
      <c r="H191" s="95"/>
      <c r="I191" s="95"/>
      <c r="J191" s="95"/>
      <c r="K191" s="95"/>
      <c r="L191" s="95"/>
      <c r="M191" s="95"/>
      <c r="N191" s="95"/>
      <c r="O191" s="95"/>
      <c r="P191" s="95"/>
      <c r="Q191" s="95"/>
      <c r="R191" s="95"/>
      <c r="S191" s="95"/>
      <c r="T191" s="95"/>
      <c r="U191" s="95"/>
      <c r="V191" s="95"/>
      <c r="W191" s="95"/>
      <c r="X191" s="95"/>
      <c r="Y191" s="95"/>
      <c r="Z191" s="95"/>
      <c r="AA191" s="95"/>
    </row>
    <row r="192">
      <c r="A192" s="95" t="s">
        <v>5116</v>
      </c>
      <c r="B192" s="95"/>
      <c r="C192" s="95"/>
      <c r="D192" s="95"/>
      <c r="E192" s="95"/>
      <c r="F192" s="95"/>
      <c r="G192" s="95"/>
      <c r="H192" s="95"/>
      <c r="I192" s="95"/>
      <c r="J192" s="95"/>
      <c r="K192" s="95"/>
      <c r="L192" s="95"/>
      <c r="M192" s="95"/>
      <c r="N192" s="95"/>
      <c r="O192" s="95"/>
      <c r="P192" s="95"/>
      <c r="Q192" s="95"/>
      <c r="R192" s="95"/>
      <c r="S192" s="95"/>
      <c r="T192" s="95"/>
      <c r="U192" s="95"/>
      <c r="V192" s="95"/>
      <c r="W192" s="95"/>
      <c r="X192" s="95"/>
      <c r="Y192" s="95"/>
      <c r="Z192" s="95"/>
      <c r="AA192" s="95"/>
    </row>
    <row r="193">
      <c r="A193" s="95" t="s">
        <v>5116</v>
      </c>
      <c r="B193" s="95"/>
      <c r="C193" s="95"/>
      <c r="D193" s="95"/>
      <c r="E193" s="95"/>
      <c r="F193" s="95"/>
      <c r="G193" s="95"/>
      <c r="H193" s="95"/>
      <c r="I193" s="95"/>
      <c r="J193" s="95"/>
      <c r="K193" s="95"/>
      <c r="L193" s="95"/>
      <c r="M193" s="95"/>
      <c r="N193" s="95"/>
      <c r="O193" s="95"/>
      <c r="P193" s="95"/>
      <c r="Q193" s="95"/>
      <c r="R193" s="95"/>
      <c r="S193" s="95"/>
      <c r="T193" s="95"/>
      <c r="U193" s="95"/>
      <c r="V193" s="95"/>
      <c r="W193" s="95"/>
      <c r="X193" s="95"/>
      <c r="Y193" s="95"/>
      <c r="Z193" s="95"/>
      <c r="AA193" s="95"/>
    </row>
    <row r="194">
      <c r="A194" s="95" t="s">
        <v>5116</v>
      </c>
      <c r="B194" s="95"/>
      <c r="C194" s="95"/>
      <c r="D194" s="95"/>
      <c r="E194" s="95"/>
      <c r="F194" s="95"/>
      <c r="G194" s="95"/>
      <c r="H194" s="95"/>
      <c r="I194" s="95"/>
      <c r="J194" s="95"/>
      <c r="K194" s="95"/>
      <c r="L194" s="95"/>
      <c r="M194" s="95"/>
      <c r="N194" s="95"/>
      <c r="O194" s="95"/>
      <c r="P194" s="95"/>
      <c r="Q194" s="95"/>
      <c r="R194" s="95"/>
      <c r="S194" s="95"/>
      <c r="T194" s="95"/>
      <c r="U194" s="95"/>
      <c r="V194" s="95"/>
      <c r="W194" s="95"/>
      <c r="X194" s="95"/>
      <c r="Y194" s="95"/>
      <c r="Z194" s="95"/>
      <c r="AA194" s="95"/>
    </row>
    <row r="195">
      <c r="A195" s="95" t="s">
        <v>5116</v>
      </c>
      <c r="B195" s="95"/>
      <c r="C195" s="95"/>
      <c r="D195" s="95"/>
      <c r="E195" s="95"/>
      <c r="F195" s="95"/>
      <c r="G195" s="95"/>
      <c r="H195" s="95"/>
      <c r="I195" s="95"/>
      <c r="J195" s="95"/>
      <c r="K195" s="95"/>
      <c r="L195" s="95"/>
      <c r="M195" s="95"/>
      <c r="N195" s="95"/>
      <c r="O195" s="95"/>
      <c r="P195" s="95"/>
      <c r="Q195" s="95"/>
      <c r="R195" s="95"/>
      <c r="S195" s="95"/>
      <c r="T195" s="95"/>
      <c r="U195" s="95"/>
      <c r="V195" s="95"/>
      <c r="W195" s="95"/>
      <c r="X195" s="95"/>
      <c r="Y195" s="95"/>
      <c r="Z195" s="95"/>
      <c r="AA195" s="95"/>
    </row>
    <row r="196">
      <c r="A196" s="95" t="s">
        <v>5116</v>
      </c>
      <c r="B196" s="95"/>
      <c r="C196" s="95"/>
      <c r="D196" s="95"/>
      <c r="E196" s="95"/>
      <c r="F196" s="95"/>
      <c r="G196" s="95"/>
      <c r="H196" s="95"/>
      <c r="I196" s="95"/>
      <c r="J196" s="95"/>
      <c r="K196" s="95"/>
      <c r="L196" s="95"/>
      <c r="M196" s="95"/>
      <c r="N196" s="95"/>
      <c r="O196" s="95"/>
      <c r="P196" s="95"/>
      <c r="Q196" s="95"/>
      <c r="R196" s="95"/>
      <c r="S196" s="95"/>
      <c r="T196" s="95"/>
      <c r="U196" s="95"/>
      <c r="V196" s="95"/>
      <c r="W196" s="95"/>
      <c r="X196" s="95"/>
      <c r="Y196" s="95"/>
      <c r="Z196" s="95"/>
      <c r="AA196" s="95"/>
    </row>
    <row r="197">
      <c r="A197" s="95" t="s">
        <v>5116</v>
      </c>
      <c r="B197" s="95"/>
      <c r="C197" s="95"/>
      <c r="D197" s="95"/>
      <c r="E197" s="95"/>
      <c r="F197" s="95"/>
      <c r="G197" s="95"/>
      <c r="H197" s="95"/>
      <c r="I197" s="95"/>
      <c r="J197" s="95"/>
      <c r="K197" s="95"/>
      <c r="L197" s="95"/>
      <c r="M197" s="95"/>
      <c r="N197" s="95"/>
      <c r="O197" s="95"/>
      <c r="P197" s="95"/>
      <c r="Q197" s="95"/>
      <c r="R197" s="95"/>
      <c r="S197" s="95"/>
      <c r="T197" s="95"/>
      <c r="U197" s="95"/>
      <c r="V197" s="95"/>
      <c r="W197" s="95"/>
      <c r="X197" s="95"/>
      <c r="Y197" s="95"/>
      <c r="Z197" s="95"/>
      <c r="AA197" s="95"/>
    </row>
    <row r="198">
      <c r="A198" s="95" t="s">
        <v>5116</v>
      </c>
      <c r="B198" s="95"/>
      <c r="C198" s="95"/>
      <c r="D198" s="95"/>
      <c r="E198" s="95"/>
      <c r="F198" s="95"/>
      <c r="G198" s="95"/>
      <c r="H198" s="95"/>
      <c r="I198" s="95"/>
      <c r="J198" s="95"/>
      <c r="K198" s="95"/>
      <c r="L198" s="95"/>
      <c r="M198" s="95"/>
      <c r="N198" s="95"/>
      <c r="O198" s="95"/>
      <c r="P198" s="95"/>
      <c r="Q198" s="95"/>
      <c r="R198" s="95"/>
      <c r="S198" s="95"/>
      <c r="T198" s="95"/>
      <c r="U198" s="95"/>
      <c r="V198" s="95"/>
      <c r="W198" s="95"/>
      <c r="X198" s="95"/>
      <c r="Y198" s="95"/>
      <c r="Z198" s="95"/>
      <c r="AA198" s="95"/>
    </row>
    <row r="199">
      <c r="A199" s="95" t="s">
        <v>5116</v>
      </c>
      <c r="B199" s="95"/>
      <c r="C199" s="95"/>
      <c r="D199" s="95"/>
      <c r="E199" s="95"/>
      <c r="F199" s="95"/>
      <c r="G199" s="95"/>
      <c r="H199" s="95"/>
      <c r="I199" s="95"/>
      <c r="J199" s="95"/>
      <c r="K199" s="95"/>
      <c r="L199" s="95"/>
      <c r="M199" s="95"/>
      <c r="N199" s="95"/>
      <c r="O199" s="95"/>
      <c r="P199" s="95"/>
      <c r="Q199" s="95"/>
      <c r="R199" s="95"/>
      <c r="S199" s="95"/>
      <c r="T199" s="95"/>
      <c r="U199" s="95"/>
      <c r="V199" s="95"/>
      <c r="W199" s="95"/>
      <c r="X199" s="95"/>
      <c r="Y199" s="95"/>
      <c r="Z199" s="95"/>
      <c r="AA199" s="95"/>
    </row>
    <row r="200">
      <c r="A200" s="95" t="s">
        <v>5116</v>
      </c>
      <c r="B200" s="95"/>
      <c r="C200" s="95"/>
      <c r="D200" s="95"/>
      <c r="E200" s="95"/>
      <c r="F200" s="95"/>
      <c r="G200" s="95"/>
      <c r="H200" s="95"/>
      <c r="I200" s="95"/>
      <c r="J200" s="95"/>
      <c r="K200" s="95"/>
      <c r="L200" s="95"/>
      <c r="M200" s="95"/>
      <c r="N200" s="95"/>
      <c r="O200" s="95"/>
      <c r="P200" s="95"/>
      <c r="Q200" s="95"/>
      <c r="R200" s="95"/>
      <c r="S200" s="95"/>
      <c r="T200" s="95"/>
      <c r="U200" s="95"/>
      <c r="V200" s="95"/>
      <c r="W200" s="95"/>
      <c r="X200" s="95"/>
      <c r="Y200" s="95"/>
      <c r="Z200" s="95"/>
      <c r="AA200" s="95"/>
    </row>
    <row r="201">
      <c r="A201" s="95" t="s">
        <v>5116</v>
      </c>
      <c r="B201" s="95"/>
      <c r="C201" s="95"/>
      <c r="D201" s="95"/>
      <c r="E201" s="95"/>
      <c r="F201" s="95"/>
      <c r="G201" s="95"/>
      <c r="H201" s="95"/>
      <c r="I201" s="95"/>
      <c r="J201" s="95"/>
      <c r="K201" s="95"/>
      <c r="L201" s="95"/>
      <c r="M201" s="95"/>
      <c r="N201" s="95"/>
      <c r="O201" s="95"/>
      <c r="P201" s="95"/>
      <c r="Q201" s="95"/>
      <c r="R201" s="95"/>
      <c r="S201" s="95"/>
      <c r="T201" s="95"/>
      <c r="U201" s="95"/>
      <c r="V201" s="95"/>
      <c r="W201" s="95"/>
      <c r="X201" s="95"/>
      <c r="Y201" s="95"/>
      <c r="Z201" s="95"/>
      <c r="AA201" s="95"/>
    </row>
    <row r="202">
      <c r="A202" s="95" t="s">
        <v>5116</v>
      </c>
      <c r="B202" s="95"/>
      <c r="C202" s="95"/>
      <c r="D202" s="95"/>
      <c r="E202" s="95"/>
      <c r="F202" s="95"/>
      <c r="G202" s="95"/>
      <c r="H202" s="95"/>
      <c r="I202" s="95"/>
      <c r="J202" s="95"/>
      <c r="K202" s="95"/>
      <c r="L202" s="95"/>
      <c r="M202" s="95"/>
      <c r="N202" s="95"/>
      <c r="O202" s="95"/>
      <c r="P202" s="95"/>
      <c r="Q202" s="95"/>
      <c r="R202" s="95"/>
      <c r="S202" s="95"/>
      <c r="T202" s="95"/>
      <c r="U202" s="95"/>
      <c r="V202" s="95"/>
      <c r="W202" s="95"/>
      <c r="X202" s="95"/>
      <c r="Y202" s="95"/>
      <c r="Z202" s="95"/>
      <c r="AA202" s="95"/>
    </row>
    <row r="203">
      <c r="A203" s="95" t="s">
        <v>5116</v>
      </c>
      <c r="B203" s="95"/>
      <c r="C203" s="95"/>
      <c r="D203" s="95"/>
      <c r="E203" s="95"/>
      <c r="F203" s="95"/>
      <c r="G203" s="95"/>
      <c r="H203" s="95"/>
      <c r="I203" s="95"/>
      <c r="J203" s="95"/>
      <c r="K203" s="95"/>
      <c r="L203" s="95"/>
      <c r="M203" s="95"/>
      <c r="N203" s="95"/>
      <c r="O203" s="95"/>
      <c r="P203" s="95"/>
      <c r="Q203" s="95"/>
      <c r="R203" s="95"/>
      <c r="S203" s="95"/>
      <c r="T203" s="95"/>
      <c r="U203" s="95"/>
      <c r="V203" s="95"/>
      <c r="W203" s="95"/>
      <c r="X203" s="95"/>
      <c r="Y203" s="95"/>
      <c r="Z203" s="95"/>
      <c r="AA203" s="95"/>
    </row>
    <row r="204">
      <c r="A204" s="95" t="s">
        <v>5116</v>
      </c>
      <c r="B204" s="95"/>
      <c r="C204" s="95"/>
      <c r="D204" s="95"/>
      <c r="E204" s="95"/>
      <c r="F204" s="95"/>
      <c r="G204" s="95"/>
      <c r="H204" s="95"/>
      <c r="I204" s="95"/>
      <c r="J204" s="95"/>
      <c r="K204" s="95"/>
      <c r="L204" s="95"/>
      <c r="M204" s="95"/>
      <c r="N204" s="95"/>
      <c r="O204" s="95"/>
      <c r="P204" s="95"/>
      <c r="Q204" s="95"/>
      <c r="R204" s="95"/>
      <c r="S204" s="95"/>
      <c r="T204" s="95"/>
      <c r="U204" s="95"/>
      <c r="V204" s="95"/>
      <c r="W204" s="95"/>
      <c r="X204" s="95"/>
      <c r="Y204" s="95"/>
      <c r="Z204" s="95"/>
      <c r="AA204" s="95"/>
    </row>
    <row r="205">
      <c r="A205" s="95" t="s">
        <v>5116</v>
      </c>
      <c r="B205" s="95"/>
      <c r="C205" s="95"/>
      <c r="D205" s="95"/>
      <c r="E205" s="95"/>
      <c r="F205" s="95"/>
      <c r="G205" s="95"/>
      <c r="H205" s="95"/>
      <c r="I205" s="95"/>
      <c r="J205" s="95"/>
      <c r="K205" s="95"/>
      <c r="L205" s="95"/>
      <c r="M205" s="95"/>
      <c r="N205" s="95"/>
      <c r="O205" s="95"/>
      <c r="P205" s="95"/>
      <c r="Q205" s="95"/>
      <c r="R205" s="95"/>
      <c r="S205" s="95"/>
      <c r="T205" s="95"/>
      <c r="U205" s="95"/>
      <c r="V205" s="95"/>
      <c r="W205" s="95"/>
      <c r="X205" s="95"/>
      <c r="Y205" s="95"/>
      <c r="Z205" s="95"/>
      <c r="AA205" s="95"/>
    </row>
    <row r="206">
      <c r="A206" s="95" t="s">
        <v>5116</v>
      </c>
      <c r="B206" s="95"/>
      <c r="C206" s="95"/>
      <c r="D206" s="95"/>
      <c r="E206" s="95"/>
      <c r="F206" s="95"/>
      <c r="G206" s="95"/>
      <c r="H206" s="95"/>
      <c r="I206" s="95"/>
      <c r="J206" s="95"/>
      <c r="K206" s="95"/>
      <c r="L206" s="95"/>
      <c r="M206" s="95"/>
      <c r="N206" s="95"/>
      <c r="O206" s="95"/>
      <c r="P206" s="95"/>
      <c r="Q206" s="95"/>
      <c r="R206" s="95"/>
      <c r="S206" s="95"/>
      <c r="T206" s="95"/>
      <c r="U206" s="95"/>
      <c r="V206" s="95"/>
      <c r="W206" s="95"/>
      <c r="X206" s="95"/>
      <c r="Y206" s="95"/>
      <c r="Z206" s="95"/>
      <c r="AA206" s="95"/>
    </row>
    <row r="207">
      <c r="A207" s="95" t="s">
        <v>5116</v>
      </c>
      <c r="B207" s="95"/>
      <c r="C207" s="95"/>
      <c r="D207" s="95"/>
      <c r="E207" s="95"/>
      <c r="F207" s="95"/>
      <c r="G207" s="95"/>
      <c r="H207" s="95"/>
      <c r="I207" s="95"/>
      <c r="J207" s="95"/>
      <c r="K207" s="95"/>
      <c r="L207" s="95"/>
      <c r="M207" s="95"/>
      <c r="N207" s="95"/>
      <c r="O207" s="95"/>
      <c r="P207" s="95"/>
      <c r="Q207" s="95"/>
      <c r="R207" s="95"/>
      <c r="S207" s="95"/>
      <c r="T207" s="95"/>
      <c r="U207" s="95"/>
      <c r="V207" s="95"/>
      <c r="W207" s="95"/>
      <c r="X207" s="95"/>
      <c r="Y207" s="95"/>
      <c r="Z207" s="95"/>
      <c r="AA207" s="95"/>
    </row>
    <row r="208">
      <c r="A208" s="95" t="s">
        <v>5116</v>
      </c>
      <c r="B208" s="95"/>
      <c r="C208" s="95"/>
      <c r="D208" s="95"/>
      <c r="E208" s="95"/>
      <c r="F208" s="95"/>
      <c r="G208" s="95"/>
      <c r="H208" s="95"/>
      <c r="I208" s="95"/>
      <c r="J208" s="95"/>
      <c r="K208" s="95"/>
      <c r="L208" s="95"/>
      <c r="M208" s="95"/>
      <c r="N208" s="95"/>
      <c r="O208" s="95"/>
      <c r="P208" s="95"/>
      <c r="Q208" s="95"/>
      <c r="R208" s="95"/>
      <c r="S208" s="95"/>
      <c r="T208" s="95"/>
      <c r="U208" s="95"/>
      <c r="V208" s="95"/>
      <c r="W208" s="95"/>
      <c r="X208" s="95"/>
      <c r="Y208" s="95"/>
      <c r="Z208" s="95"/>
      <c r="AA208" s="95"/>
    </row>
    <row r="209">
      <c r="A209" s="95" t="s">
        <v>5116</v>
      </c>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c r="AA209" s="95"/>
    </row>
    <row r="210">
      <c r="A210" s="95" t="s">
        <v>5116</v>
      </c>
      <c r="B210" s="95"/>
      <c r="C210" s="95"/>
      <c r="D210" s="95"/>
      <c r="E210" s="95"/>
      <c r="F210" s="95"/>
      <c r="G210" s="95"/>
      <c r="H210" s="95"/>
      <c r="I210" s="95"/>
      <c r="J210" s="95"/>
      <c r="K210" s="95"/>
      <c r="L210" s="95"/>
      <c r="M210" s="95"/>
      <c r="N210" s="95"/>
      <c r="O210" s="95"/>
      <c r="P210" s="95"/>
      <c r="Q210" s="95"/>
      <c r="R210" s="95"/>
      <c r="S210" s="95"/>
      <c r="T210" s="95"/>
      <c r="U210" s="95"/>
      <c r="V210" s="95"/>
      <c r="W210" s="95"/>
      <c r="X210" s="95"/>
      <c r="Y210" s="95"/>
      <c r="Z210" s="95"/>
      <c r="AA210" s="95"/>
    </row>
    <row r="211">
      <c r="A211" s="95" t="s">
        <v>5116</v>
      </c>
      <c r="B211" s="95"/>
      <c r="C211" s="95"/>
      <c r="D211" s="95"/>
      <c r="E211" s="95"/>
      <c r="F211" s="95"/>
      <c r="G211" s="95"/>
      <c r="H211" s="95"/>
      <c r="I211" s="95"/>
      <c r="J211" s="95"/>
      <c r="K211" s="95"/>
      <c r="L211" s="95"/>
      <c r="M211" s="95"/>
      <c r="N211" s="95"/>
      <c r="O211" s="95"/>
      <c r="P211" s="95"/>
      <c r="Q211" s="95"/>
      <c r="R211" s="95"/>
      <c r="S211" s="95"/>
      <c r="T211" s="95"/>
      <c r="U211" s="95"/>
      <c r="V211" s="95"/>
      <c r="W211" s="95"/>
      <c r="X211" s="95"/>
      <c r="Y211" s="95"/>
      <c r="Z211" s="95"/>
      <c r="AA211" s="95"/>
    </row>
    <row r="212">
      <c r="A212" s="95" t="s">
        <v>5116</v>
      </c>
      <c r="B212" s="95"/>
      <c r="C212" s="95"/>
      <c r="D212" s="95"/>
      <c r="E212" s="95"/>
      <c r="F212" s="95"/>
      <c r="G212" s="95"/>
      <c r="H212" s="95"/>
      <c r="I212" s="95"/>
      <c r="J212" s="95"/>
      <c r="K212" s="95"/>
      <c r="L212" s="95"/>
      <c r="M212" s="95"/>
      <c r="N212" s="95"/>
      <c r="O212" s="95"/>
      <c r="P212" s="95"/>
      <c r="Q212" s="95"/>
      <c r="R212" s="95"/>
      <c r="S212" s="95"/>
      <c r="T212" s="95"/>
      <c r="U212" s="95"/>
      <c r="V212" s="95"/>
      <c r="W212" s="95"/>
      <c r="X212" s="95"/>
      <c r="Y212" s="95"/>
      <c r="Z212" s="95"/>
      <c r="AA212" s="95"/>
    </row>
    <row r="213">
      <c r="A213" s="95" t="s">
        <v>5116</v>
      </c>
      <c r="B213" s="95"/>
      <c r="C213" s="95"/>
      <c r="D213" s="95"/>
      <c r="E213" s="95"/>
      <c r="F213" s="95"/>
      <c r="G213" s="95"/>
      <c r="H213" s="95"/>
      <c r="I213" s="95"/>
      <c r="J213" s="95"/>
      <c r="K213" s="95"/>
      <c r="L213" s="95"/>
      <c r="M213" s="95"/>
      <c r="N213" s="95"/>
      <c r="O213" s="95"/>
      <c r="P213" s="95"/>
      <c r="Q213" s="95"/>
      <c r="R213" s="95"/>
      <c r="S213" s="95"/>
      <c r="T213" s="95"/>
      <c r="U213" s="95"/>
      <c r="V213" s="95"/>
      <c r="W213" s="95"/>
      <c r="X213" s="95"/>
      <c r="Y213" s="95"/>
      <c r="Z213" s="95"/>
      <c r="AA213" s="95"/>
    </row>
    <row r="214">
      <c r="A214" s="95" t="s">
        <v>5116</v>
      </c>
      <c r="B214" s="95"/>
      <c r="C214" s="95"/>
      <c r="D214" s="95"/>
      <c r="E214" s="95"/>
      <c r="F214" s="95"/>
      <c r="G214" s="95"/>
      <c r="H214" s="95"/>
      <c r="I214" s="95"/>
      <c r="J214" s="95"/>
      <c r="K214" s="95"/>
      <c r="L214" s="95"/>
      <c r="M214" s="95"/>
      <c r="N214" s="95"/>
      <c r="O214" s="95"/>
      <c r="P214" s="95"/>
      <c r="Q214" s="95"/>
      <c r="R214" s="95"/>
      <c r="S214" s="95"/>
      <c r="T214" s="95"/>
      <c r="U214" s="95"/>
      <c r="V214" s="95"/>
      <c r="W214" s="95"/>
      <c r="X214" s="95"/>
      <c r="Y214" s="95"/>
      <c r="Z214" s="95"/>
      <c r="AA214" s="95"/>
    </row>
    <row r="215">
      <c r="A215" s="95" t="s">
        <v>5116</v>
      </c>
      <c r="B215" s="95"/>
      <c r="C215" s="95"/>
      <c r="D215" s="95"/>
      <c r="E215" s="95"/>
      <c r="F215" s="95"/>
      <c r="G215" s="95"/>
      <c r="H215" s="95"/>
      <c r="I215" s="95"/>
      <c r="J215" s="95"/>
      <c r="K215" s="95"/>
      <c r="L215" s="95"/>
      <c r="M215" s="95"/>
      <c r="N215" s="95"/>
      <c r="O215" s="95"/>
      <c r="P215" s="95"/>
      <c r="Q215" s="95"/>
      <c r="R215" s="95"/>
      <c r="S215" s="95"/>
      <c r="T215" s="95"/>
      <c r="U215" s="95"/>
      <c r="V215" s="95"/>
      <c r="W215" s="95"/>
      <c r="X215" s="95"/>
      <c r="Y215" s="95"/>
      <c r="Z215" s="95"/>
      <c r="AA215" s="95"/>
    </row>
    <row r="216">
      <c r="A216" s="95" t="s">
        <v>5116</v>
      </c>
      <c r="B216" s="95"/>
      <c r="C216" s="95"/>
      <c r="D216" s="95"/>
      <c r="E216" s="95"/>
      <c r="F216" s="95"/>
      <c r="G216" s="95"/>
      <c r="H216" s="95"/>
      <c r="I216" s="95"/>
      <c r="J216" s="95"/>
      <c r="K216" s="95"/>
      <c r="L216" s="95"/>
      <c r="M216" s="95"/>
      <c r="N216" s="95"/>
      <c r="O216" s="95"/>
      <c r="P216" s="95"/>
      <c r="Q216" s="95"/>
      <c r="R216" s="95"/>
      <c r="S216" s="95"/>
      <c r="T216" s="95"/>
      <c r="U216" s="95"/>
      <c r="V216" s="95"/>
      <c r="W216" s="95"/>
      <c r="X216" s="95"/>
      <c r="Y216" s="95"/>
      <c r="Z216" s="95"/>
      <c r="AA216" s="95"/>
    </row>
    <row r="217">
      <c r="A217" s="95" t="s">
        <v>5116</v>
      </c>
      <c r="B217" s="95"/>
      <c r="C217" s="95"/>
      <c r="D217" s="95"/>
      <c r="E217" s="95"/>
      <c r="F217" s="95"/>
      <c r="G217" s="95"/>
      <c r="H217" s="95"/>
      <c r="I217" s="95"/>
      <c r="J217" s="95"/>
      <c r="K217" s="95"/>
      <c r="L217" s="95"/>
      <c r="M217" s="95"/>
      <c r="N217" s="95"/>
      <c r="O217" s="95"/>
      <c r="P217" s="95"/>
      <c r="Q217" s="95"/>
      <c r="R217" s="95"/>
      <c r="S217" s="95"/>
      <c r="T217" s="95"/>
      <c r="U217" s="95"/>
      <c r="V217" s="95"/>
      <c r="W217" s="95"/>
      <c r="X217" s="95"/>
      <c r="Y217" s="95"/>
      <c r="Z217" s="95"/>
      <c r="AA217" s="95"/>
    </row>
    <row r="218">
      <c r="A218" s="95" t="s">
        <v>5116</v>
      </c>
      <c r="B218" s="95"/>
      <c r="C218" s="95"/>
      <c r="D218" s="95"/>
      <c r="E218" s="95"/>
      <c r="F218" s="95"/>
      <c r="G218" s="95"/>
      <c r="H218" s="95"/>
      <c r="I218" s="95"/>
      <c r="J218" s="95"/>
      <c r="K218" s="95"/>
      <c r="L218" s="95"/>
      <c r="M218" s="95"/>
      <c r="N218" s="95"/>
      <c r="O218" s="95"/>
      <c r="P218" s="95"/>
      <c r="Q218" s="95"/>
      <c r="R218" s="95"/>
      <c r="S218" s="95"/>
      <c r="T218" s="95"/>
      <c r="U218" s="95"/>
      <c r="V218" s="95"/>
      <c r="W218" s="95"/>
      <c r="X218" s="95"/>
      <c r="Y218" s="95"/>
      <c r="Z218" s="95"/>
      <c r="AA218" s="95"/>
    </row>
    <row r="219">
      <c r="A219" s="95" t="s">
        <v>5116</v>
      </c>
      <c r="B219" s="95"/>
      <c r="C219" s="95"/>
      <c r="D219" s="95"/>
      <c r="E219" s="95"/>
      <c r="F219" s="95"/>
      <c r="G219" s="95"/>
      <c r="H219" s="95"/>
      <c r="I219" s="95"/>
      <c r="J219" s="95"/>
      <c r="K219" s="95"/>
      <c r="L219" s="95"/>
      <c r="M219" s="95"/>
      <c r="N219" s="95"/>
      <c r="O219" s="95"/>
      <c r="P219" s="95"/>
      <c r="Q219" s="95"/>
      <c r="R219" s="95"/>
      <c r="S219" s="95"/>
      <c r="T219" s="95"/>
      <c r="U219" s="95"/>
      <c r="V219" s="95"/>
      <c r="W219" s="95"/>
      <c r="X219" s="95"/>
      <c r="Y219" s="95"/>
      <c r="Z219" s="95"/>
      <c r="AA219" s="95"/>
    </row>
    <row r="220">
      <c r="A220" s="95" t="s">
        <v>5116</v>
      </c>
      <c r="B220" s="95"/>
      <c r="C220" s="95"/>
      <c r="D220" s="95"/>
      <c r="E220" s="95"/>
      <c r="F220" s="95"/>
      <c r="G220" s="95"/>
      <c r="H220" s="95"/>
      <c r="I220" s="95"/>
      <c r="J220" s="95"/>
      <c r="K220" s="95"/>
      <c r="L220" s="95"/>
      <c r="M220" s="95"/>
      <c r="N220" s="95"/>
      <c r="O220" s="95"/>
      <c r="P220" s="95"/>
      <c r="Q220" s="95"/>
      <c r="R220" s="95"/>
      <c r="S220" s="95"/>
      <c r="T220" s="95"/>
      <c r="U220" s="95"/>
      <c r="V220" s="95"/>
      <c r="W220" s="95"/>
      <c r="X220" s="95"/>
      <c r="Y220" s="95"/>
      <c r="Z220" s="95"/>
      <c r="AA220" s="95"/>
    </row>
    <row r="221">
      <c r="A221" s="95" t="s">
        <v>5116</v>
      </c>
      <c r="B221" s="95"/>
      <c r="C221" s="95"/>
      <c r="D221" s="95"/>
      <c r="E221" s="95"/>
      <c r="F221" s="95"/>
      <c r="G221" s="95"/>
      <c r="H221" s="95"/>
      <c r="I221" s="95"/>
      <c r="J221" s="95"/>
      <c r="K221" s="95"/>
      <c r="L221" s="95"/>
      <c r="M221" s="95"/>
      <c r="N221" s="95"/>
      <c r="O221" s="95"/>
      <c r="P221" s="95"/>
      <c r="Q221" s="95"/>
      <c r="R221" s="95"/>
      <c r="S221" s="95"/>
      <c r="T221" s="95"/>
      <c r="U221" s="95"/>
      <c r="V221" s="95"/>
      <c r="W221" s="95"/>
      <c r="X221" s="95"/>
      <c r="Y221" s="95"/>
      <c r="Z221" s="95"/>
      <c r="AA221" s="95"/>
    </row>
    <row r="222">
      <c r="A222" s="95" t="s">
        <v>5116</v>
      </c>
      <c r="B222" s="95"/>
      <c r="C222" s="95"/>
      <c r="D222" s="95"/>
      <c r="E222" s="95"/>
      <c r="F222" s="95"/>
      <c r="G222" s="95"/>
      <c r="H222" s="95"/>
      <c r="I222" s="95"/>
      <c r="J222" s="95"/>
      <c r="K222" s="95"/>
      <c r="L222" s="95"/>
      <c r="M222" s="95"/>
      <c r="N222" s="95"/>
      <c r="O222" s="95"/>
      <c r="P222" s="95"/>
      <c r="Q222" s="95"/>
      <c r="R222" s="95"/>
      <c r="S222" s="95"/>
      <c r="T222" s="95"/>
      <c r="U222" s="95"/>
      <c r="V222" s="95"/>
      <c r="W222" s="95"/>
      <c r="X222" s="95"/>
      <c r="Y222" s="95"/>
      <c r="Z222" s="95"/>
      <c r="AA222" s="95"/>
    </row>
    <row r="223">
      <c r="A223" s="95" t="s">
        <v>5116</v>
      </c>
      <c r="B223" s="95"/>
      <c r="C223" s="95"/>
      <c r="D223" s="95"/>
      <c r="E223" s="95"/>
      <c r="F223" s="95"/>
      <c r="G223" s="95"/>
      <c r="H223" s="95"/>
      <c r="I223" s="95"/>
      <c r="J223" s="95"/>
      <c r="K223" s="95"/>
      <c r="L223" s="95"/>
      <c r="M223" s="95"/>
      <c r="N223" s="95"/>
      <c r="O223" s="95"/>
      <c r="P223" s="95"/>
      <c r="Q223" s="95"/>
      <c r="R223" s="95"/>
      <c r="S223" s="95"/>
      <c r="T223" s="95"/>
      <c r="U223" s="95"/>
      <c r="V223" s="95"/>
      <c r="W223" s="95"/>
      <c r="X223" s="95"/>
      <c r="Y223" s="95"/>
      <c r="Z223" s="95"/>
      <c r="AA223" s="95"/>
    </row>
    <row r="224">
      <c r="A224" s="95" t="s">
        <v>5116</v>
      </c>
      <c r="B224" s="95"/>
      <c r="C224" s="95"/>
      <c r="D224" s="95"/>
      <c r="E224" s="95"/>
      <c r="F224" s="95"/>
      <c r="G224" s="95"/>
      <c r="H224" s="95"/>
      <c r="I224" s="95"/>
      <c r="J224" s="95"/>
      <c r="K224" s="95"/>
      <c r="L224" s="95"/>
      <c r="M224" s="95"/>
      <c r="N224" s="95"/>
      <c r="O224" s="95"/>
      <c r="P224" s="95"/>
      <c r="Q224" s="95"/>
      <c r="R224" s="95"/>
      <c r="S224" s="95"/>
      <c r="T224" s="95"/>
      <c r="U224" s="95"/>
      <c r="V224" s="95"/>
      <c r="W224" s="95"/>
      <c r="X224" s="95"/>
      <c r="Y224" s="95"/>
      <c r="Z224" s="95"/>
      <c r="AA224" s="95"/>
    </row>
    <row r="225">
      <c r="A225" s="95" t="s">
        <v>5116</v>
      </c>
      <c r="B225" s="95"/>
      <c r="C225" s="95"/>
      <c r="D225" s="95"/>
      <c r="E225" s="95"/>
      <c r="F225" s="95"/>
      <c r="G225" s="95"/>
      <c r="H225" s="95"/>
      <c r="I225" s="95"/>
      <c r="J225" s="95"/>
      <c r="K225" s="95"/>
      <c r="L225" s="95"/>
      <c r="M225" s="95"/>
      <c r="N225" s="95"/>
      <c r="O225" s="95"/>
      <c r="P225" s="95"/>
      <c r="Q225" s="95"/>
      <c r="R225" s="95"/>
      <c r="S225" s="95"/>
      <c r="T225" s="95"/>
      <c r="U225" s="95"/>
      <c r="V225" s="95"/>
      <c r="W225" s="95"/>
      <c r="X225" s="95"/>
      <c r="Y225" s="95"/>
      <c r="Z225" s="95"/>
      <c r="AA225" s="95"/>
    </row>
    <row r="226">
      <c r="A226" s="95" t="s">
        <v>5116</v>
      </c>
      <c r="B226" s="95"/>
      <c r="C226" s="95"/>
      <c r="D226" s="95"/>
      <c r="E226" s="95"/>
      <c r="F226" s="95"/>
      <c r="G226" s="95"/>
      <c r="H226" s="95"/>
      <c r="I226" s="95"/>
      <c r="J226" s="95"/>
      <c r="K226" s="95"/>
      <c r="L226" s="95"/>
      <c r="M226" s="95"/>
      <c r="N226" s="95"/>
      <c r="O226" s="95"/>
      <c r="P226" s="95"/>
      <c r="Q226" s="95"/>
      <c r="R226" s="95"/>
      <c r="S226" s="95"/>
      <c r="T226" s="95"/>
      <c r="U226" s="95"/>
      <c r="V226" s="95"/>
      <c r="W226" s="95"/>
      <c r="X226" s="95"/>
      <c r="Y226" s="95"/>
      <c r="Z226" s="95"/>
      <c r="AA226" s="95"/>
    </row>
    <row r="227">
      <c r="A227" s="95" t="s">
        <v>5116</v>
      </c>
      <c r="B227" s="95"/>
      <c r="C227" s="95"/>
      <c r="D227" s="95"/>
      <c r="E227" s="95"/>
      <c r="F227" s="95"/>
      <c r="G227" s="95"/>
      <c r="H227" s="95"/>
      <c r="I227" s="95"/>
      <c r="J227" s="95"/>
      <c r="K227" s="95"/>
      <c r="L227" s="95"/>
      <c r="M227" s="95"/>
      <c r="N227" s="95"/>
      <c r="O227" s="95"/>
      <c r="P227" s="95"/>
      <c r="Q227" s="95"/>
      <c r="R227" s="95"/>
      <c r="S227" s="95"/>
      <c r="T227" s="95"/>
      <c r="U227" s="95"/>
      <c r="V227" s="95"/>
      <c r="W227" s="95"/>
      <c r="X227" s="95"/>
      <c r="Y227" s="95"/>
      <c r="Z227" s="95"/>
      <c r="AA227" s="95"/>
    </row>
    <row r="228">
      <c r="A228" s="95" t="s">
        <v>5116</v>
      </c>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c r="AA228" s="95"/>
    </row>
    <row r="229">
      <c r="A229" s="95" t="s">
        <v>5116</v>
      </c>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c r="AA229" s="95"/>
    </row>
    <row r="230">
      <c r="A230" s="95" t="s">
        <v>5116</v>
      </c>
      <c r="B230" s="95"/>
      <c r="C230" s="95"/>
      <c r="D230" s="95"/>
      <c r="E230" s="95"/>
      <c r="F230" s="95"/>
      <c r="G230" s="95"/>
      <c r="H230" s="95"/>
      <c r="I230" s="95"/>
      <c r="J230" s="95"/>
      <c r="K230" s="95"/>
      <c r="L230" s="95"/>
      <c r="M230" s="95"/>
      <c r="N230" s="95"/>
      <c r="O230" s="95"/>
      <c r="P230" s="95"/>
      <c r="Q230" s="95"/>
      <c r="R230" s="95"/>
      <c r="S230" s="95"/>
      <c r="T230" s="95"/>
      <c r="U230" s="95"/>
      <c r="V230" s="95"/>
      <c r="W230" s="95"/>
      <c r="X230" s="95"/>
      <c r="Y230" s="95"/>
      <c r="Z230" s="95"/>
      <c r="AA230" s="95"/>
    </row>
    <row r="231">
      <c r="A231" s="95" t="s">
        <v>5116</v>
      </c>
      <c r="B231" s="95"/>
      <c r="C231" s="95"/>
      <c r="D231" s="95"/>
      <c r="E231" s="95"/>
      <c r="F231" s="95"/>
      <c r="G231" s="95"/>
      <c r="H231" s="95"/>
      <c r="I231" s="95"/>
      <c r="J231" s="95"/>
      <c r="K231" s="95"/>
      <c r="L231" s="95"/>
      <c r="M231" s="95"/>
      <c r="N231" s="95"/>
      <c r="O231" s="95"/>
      <c r="P231" s="95"/>
      <c r="Q231" s="95"/>
      <c r="R231" s="95"/>
      <c r="S231" s="95"/>
      <c r="T231" s="95"/>
      <c r="U231" s="95"/>
      <c r="V231" s="95"/>
      <c r="W231" s="95"/>
      <c r="X231" s="95"/>
      <c r="Y231" s="95"/>
      <c r="Z231" s="95"/>
      <c r="AA231" s="95"/>
    </row>
    <row r="232">
      <c r="A232" s="95" t="s">
        <v>5116</v>
      </c>
      <c r="B232" s="95"/>
      <c r="C232" s="95"/>
      <c r="D232" s="95"/>
      <c r="E232" s="95"/>
      <c r="F232" s="95"/>
      <c r="G232" s="95"/>
      <c r="H232" s="95"/>
      <c r="I232" s="95"/>
      <c r="J232" s="95"/>
      <c r="K232" s="95"/>
      <c r="L232" s="95"/>
      <c r="M232" s="95"/>
      <c r="N232" s="95"/>
      <c r="O232" s="95"/>
      <c r="P232" s="95"/>
      <c r="Q232" s="95"/>
      <c r="R232" s="95"/>
      <c r="S232" s="95"/>
      <c r="T232" s="95"/>
      <c r="U232" s="95"/>
      <c r="V232" s="95"/>
      <c r="W232" s="95"/>
      <c r="X232" s="95"/>
      <c r="Y232" s="95"/>
      <c r="Z232" s="95"/>
      <c r="AA232" s="95"/>
    </row>
    <row r="233">
      <c r="A233" s="95" t="s">
        <v>5116</v>
      </c>
      <c r="B233" s="95"/>
      <c r="C233" s="95"/>
      <c r="D233" s="95"/>
      <c r="E233" s="95"/>
      <c r="F233" s="95"/>
      <c r="G233" s="95"/>
      <c r="H233" s="95"/>
      <c r="I233" s="95"/>
      <c r="J233" s="95"/>
      <c r="K233" s="95"/>
      <c r="L233" s="95"/>
      <c r="M233" s="95"/>
      <c r="N233" s="95"/>
      <c r="O233" s="95"/>
      <c r="P233" s="95"/>
      <c r="Q233" s="95"/>
      <c r="R233" s="95"/>
      <c r="S233" s="95"/>
      <c r="T233" s="95"/>
      <c r="U233" s="95"/>
      <c r="V233" s="95"/>
      <c r="W233" s="95"/>
      <c r="X233" s="95"/>
      <c r="Y233" s="95"/>
      <c r="Z233" s="95"/>
      <c r="AA233" s="95"/>
    </row>
    <row r="234">
      <c r="A234" s="95" t="s">
        <v>5116</v>
      </c>
      <c r="B234" s="95"/>
      <c r="C234" s="95"/>
      <c r="D234" s="95"/>
      <c r="E234" s="95"/>
      <c r="F234" s="95"/>
      <c r="G234" s="95"/>
      <c r="H234" s="95"/>
      <c r="I234" s="95"/>
      <c r="J234" s="95"/>
      <c r="K234" s="95"/>
      <c r="L234" s="95"/>
      <c r="M234" s="95"/>
      <c r="N234" s="95"/>
      <c r="O234" s="95"/>
      <c r="P234" s="95"/>
      <c r="Q234" s="95"/>
      <c r="R234" s="95"/>
      <c r="S234" s="95"/>
      <c r="T234" s="95"/>
      <c r="U234" s="95"/>
      <c r="V234" s="95"/>
      <c r="W234" s="95"/>
      <c r="X234" s="95"/>
      <c r="Y234" s="95"/>
      <c r="Z234" s="95"/>
      <c r="AA234" s="95"/>
    </row>
    <row r="235">
      <c r="A235" s="95" t="s">
        <v>5116</v>
      </c>
      <c r="B235" s="95"/>
      <c r="C235" s="95"/>
      <c r="D235" s="95"/>
      <c r="E235" s="95"/>
      <c r="F235" s="95"/>
      <c r="G235" s="95"/>
      <c r="H235" s="95"/>
      <c r="I235" s="95"/>
      <c r="J235" s="95"/>
      <c r="K235" s="95"/>
      <c r="L235" s="95"/>
      <c r="M235" s="95"/>
      <c r="N235" s="95"/>
      <c r="O235" s="95"/>
      <c r="P235" s="95"/>
      <c r="Q235" s="95"/>
      <c r="R235" s="95"/>
      <c r="S235" s="95"/>
      <c r="T235" s="95"/>
      <c r="U235" s="95"/>
      <c r="V235" s="95"/>
      <c r="W235" s="95"/>
      <c r="X235" s="95"/>
      <c r="Y235" s="95"/>
      <c r="Z235" s="95"/>
      <c r="AA235" s="95"/>
    </row>
    <row r="236">
      <c r="A236" s="95" t="s">
        <v>5116</v>
      </c>
      <c r="B236" s="95"/>
      <c r="C236" s="95"/>
      <c r="D236" s="95"/>
      <c r="E236" s="95"/>
      <c r="F236" s="95"/>
      <c r="G236" s="95"/>
      <c r="H236" s="95"/>
      <c r="I236" s="95"/>
      <c r="J236" s="95"/>
      <c r="K236" s="95"/>
      <c r="L236" s="95"/>
      <c r="M236" s="95"/>
      <c r="N236" s="95"/>
      <c r="O236" s="95"/>
      <c r="P236" s="95"/>
      <c r="Q236" s="95"/>
      <c r="R236" s="95"/>
      <c r="S236" s="95"/>
      <c r="T236" s="95"/>
      <c r="U236" s="95"/>
      <c r="V236" s="95"/>
      <c r="W236" s="95"/>
      <c r="X236" s="95"/>
      <c r="Y236" s="95"/>
      <c r="Z236" s="95"/>
      <c r="AA236" s="95"/>
    </row>
    <row r="237">
      <c r="A237" s="95" t="s">
        <v>5116</v>
      </c>
      <c r="B237" s="95"/>
      <c r="C237" s="95"/>
      <c r="D237" s="95"/>
      <c r="E237" s="95"/>
      <c r="F237" s="95"/>
      <c r="G237" s="95"/>
      <c r="H237" s="95"/>
      <c r="I237" s="95"/>
      <c r="J237" s="95"/>
      <c r="K237" s="95"/>
      <c r="L237" s="95"/>
      <c r="M237" s="95"/>
      <c r="N237" s="95"/>
      <c r="O237" s="95"/>
      <c r="P237" s="95"/>
      <c r="Q237" s="95"/>
      <c r="R237" s="95"/>
      <c r="S237" s="95"/>
      <c r="T237" s="95"/>
      <c r="U237" s="95"/>
      <c r="V237" s="95"/>
      <c r="W237" s="95"/>
      <c r="X237" s="95"/>
      <c r="Y237" s="95"/>
      <c r="Z237" s="95"/>
      <c r="AA237" s="95"/>
    </row>
    <row r="238">
      <c r="A238" s="95" t="s">
        <v>5116</v>
      </c>
      <c r="B238" s="95"/>
      <c r="C238" s="95"/>
      <c r="D238" s="95"/>
      <c r="E238" s="95"/>
      <c r="F238" s="95"/>
      <c r="G238" s="95"/>
      <c r="H238" s="95"/>
      <c r="I238" s="95"/>
      <c r="J238" s="95"/>
      <c r="K238" s="95"/>
      <c r="L238" s="95"/>
      <c r="M238" s="95"/>
      <c r="N238" s="95"/>
      <c r="O238" s="95"/>
      <c r="P238" s="95"/>
      <c r="Q238" s="95"/>
      <c r="R238" s="95"/>
      <c r="S238" s="95"/>
      <c r="T238" s="95"/>
      <c r="U238" s="95"/>
      <c r="V238" s="95"/>
      <c r="W238" s="95"/>
      <c r="X238" s="95"/>
      <c r="Y238" s="95"/>
      <c r="Z238" s="95"/>
      <c r="AA238" s="95"/>
    </row>
    <row r="239">
      <c r="A239" s="95" t="s">
        <v>5116</v>
      </c>
      <c r="B239" s="95"/>
      <c r="C239" s="95"/>
      <c r="D239" s="95"/>
      <c r="E239" s="95"/>
      <c r="F239" s="95"/>
      <c r="G239" s="95"/>
      <c r="H239" s="95"/>
      <c r="I239" s="95"/>
      <c r="J239" s="95"/>
      <c r="K239" s="95"/>
      <c r="L239" s="95"/>
      <c r="M239" s="95"/>
      <c r="N239" s="95"/>
      <c r="O239" s="95"/>
      <c r="P239" s="95"/>
      <c r="Q239" s="95"/>
      <c r="R239" s="95"/>
      <c r="S239" s="95"/>
      <c r="T239" s="95"/>
      <c r="U239" s="95"/>
      <c r="V239" s="95"/>
      <c r="W239" s="95"/>
      <c r="X239" s="95"/>
      <c r="Y239" s="95"/>
      <c r="Z239" s="95"/>
      <c r="AA239" s="95"/>
    </row>
    <row r="240">
      <c r="A240" s="95" t="s">
        <v>5116</v>
      </c>
      <c r="B240" s="95"/>
      <c r="C240" s="95"/>
      <c r="D240" s="95"/>
      <c r="E240" s="95"/>
      <c r="F240" s="95"/>
      <c r="G240" s="95"/>
      <c r="H240" s="95"/>
      <c r="I240" s="95"/>
      <c r="J240" s="95"/>
      <c r="K240" s="95"/>
      <c r="L240" s="95"/>
      <c r="M240" s="95"/>
      <c r="N240" s="95"/>
      <c r="O240" s="95"/>
      <c r="P240" s="95"/>
      <c r="Q240" s="95"/>
      <c r="R240" s="95"/>
      <c r="S240" s="95"/>
      <c r="T240" s="95"/>
      <c r="U240" s="95"/>
      <c r="V240" s="95"/>
      <c r="W240" s="95"/>
      <c r="X240" s="95"/>
      <c r="Y240" s="95"/>
      <c r="Z240" s="95"/>
      <c r="AA240" s="95"/>
    </row>
    <row r="241">
      <c r="A241" s="95" t="s">
        <v>5116</v>
      </c>
      <c r="B241" s="95"/>
      <c r="C241" s="95"/>
      <c r="D241" s="95"/>
      <c r="E241" s="95"/>
      <c r="F241" s="95"/>
      <c r="G241" s="95"/>
      <c r="H241" s="95"/>
      <c r="I241" s="95"/>
      <c r="J241" s="95"/>
      <c r="K241" s="95"/>
      <c r="L241" s="95"/>
      <c r="M241" s="95"/>
      <c r="N241" s="95"/>
      <c r="O241" s="95"/>
      <c r="P241" s="95"/>
      <c r="Q241" s="95"/>
      <c r="R241" s="95"/>
      <c r="S241" s="95"/>
      <c r="T241" s="95"/>
      <c r="U241" s="95"/>
      <c r="V241" s="95"/>
      <c r="W241" s="95"/>
      <c r="X241" s="95"/>
      <c r="Y241" s="95"/>
      <c r="Z241" s="95"/>
      <c r="AA241" s="95"/>
    </row>
    <row r="242">
      <c r="A242" s="95" t="s">
        <v>5116</v>
      </c>
      <c r="B242" s="95"/>
      <c r="C242" s="95"/>
      <c r="D242" s="95"/>
      <c r="E242" s="95"/>
      <c r="F242" s="95"/>
      <c r="G242" s="95"/>
      <c r="H242" s="95"/>
      <c r="I242" s="95"/>
      <c r="J242" s="95"/>
      <c r="K242" s="95"/>
      <c r="L242" s="95"/>
      <c r="M242" s="95"/>
      <c r="N242" s="95"/>
      <c r="O242" s="95"/>
      <c r="P242" s="95"/>
      <c r="Q242" s="95"/>
      <c r="R242" s="95"/>
      <c r="S242" s="95"/>
      <c r="T242" s="95"/>
      <c r="U242" s="95"/>
      <c r="V242" s="95"/>
      <c r="W242" s="95"/>
      <c r="X242" s="95"/>
      <c r="Y242" s="95"/>
      <c r="Z242" s="95"/>
      <c r="AA242" s="95"/>
    </row>
    <row r="243">
      <c r="A243" s="95" t="s">
        <v>5116</v>
      </c>
      <c r="B243" s="95"/>
      <c r="C243" s="95"/>
      <c r="D243" s="95"/>
      <c r="E243" s="95"/>
      <c r="F243" s="95"/>
      <c r="G243" s="95"/>
      <c r="H243" s="95"/>
      <c r="I243" s="95"/>
      <c r="J243" s="95"/>
      <c r="K243" s="95"/>
      <c r="L243" s="95"/>
      <c r="M243" s="95"/>
      <c r="N243" s="95"/>
      <c r="O243" s="95"/>
      <c r="P243" s="95"/>
      <c r="Q243" s="95"/>
      <c r="R243" s="95"/>
      <c r="S243" s="95"/>
      <c r="T243" s="95"/>
      <c r="U243" s="95"/>
      <c r="V243" s="95"/>
      <c r="W243" s="95"/>
      <c r="X243" s="95"/>
      <c r="Y243" s="95"/>
      <c r="Z243" s="95"/>
      <c r="AA243" s="95"/>
    </row>
    <row r="244">
      <c r="A244" s="95" t="s">
        <v>5116</v>
      </c>
      <c r="B244" s="95"/>
      <c r="C244" s="95"/>
      <c r="D244" s="95"/>
      <c r="E244" s="95"/>
      <c r="F244" s="95"/>
      <c r="G244" s="95"/>
      <c r="H244" s="95"/>
      <c r="I244" s="95"/>
      <c r="J244" s="95"/>
      <c r="K244" s="95"/>
      <c r="L244" s="95"/>
      <c r="M244" s="95"/>
      <c r="N244" s="95"/>
      <c r="O244" s="95"/>
      <c r="P244" s="95"/>
      <c r="Q244" s="95"/>
      <c r="R244" s="95"/>
      <c r="S244" s="95"/>
      <c r="T244" s="95"/>
      <c r="U244" s="95"/>
      <c r="V244" s="95"/>
      <c r="W244" s="95"/>
      <c r="X244" s="95"/>
      <c r="Y244" s="95"/>
      <c r="Z244" s="95"/>
      <c r="AA244" s="95"/>
    </row>
    <row r="245">
      <c r="A245" s="95" t="s">
        <v>5116</v>
      </c>
      <c r="B245" s="95"/>
      <c r="C245" s="95"/>
      <c r="D245" s="95"/>
      <c r="E245" s="95"/>
      <c r="F245" s="95"/>
      <c r="G245" s="95"/>
      <c r="H245" s="95"/>
      <c r="I245" s="95"/>
      <c r="J245" s="95"/>
      <c r="K245" s="95"/>
      <c r="L245" s="95"/>
      <c r="M245" s="95"/>
      <c r="N245" s="95"/>
      <c r="O245" s="95"/>
      <c r="P245" s="95"/>
      <c r="Q245" s="95"/>
      <c r="R245" s="95"/>
      <c r="S245" s="95"/>
      <c r="T245" s="95"/>
      <c r="U245" s="95"/>
      <c r="V245" s="95"/>
      <c r="W245" s="95"/>
      <c r="X245" s="95"/>
      <c r="Y245" s="95"/>
      <c r="Z245" s="95"/>
      <c r="AA245" s="95"/>
    </row>
    <row r="246">
      <c r="A246" s="95" t="s">
        <v>5116</v>
      </c>
      <c r="B246" s="95"/>
      <c r="C246" s="95"/>
      <c r="D246" s="95"/>
      <c r="E246" s="95"/>
      <c r="F246" s="95"/>
      <c r="G246" s="95"/>
      <c r="H246" s="95"/>
      <c r="I246" s="95"/>
      <c r="J246" s="95"/>
      <c r="K246" s="95"/>
      <c r="L246" s="95"/>
      <c r="M246" s="95"/>
      <c r="N246" s="95"/>
      <c r="O246" s="95"/>
      <c r="P246" s="95"/>
      <c r="Q246" s="95"/>
      <c r="R246" s="95"/>
      <c r="S246" s="95"/>
      <c r="T246" s="95"/>
      <c r="U246" s="95"/>
      <c r="V246" s="95"/>
      <c r="W246" s="95"/>
      <c r="X246" s="95"/>
      <c r="Y246" s="95"/>
      <c r="Z246" s="95"/>
      <c r="AA246" s="95"/>
    </row>
    <row r="247">
      <c r="A247" s="95" t="s">
        <v>5116</v>
      </c>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c r="AA247" s="95"/>
    </row>
    <row r="248">
      <c r="A248" s="95" t="s">
        <v>5116</v>
      </c>
      <c r="B248" s="95"/>
      <c r="C248" s="95"/>
      <c r="D248" s="95"/>
      <c r="E248" s="95"/>
      <c r="F248" s="95"/>
      <c r="G248" s="95"/>
      <c r="H248" s="95"/>
      <c r="I248" s="95"/>
      <c r="J248" s="95"/>
      <c r="K248" s="95"/>
      <c r="L248" s="95"/>
      <c r="M248" s="95"/>
      <c r="N248" s="95"/>
      <c r="O248" s="95"/>
      <c r="P248" s="95"/>
      <c r="Q248" s="95"/>
      <c r="R248" s="95"/>
      <c r="S248" s="95"/>
      <c r="T248" s="95"/>
      <c r="U248" s="95"/>
      <c r="V248" s="95"/>
      <c r="W248" s="95"/>
      <c r="X248" s="95"/>
      <c r="Y248" s="95"/>
      <c r="Z248" s="95"/>
      <c r="AA248" s="95"/>
    </row>
    <row r="249">
      <c r="A249" s="95" t="s">
        <v>5116</v>
      </c>
      <c r="B249" s="95"/>
      <c r="C249" s="95"/>
      <c r="D249" s="95"/>
      <c r="E249" s="95"/>
      <c r="F249" s="95"/>
      <c r="G249" s="95"/>
      <c r="H249" s="95"/>
      <c r="I249" s="95"/>
      <c r="J249" s="95"/>
      <c r="K249" s="95"/>
      <c r="L249" s="95"/>
      <c r="M249" s="95"/>
      <c r="N249" s="95"/>
      <c r="O249" s="95"/>
      <c r="P249" s="95"/>
      <c r="Q249" s="95"/>
      <c r="R249" s="95"/>
      <c r="S249" s="95"/>
      <c r="T249" s="95"/>
      <c r="U249" s="95"/>
      <c r="V249" s="95"/>
      <c r="W249" s="95"/>
      <c r="X249" s="95"/>
      <c r="Y249" s="95"/>
      <c r="Z249" s="95"/>
      <c r="AA249" s="95"/>
    </row>
    <row r="250">
      <c r="A250" s="95" t="s">
        <v>5116</v>
      </c>
      <c r="B250" s="95"/>
      <c r="C250" s="95"/>
      <c r="D250" s="95"/>
      <c r="E250" s="95"/>
      <c r="F250" s="95"/>
      <c r="G250" s="95"/>
      <c r="H250" s="95"/>
      <c r="I250" s="95"/>
      <c r="J250" s="95"/>
      <c r="K250" s="95"/>
      <c r="L250" s="95"/>
      <c r="M250" s="95"/>
      <c r="N250" s="95"/>
      <c r="O250" s="95"/>
      <c r="P250" s="95"/>
      <c r="Q250" s="95"/>
      <c r="R250" s="95"/>
      <c r="S250" s="95"/>
      <c r="T250" s="95"/>
      <c r="U250" s="95"/>
      <c r="V250" s="95"/>
      <c r="W250" s="95"/>
      <c r="X250" s="95"/>
      <c r="Y250" s="95"/>
      <c r="Z250" s="95"/>
      <c r="AA250" s="95"/>
    </row>
    <row r="251">
      <c r="A251" s="95" t="s">
        <v>5116</v>
      </c>
      <c r="B251" s="95"/>
      <c r="C251" s="95"/>
      <c r="D251" s="95"/>
      <c r="E251" s="95"/>
      <c r="F251" s="95"/>
      <c r="G251" s="95"/>
      <c r="H251" s="95"/>
      <c r="I251" s="95"/>
      <c r="J251" s="95"/>
      <c r="K251" s="95"/>
      <c r="L251" s="95"/>
      <c r="M251" s="95"/>
      <c r="N251" s="95"/>
      <c r="O251" s="95"/>
      <c r="P251" s="95"/>
      <c r="Q251" s="95"/>
      <c r="R251" s="95"/>
      <c r="S251" s="95"/>
      <c r="T251" s="95"/>
      <c r="U251" s="95"/>
      <c r="V251" s="95"/>
      <c r="W251" s="95"/>
      <c r="X251" s="95"/>
      <c r="Y251" s="95"/>
      <c r="Z251" s="95"/>
      <c r="AA251" s="95"/>
    </row>
    <row r="252">
      <c r="A252" s="95" t="s">
        <v>5116</v>
      </c>
      <c r="B252" s="95"/>
      <c r="C252" s="95"/>
      <c r="D252" s="95"/>
      <c r="E252" s="95"/>
      <c r="F252" s="95"/>
      <c r="G252" s="95"/>
      <c r="H252" s="95"/>
      <c r="I252" s="95"/>
      <c r="J252" s="95"/>
      <c r="K252" s="95"/>
      <c r="L252" s="95"/>
      <c r="M252" s="95"/>
      <c r="N252" s="95"/>
      <c r="O252" s="95"/>
      <c r="P252" s="95"/>
      <c r="Q252" s="95"/>
      <c r="R252" s="95"/>
      <c r="S252" s="95"/>
      <c r="T252" s="95"/>
      <c r="U252" s="95"/>
      <c r="V252" s="95"/>
      <c r="W252" s="95"/>
      <c r="X252" s="95"/>
      <c r="Y252" s="95"/>
      <c r="Z252" s="95"/>
      <c r="AA252" s="95"/>
    </row>
    <row r="253">
      <c r="A253" s="95" t="s">
        <v>5116</v>
      </c>
      <c r="B253" s="95"/>
      <c r="C253" s="95"/>
      <c r="D253" s="95"/>
      <c r="E253" s="95"/>
      <c r="F253" s="95"/>
      <c r="G253" s="95"/>
      <c r="H253" s="95"/>
      <c r="I253" s="95"/>
      <c r="J253" s="95"/>
      <c r="K253" s="95"/>
      <c r="L253" s="95"/>
      <c r="M253" s="95"/>
      <c r="N253" s="95"/>
      <c r="O253" s="95"/>
      <c r="P253" s="95"/>
      <c r="Q253" s="95"/>
      <c r="R253" s="95"/>
      <c r="S253" s="95"/>
      <c r="T253" s="95"/>
      <c r="U253" s="95"/>
      <c r="V253" s="95"/>
      <c r="W253" s="95"/>
      <c r="X253" s="95"/>
      <c r="Y253" s="95"/>
      <c r="Z253" s="95"/>
      <c r="AA253" s="95"/>
    </row>
    <row r="254">
      <c r="A254" s="95" t="s">
        <v>5116</v>
      </c>
      <c r="B254" s="95"/>
      <c r="C254" s="95"/>
      <c r="D254" s="95"/>
      <c r="E254" s="95"/>
      <c r="F254" s="95"/>
      <c r="G254" s="95"/>
      <c r="H254" s="95"/>
      <c r="I254" s="95"/>
      <c r="J254" s="95"/>
      <c r="K254" s="95"/>
      <c r="L254" s="95"/>
      <c r="M254" s="95"/>
      <c r="N254" s="95"/>
      <c r="O254" s="95"/>
      <c r="P254" s="95"/>
      <c r="Q254" s="95"/>
      <c r="R254" s="95"/>
      <c r="S254" s="95"/>
      <c r="T254" s="95"/>
      <c r="U254" s="95"/>
      <c r="V254" s="95"/>
      <c r="W254" s="95"/>
      <c r="X254" s="95"/>
      <c r="Y254" s="95"/>
      <c r="Z254" s="95"/>
      <c r="AA254" s="95"/>
    </row>
    <row r="255">
      <c r="A255" s="95" t="s">
        <v>5116</v>
      </c>
      <c r="B255" s="95"/>
      <c r="C255" s="95"/>
      <c r="D255" s="95"/>
      <c r="E255" s="95"/>
      <c r="F255" s="95"/>
      <c r="G255" s="95"/>
      <c r="H255" s="95"/>
      <c r="I255" s="95"/>
      <c r="J255" s="95"/>
      <c r="K255" s="95"/>
      <c r="L255" s="95"/>
      <c r="M255" s="95"/>
      <c r="N255" s="95"/>
      <c r="O255" s="95"/>
      <c r="P255" s="95"/>
      <c r="Q255" s="95"/>
      <c r="R255" s="95"/>
      <c r="S255" s="95"/>
      <c r="T255" s="95"/>
      <c r="U255" s="95"/>
      <c r="V255" s="95"/>
      <c r="W255" s="95"/>
      <c r="X255" s="95"/>
      <c r="Y255" s="95"/>
      <c r="Z255" s="95"/>
      <c r="AA255" s="95"/>
    </row>
    <row r="256">
      <c r="A256" s="95" t="s">
        <v>5116</v>
      </c>
      <c r="B256" s="95"/>
      <c r="C256" s="95"/>
      <c r="D256" s="95"/>
      <c r="E256" s="95"/>
      <c r="F256" s="95"/>
      <c r="G256" s="95"/>
      <c r="H256" s="95"/>
      <c r="I256" s="95"/>
      <c r="J256" s="95"/>
      <c r="K256" s="95"/>
      <c r="L256" s="95"/>
      <c r="M256" s="95"/>
      <c r="N256" s="95"/>
      <c r="O256" s="95"/>
      <c r="P256" s="95"/>
      <c r="Q256" s="95"/>
      <c r="R256" s="95"/>
      <c r="S256" s="95"/>
      <c r="T256" s="95"/>
      <c r="U256" s="95"/>
      <c r="V256" s="95"/>
      <c r="W256" s="95"/>
      <c r="X256" s="95"/>
      <c r="Y256" s="95"/>
      <c r="Z256" s="95"/>
      <c r="AA256" s="95"/>
    </row>
    <row r="257">
      <c r="A257" s="95" t="s">
        <v>5116</v>
      </c>
      <c r="B257" s="95"/>
      <c r="C257" s="95"/>
      <c r="D257" s="95"/>
      <c r="E257" s="95"/>
      <c r="F257" s="95"/>
      <c r="G257" s="95"/>
      <c r="H257" s="95"/>
      <c r="I257" s="95"/>
      <c r="J257" s="95"/>
      <c r="K257" s="95"/>
      <c r="L257" s="95"/>
      <c r="M257" s="95"/>
      <c r="N257" s="95"/>
      <c r="O257" s="95"/>
      <c r="P257" s="95"/>
      <c r="Q257" s="95"/>
      <c r="R257" s="95"/>
      <c r="S257" s="95"/>
      <c r="T257" s="95"/>
      <c r="U257" s="95"/>
      <c r="V257" s="95"/>
      <c r="W257" s="95"/>
      <c r="X257" s="95"/>
      <c r="Y257" s="95"/>
      <c r="Z257" s="95"/>
      <c r="AA257" s="95"/>
    </row>
    <row r="258">
      <c r="A258" s="95" t="s">
        <v>5116</v>
      </c>
      <c r="B258" s="95"/>
      <c r="C258" s="95"/>
      <c r="D258" s="95"/>
      <c r="E258" s="95"/>
      <c r="F258" s="95"/>
      <c r="G258" s="95"/>
      <c r="H258" s="95"/>
      <c r="I258" s="95"/>
      <c r="J258" s="95"/>
      <c r="K258" s="95"/>
      <c r="L258" s="95"/>
      <c r="M258" s="95"/>
      <c r="N258" s="95"/>
      <c r="O258" s="95"/>
      <c r="P258" s="95"/>
      <c r="Q258" s="95"/>
      <c r="R258" s="95"/>
      <c r="S258" s="95"/>
      <c r="T258" s="95"/>
      <c r="U258" s="95"/>
      <c r="V258" s="95"/>
      <c r="W258" s="95"/>
      <c r="X258" s="95"/>
      <c r="Y258" s="95"/>
      <c r="Z258" s="95"/>
      <c r="AA258" s="95"/>
    </row>
    <row r="259">
      <c r="A259" s="95" t="s">
        <v>5116</v>
      </c>
      <c r="B259" s="95"/>
      <c r="C259" s="95"/>
      <c r="D259" s="95"/>
      <c r="E259" s="95"/>
      <c r="F259" s="95"/>
      <c r="G259" s="95"/>
      <c r="H259" s="95"/>
      <c r="I259" s="95"/>
      <c r="J259" s="95"/>
      <c r="K259" s="95"/>
      <c r="L259" s="95"/>
      <c r="M259" s="95"/>
      <c r="N259" s="95"/>
      <c r="O259" s="95"/>
      <c r="P259" s="95"/>
      <c r="Q259" s="95"/>
      <c r="R259" s="95"/>
      <c r="S259" s="95"/>
      <c r="T259" s="95"/>
      <c r="U259" s="95"/>
      <c r="V259" s="95"/>
      <c r="W259" s="95"/>
      <c r="X259" s="95"/>
      <c r="Y259" s="95"/>
      <c r="Z259" s="95"/>
      <c r="AA259" s="95"/>
    </row>
    <row r="260">
      <c r="A260" s="95" t="s">
        <v>5116</v>
      </c>
      <c r="B260" s="95"/>
      <c r="C260" s="95"/>
      <c r="D260" s="95"/>
      <c r="E260" s="95"/>
      <c r="F260" s="95"/>
      <c r="G260" s="95"/>
      <c r="H260" s="95"/>
      <c r="I260" s="95"/>
      <c r="J260" s="95"/>
      <c r="K260" s="95"/>
      <c r="L260" s="95"/>
      <c r="M260" s="95"/>
      <c r="N260" s="95"/>
      <c r="O260" s="95"/>
      <c r="P260" s="95"/>
      <c r="Q260" s="95"/>
      <c r="R260" s="95"/>
      <c r="S260" s="95"/>
      <c r="T260" s="95"/>
      <c r="U260" s="95"/>
      <c r="V260" s="95"/>
      <c r="W260" s="95"/>
      <c r="X260" s="95"/>
      <c r="Y260" s="95"/>
      <c r="Z260" s="95"/>
      <c r="AA260" s="95"/>
    </row>
    <row r="261">
      <c r="A261" s="95" t="s">
        <v>5116</v>
      </c>
      <c r="B261" s="95"/>
      <c r="C261" s="95"/>
      <c r="D261" s="95"/>
      <c r="E261" s="95"/>
      <c r="F261" s="95"/>
      <c r="G261" s="95"/>
      <c r="H261" s="95"/>
      <c r="I261" s="95"/>
      <c r="J261" s="95"/>
      <c r="K261" s="95"/>
      <c r="L261" s="95"/>
      <c r="M261" s="95"/>
      <c r="N261" s="95"/>
      <c r="O261" s="95"/>
      <c r="P261" s="95"/>
      <c r="Q261" s="95"/>
      <c r="R261" s="95"/>
      <c r="S261" s="95"/>
      <c r="T261" s="95"/>
      <c r="U261" s="95"/>
      <c r="V261" s="95"/>
      <c r="W261" s="95"/>
      <c r="X261" s="95"/>
      <c r="Y261" s="95"/>
      <c r="Z261" s="95"/>
      <c r="AA261" s="95"/>
    </row>
    <row r="262">
      <c r="A262" s="95" t="s">
        <v>5116</v>
      </c>
      <c r="B262" s="95"/>
      <c r="C262" s="95"/>
      <c r="D262" s="95"/>
      <c r="E262" s="95"/>
      <c r="F262" s="95"/>
      <c r="G262" s="95"/>
      <c r="H262" s="95"/>
      <c r="I262" s="95"/>
      <c r="J262" s="95"/>
      <c r="K262" s="95"/>
      <c r="L262" s="95"/>
      <c r="M262" s="95"/>
      <c r="N262" s="95"/>
      <c r="O262" s="95"/>
      <c r="P262" s="95"/>
      <c r="Q262" s="95"/>
      <c r="R262" s="95"/>
      <c r="S262" s="95"/>
      <c r="T262" s="95"/>
      <c r="U262" s="95"/>
      <c r="V262" s="95"/>
      <c r="W262" s="95"/>
      <c r="X262" s="95"/>
      <c r="Y262" s="95"/>
      <c r="Z262" s="95"/>
      <c r="AA262" s="95"/>
    </row>
    <row r="263">
      <c r="A263" s="95" t="s">
        <v>5116</v>
      </c>
      <c r="B263" s="95"/>
      <c r="C263" s="95"/>
      <c r="D263" s="95"/>
      <c r="E263" s="95"/>
      <c r="F263" s="95"/>
      <c r="G263" s="95"/>
      <c r="H263" s="95"/>
      <c r="I263" s="95"/>
      <c r="J263" s="95"/>
      <c r="K263" s="95"/>
      <c r="L263" s="95"/>
      <c r="M263" s="95"/>
      <c r="N263" s="95"/>
      <c r="O263" s="95"/>
      <c r="P263" s="95"/>
      <c r="Q263" s="95"/>
      <c r="R263" s="95"/>
      <c r="S263" s="95"/>
      <c r="T263" s="95"/>
      <c r="U263" s="95"/>
      <c r="V263" s="95"/>
      <c r="W263" s="95"/>
      <c r="X263" s="95"/>
      <c r="Y263" s="95"/>
      <c r="Z263" s="95"/>
      <c r="AA263" s="95"/>
    </row>
    <row r="264">
      <c r="A264" s="95" t="s">
        <v>5116</v>
      </c>
      <c r="B264" s="95"/>
      <c r="C264" s="95"/>
      <c r="D264" s="95"/>
      <c r="E264" s="95"/>
      <c r="F264" s="95"/>
      <c r="G264" s="95"/>
      <c r="H264" s="95"/>
      <c r="I264" s="95"/>
      <c r="J264" s="95"/>
      <c r="K264" s="95"/>
      <c r="L264" s="95"/>
      <c r="M264" s="95"/>
      <c r="N264" s="95"/>
      <c r="O264" s="95"/>
      <c r="P264" s="95"/>
      <c r="Q264" s="95"/>
      <c r="R264" s="95"/>
      <c r="S264" s="95"/>
      <c r="T264" s="95"/>
      <c r="U264" s="95"/>
      <c r="V264" s="95"/>
      <c r="W264" s="95"/>
      <c r="X264" s="95"/>
      <c r="Y264" s="95"/>
      <c r="Z264" s="95"/>
      <c r="AA264" s="95"/>
    </row>
    <row r="265">
      <c r="A265" s="95" t="s">
        <v>5116</v>
      </c>
      <c r="B265" s="95"/>
      <c r="C265" s="95"/>
      <c r="D265" s="95"/>
      <c r="E265" s="95"/>
      <c r="F265" s="95"/>
      <c r="G265" s="95"/>
      <c r="H265" s="95"/>
      <c r="I265" s="95"/>
      <c r="J265" s="95"/>
      <c r="K265" s="95"/>
      <c r="L265" s="95"/>
      <c r="M265" s="95"/>
      <c r="N265" s="95"/>
      <c r="O265" s="95"/>
      <c r="P265" s="95"/>
      <c r="Q265" s="95"/>
      <c r="R265" s="95"/>
      <c r="S265" s="95"/>
      <c r="T265" s="95"/>
      <c r="U265" s="95"/>
      <c r="V265" s="95"/>
      <c r="W265" s="95"/>
      <c r="X265" s="95"/>
      <c r="Y265" s="95"/>
      <c r="Z265" s="95"/>
      <c r="AA265" s="95"/>
    </row>
    <row r="266">
      <c r="A266" s="95" t="s">
        <v>5116</v>
      </c>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c r="AA266" s="95"/>
    </row>
    <row r="267">
      <c r="A267" s="95" t="s">
        <v>5116</v>
      </c>
      <c r="B267" s="95"/>
      <c r="C267" s="95"/>
      <c r="D267" s="95"/>
      <c r="E267" s="95"/>
      <c r="F267" s="95"/>
      <c r="G267" s="95"/>
      <c r="H267" s="95"/>
      <c r="I267" s="95"/>
      <c r="J267" s="95"/>
      <c r="K267" s="95"/>
      <c r="L267" s="95"/>
      <c r="M267" s="95"/>
      <c r="N267" s="95"/>
      <c r="O267" s="95"/>
      <c r="P267" s="95"/>
      <c r="Q267" s="95"/>
      <c r="R267" s="95"/>
      <c r="S267" s="95"/>
      <c r="T267" s="95"/>
      <c r="U267" s="95"/>
      <c r="V267" s="95"/>
      <c r="W267" s="95"/>
      <c r="X267" s="95"/>
      <c r="Y267" s="95"/>
      <c r="Z267" s="95"/>
      <c r="AA267" s="95"/>
    </row>
    <row r="268">
      <c r="A268" s="95" t="s">
        <v>5116</v>
      </c>
      <c r="B268" s="95"/>
      <c r="C268" s="95"/>
      <c r="D268" s="95"/>
      <c r="E268" s="95"/>
      <c r="F268" s="95"/>
      <c r="G268" s="95"/>
      <c r="H268" s="95"/>
      <c r="I268" s="95"/>
      <c r="J268" s="95"/>
      <c r="K268" s="95"/>
      <c r="L268" s="95"/>
      <c r="M268" s="95"/>
      <c r="N268" s="95"/>
      <c r="O268" s="95"/>
      <c r="P268" s="95"/>
      <c r="Q268" s="95"/>
      <c r="R268" s="95"/>
      <c r="S268" s="95"/>
      <c r="T268" s="95"/>
      <c r="U268" s="95"/>
      <c r="V268" s="95"/>
      <c r="W268" s="95"/>
      <c r="X268" s="95"/>
      <c r="Y268" s="95"/>
      <c r="Z268" s="95"/>
      <c r="AA268" s="95"/>
    </row>
    <row r="269">
      <c r="A269" s="95" t="s">
        <v>5116</v>
      </c>
      <c r="B269" s="95"/>
      <c r="C269" s="95"/>
      <c r="D269" s="95"/>
      <c r="E269" s="95"/>
      <c r="F269" s="95"/>
      <c r="G269" s="95"/>
      <c r="H269" s="95"/>
      <c r="I269" s="95"/>
      <c r="J269" s="95"/>
      <c r="K269" s="95"/>
      <c r="L269" s="95"/>
      <c r="M269" s="95"/>
      <c r="N269" s="95"/>
      <c r="O269" s="95"/>
      <c r="P269" s="95"/>
      <c r="Q269" s="95"/>
      <c r="R269" s="95"/>
      <c r="S269" s="95"/>
      <c r="T269" s="95"/>
      <c r="U269" s="95"/>
      <c r="V269" s="95"/>
      <c r="W269" s="95"/>
      <c r="X269" s="95"/>
      <c r="Y269" s="95"/>
      <c r="Z269" s="95"/>
      <c r="AA269" s="95"/>
    </row>
    <row r="270">
      <c r="A270" s="95" t="s">
        <v>5116</v>
      </c>
      <c r="B270" s="95"/>
      <c r="C270" s="95"/>
      <c r="D270" s="95"/>
      <c r="E270" s="95"/>
      <c r="F270" s="95"/>
      <c r="G270" s="95"/>
      <c r="H270" s="95"/>
      <c r="I270" s="95"/>
      <c r="J270" s="95"/>
      <c r="K270" s="95"/>
      <c r="L270" s="95"/>
      <c r="M270" s="95"/>
      <c r="N270" s="95"/>
      <c r="O270" s="95"/>
      <c r="P270" s="95"/>
      <c r="Q270" s="95"/>
      <c r="R270" s="95"/>
      <c r="S270" s="95"/>
      <c r="T270" s="95"/>
      <c r="U270" s="95"/>
      <c r="V270" s="95"/>
      <c r="W270" s="95"/>
      <c r="X270" s="95"/>
      <c r="Y270" s="95"/>
      <c r="Z270" s="95"/>
      <c r="AA270" s="95"/>
    </row>
    <row r="271">
      <c r="A271" s="95" t="s">
        <v>5116</v>
      </c>
      <c r="B271" s="95"/>
      <c r="C271" s="95"/>
      <c r="D271" s="95"/>
      <c r="E271" s="95"/>
      <c r="F271" s="95"/>
      <c r="G271" s="95"/>
      <c r="H271" s="95"/>
      <c r="I271" s="95"/>
      <c r="J271" s="95"/>
      <c r="K271" s="95"/>
      <c r="L271" s="95"/>
      <c r="M271" s="95"/>
      <c r="N271" s="95"/>
      <c r="O271" s="95"/>
      <c r="P271" s="95"/>
      <c r="Q271" s="95"/>
      <c r="R271" s="95"/>
      <c r="S271" s="95"/>
      <c r="T271" s="95"/>
      <c r="U271" s="95"/>
      <c r="V271" s="95"/>
      <c r="W271" s="95"/>
      <c r="X271" s="95"/>
      <c r="Y271" s="95"/>
      <c r="Z271" s="95"/>
      <c r="AA271" s="95"/>
    </row>
    <row r="272">
      <c r="A272" s="95" t="s">
        <v>5116</v>
      </c>
      <c r="B272" s="95"/>
      <c r="C272" s="95"/>
      <c r="D272" s="95"/>
      <c r="E272" s="95"/>
      <c r="F272" s="95"/>
      <c r="G272" s="95"/>
      <c r="H272" s="95"/>
      <c r="I272" s="95"/>
      <c r="J272" s="95"/>
      <c r="K272" s="95"/>
      <c r="L272" s="95"/>
      <c r="M272" s="95"/>
      <c r="N272" s="95"/>
      <c r="O272" s="95"/>
      <c r="P272" s="95"/>
      <c r="Q272" s="95"/>
      <c r="R272" s="95"/>
      <c r="S272" s="95"/>
      <c r="T272" s="95"/>
      <c r="U272" s="95"/>
      <c r="V272" s="95"/>
      <c r="W272" s="95"/>
      <c r="X272" s="95"/>
      <c r="Y272" s="95"/>
      <c r="Z272" s="95"/>
      <c r="AA272" s="95"/>
    </row>
    <row r="273">
      <c r="A273" s="95" t="s">
        <v>5116</v>
      </c>
      <c r="B273" s="95"/>
      <c r="C273" s="95"/>
      <c r="D273" s="95"/>
      <c r="E273" s="95"/>
      <c r="F273" s="95"/>
      <c r="G273" s="95"/>
      <c r="H273" s="95"/>
      <c r="I273" s="95"/>
      <c r="J273" s="95"/>
      <c r="K273" s="95"/>
      <c r="L273" s="95"/>
      <c r="M273" s="95"/>
      <c r="N273" s="95"/>
      <c r="O273" s="95"/>
      <c r="P273" s="95"/>
      <c r="Q273" s="95"/>
      <c r="R273" s="95"/>
      <c r="S273" s="95"/>
      <c r="T273" s="95"/>
      <c r="U273" s="95"/>
      <c r="V273" s="95"/>
      <c r="W273" s="95"/>
      <c r="X273" s="95"/>
      <c r="Y273" s="95"/>
      <c r="Z273" s="95"/>
      <c r="AA273" s="95"/>
    </row>
    <row r="274">
      <c r="A274" s="95" t="s">
        <v>5116</v>
      </c>
      <c r="B274" s="95"/>
      <c r="C274" s="95"/>
      <c r="D274" s="95"/>
      <c r="E274" s="95"/>
      <c r="F274" s="95"/>
      <c r="G274" s="95"/>
      <c r="H274" s="95"/>
      <c r="I274" s="95"/>
      <c r="J274" s="95"/>
      <c r="K274" s="95"/>
      <c r="L274" s="95"/>
      <c r="M274" s="95"/>
      <c r="N274" s="95"/>
      <c r="O274" s="95"/>
      <c r="P274" s="95"/>
      <c r="Q274" s="95"/>
      <c r="R274" s="95"/>
      <c r="S274" s="95"/>
      <c r="T274" s="95"/>
      <c r="U274" s="95"/>
      <c r="V274" s="95"/>
      <c r="W274" s="95"/>
      <c r="X274" s="95"/>
      <c r="Y274" s="95"/>
      <c r="Z274" s="95"/>
      <c r="AA274" s="95"/>
    </row>
    <row r="275">
      <c r="A275" s="95" t="s">
        <v>5116</v>
      </c>
      <c r="B275" s="95"/>
      <c r="C275" s="95"/>
      <c r="D275" s="95"/>
      <c r="E275" s="95"/>
      <c r="F275" s="95"/>
      <c r="G275" s="95"/>
      <c r="H275" s="95"/>
      <c r="I275" s="95"/>
      <c r="J275" s="95"/>
      <c r="K275" s="95"/>
      <c r="L275" s="95"/>
      <c r="M275" s="95"/>
      <c r="N275" s="95"/>
      <c r="O275" s="95"/>
      <c r="P275" s="95"/>
      <c r="Q275" s="95"/>
      <c r="R275" s="95"/>
      <c r="S275" s="95"/>
      <c r="T275" s="95"/>
      <c r="U275" s="95"/>
      <c r="V275" s="95"/>
      <c r="W275" s="95"/>
      <c r="X275" s="95"/>
      <c r="Y275" s="95"/>
      <c r="Z275" s="95"/>
      <c r="AA275" s="95"/>
    </row>
    <row r="276">
      <c r="A276" s="95" t="s">
        <v>5116</v>
      </c>
      <c r="B276" s="95"/>
      <c r="C276" s="95"/>
      <c r="D276" s="95"/>
      <c r="E276" s="95"/>
      <c r="F276" s="95"/>
      <c r="G276" s="95"/>
      <c r="H276" s="95"/>
      <c r="I276" s="95"/>
      <c r="J276" s="95"/>
      <c r="K276" s="95"/>
      <c r="L276" s="95"/>
      <c r="M276" s="95"/>
      <c r="N276" s="95"/>
      <c r="O276" s="95"/>
      <c r="P276" s="95"/>
      <c r="Q276" s="95"/>
      <c r="R276" s="95"/>
      <c r="S276" s="95"/>
      <c r="T276" s="95"/>
      <c r="U276" s="95"/>
      <c r="V276" s="95"/>
      <c r="W276" s="95"/>
      <c r="X276" s="95"/>
      <c r="Y276" s="95"/>
      <c r="Z276" s="95"/>
      <c r="AA276" s="95"/>
    </row>
    <row r="277">
      <c r="A277" s="95" t="s">
        <v>5116</v>
      </c>
      <c r="B277" s="95"/>
      <c r="C277" s="95"/>
      <c r="D277" s="95"/>
      <c r="E277" s="95"/>
      <c r="F277" s="95"/>
      <c r="G277" s="95"/>
      <c r="H277" s="95"/>
      <c r="I277" s="95"/>
      <c r="J277" s="95"/>
      <c r="K277" s="95"/>
      <c r="L277" s="95"/>
      <c r="M277" s="95"/>
      <c r="N277" s="95"/>
      <c r="O277" s="95"/>
      <c r="P277" s="95"/>
      <c r="Q277" s="95"/>
      <c r="R277" s="95"/>
      <c r="S277" s="95"/>
      <c r="T277" s="95"/>
      <c r="U277" s="95"/>
      <c r="V277" s="95"/>
      <c r="W277" s="95"/>
      <c r="X277" s="95"/>
      <c r="Y277" s="95"/>
      <c r="Z277" s="95"/>
      <c r="AA277" s="95"/>
    </row>
    <row r="278">
      <c r="A278" s="95" t="s">
        <v>5116</v>
      </c>
      <c r="B278" s="95"/>
      <c r="C278" s="95"/>
      <c r="D278" s="95"/>
      <c r="E278" s="95"/>
      <c r="F278" s="95"/>
      <c r="G278" s="95"/>
      <c r="H278" s="95"/>
      <c r="I278" s="95"/>
      <c r="J278" s="95"/>
      <c r="K278" s="95"/>
      <c r="L278" s="95"/>
      <c r="M278" s="95"/>
      <c r="N278" s="95"/>
      <c r="O278" s="95"/>
      <c r="P278" s="95"/>
      <c r="Q278" s="95"/>
      <c r="R278" s="95"/>
      <c r="S278" s="95"/>
      <c r="T278" s="95"/>
      <c r="U278" s="95"/>
      <c r="V278" s="95"/>
      <c r="W278" s="95"/>
      <c r="X278" s="95"/>
      <c r="Y278" s="95"/>
      <c r="Z278" s="95"/>
      <c r="AA278" s="95"/>
    </row>
    <row r="279">
      <c r="A279" s="95" t="s">
        <v>5116</v>
      </c>
      <c r="B279" s="95"/>
      <c r="C279" s="95"/>
      <c r="D279" s="95"/>
      <c r="E279" s="95"/>
      <c r="F279" s="95"/>
      <c r="G279" s="95"/>
      <c r="H279" s="95"/>
      <c r="I279" s="95"/>
      <c r="J279" s="95"/>
      <c r="K279" s="95"/>
      <c r="L279" s="95"/>
      <c r="M279" s="95"/>
      <c r="N279" s="95"/>
      <c r="O279" s="95"/>
      <c r="P279" s="95"/>
      <c r="Q279" s="95"/>
      <c r="R279" s="95"/>
      <c r="S279" s="95"/>
      <c r="T279" s="95"/>
      <c r="U279" s="95"/>
      <c r="V279" s="95"/>
      <c r="W279" s="95"/>
      <c r="X279" s="95"/>
      <c r="Y279" s="95"/>
      <c r="Z279" s="95"/>
      <c r="AA279" s="95"/>
    </row>
    <row r="280">
      <c r="A280" s="95" t="s">
        <v>5116</v>
      </c>
      <c r="B280" s="95"/>
      <c r="C280" s="95"/>
      <c r="D280" s="95"/>
      <c r="E280" s="95"/>
      <c r="F280" s="95"/>
      <c r="G280" s="95"/>
      <c r="H280" s="95"/>
      <c r="I280" s="95"/>
      <c r="J280" s="95"/>
      <c r="K280" s="95"/>
      <c r="L280" s="95"/>
      <c r="M280" s="95"/>
      <c r="N280" s="95"/>
      <c r="O280" s="95"/>
      <c r="P280" s="95"/>
      <c r="Q280" s="95"/>
      <c r="R280" s="95"/>
      <c r="S280" s="95"/>
      <c r="T280" s="95"/>
      <c r="U280" s="95"/>
      <c r="V280" s="95"/>
      <c r="W280" s="95"/>
      <c r="X280" s="95"/>
      <c r="Y280" s="95"/>
      <c r="Z280" s="95"/>
      <c r="AA280" s="95"/>
    </row>
    <row r="281">
      <c r="A281" s="95" t="s">
        <v>5116</v>
      </c>
      <c r="B281" s="95"/>
      <c r="C281" s="95"/>
      <c r="D281" s="95"/>
      <c r="E281" s="95"/>
      <c r="F281" s="95"/>
      <c r="G281" s="95"/>
      <c r="H281" s="95"/>
      <c r="I281" s="95"/>
      <c r="J281" s="95"/>
      <c r="K281" s="95"/>
      <c r="L281" s="95"/>
      <c r="M281" s="95"/>
      <c r="N281" s="95"/>
      <c r="O281" s="95"/>
      <c r="P281" s="95"/>
      <c r="Q281" s="95"/>
      <c r="R281" s="95"/>
      <c r="S281" s="95"/>
      <c r="T281" s="95"/>
      <c r="U281" s="95"/>
      <c r="V281" s="95"/>
      <c r="W281" s="95"/>
      <c r="X281" s="95"/>
      <c r="Y281" s="95"/>
      <c r="Z281" s="95"/>
      <c r="AA281" s="95"/>
    </row>
    <row r="282">
      <c r="A282" s="95" t="s">
        <v>5116</v>
      </c>
      <c r="B282" s="95"/>
      <c r="C282" s="95"/>
      <c r="D282" s="95"/>
      <c r="E282" s="95"/>
      <c r="F282" s="95"/>
      <c r="G282" s="95"/>
      <c r="H282" s="95"/>
      <c r="I282" s="95"/>
      <c r="J282" s="95"/>
      <c r="K282" s="95"/>
      <c r="L282" s="95"/>
      <c r="M282" s="95"/>
      <c r="N282" s="95"/>
      <c r="O282" s="95"/>
      <c r="P282" s="95"/>
      <c r="Q282" s="95"/>
      <c r="R282" s="95"/>
      <c r="S282" s="95"/>
      <c r="T282" s="95"/>
      <c r="U282" s="95"/>
      <c r="V282" s="95"/>
      <c r="W282" s="95"/>
      <c r="X282" s="95"/>
      <c r="Y282" s="95"/>
      <c r="Z282" s="95"/>
      <c r="AA282" s="95"/>
    </row>
    <row r="283">
      <c r="A283" s="95" t="s">
        <v>5116</v>
      </c>
      <c r="B283" s="95"/>
      <c r="C283" s="95"/>
      <c r="D283" s="95"/>
      <c r="E283" s="95"/>
      <c r="F283" s="95"/>
      <c r="G283" s="95"/>
      <c r="H283" s="95"/>
      <c r="I283" s="95"/>
      <c r="J283" s="95"/>
      <c r="K283" s="95"/>
      <c r="L283" s="95"/>
      <c r="M283" s="95"/>
      <c r="N283" s="95"/>
      <c r="O283" s="95"/>
      <c r="P283" s="95"/>
      <c r="Q283" s="95"/>
      <c r="R283" s="95"/>
      <c r="S283" s="95"/>
      <c r="T283" s="95"/>
      <c r="U283" s="95"/>
      <c r="V283" s="95"/>
      <c r="W283" s="95"/>
      <c r="X283" s="95"/>
      <c r="Y283" s="95"/>
      <c r="Z283" s="95"/>
      <c r="AA283" s="95"/>
    </row>
    <row r="284">
      <c r="A284" s="95" t="s">
        <v>5116</v>
      </c>
      <c r="B284" s="95"/>
      <c r="C284" s="95"/>
      <c r="D284" s="95"/>
      <c r="E284" s="95"/>
      <c r="F284" s="95"/>
      <c r="G284" s="95"/>
      <c r="H284" s="95"/>
      <c r="I284" s="95"/>
      <c r="J284" s="95"/>
      <c r="K284" s="95"/>
      <c r="L284" s="95"/>
      <c r="M284" s="95"/>
      <c r="N284" s="95"/>
      <c r="O284" s="95"/>
      <c r="P284" s="95"/>
      <c r="Q284" s="95"/>
      <c r="R284" s="95"/>
      <c r="S284" s="95"/>
      <c r="T284" s="95"/>
      <c r="U284" s="95"/>
      <c r="V284" s="95"/>
      <c r="W284" s="95"/>
      <c r="X284" s="95"/>
      <c r="Y284" s="95"/>
      <c r="Z284" s="95"/>
      <c r="AA284" s="95"/>
    </row>
    <row r="285">
      <c r="A285" s="95" t="s">
        <v>5116</v>
      </c>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c r="AA285" s="95"/>
    </row>
    <row r="286">
      <c r="A286" s="95" t="s">
        <v>5116</v>
      </c>
      <c r="B286" s="95"/>
      <c r="C286" s="95"/>
      <c r="D286" s="95"/>
      <c r="E286" s="95"/>
      <c r="F286" s="95"/>
      <c r="G286" s="95"/>
      <c r="H286" s="95"/>
      <c r="I286" s="95"/>
      <c r="J286" s="95"/>
      <c r="K286" s="95"/>
      <c r="L286" s="95"/>
      <c r="M286" s="95"/>
      <c r="N286" s="95"/>
      <c r="O286" s="95"/>
      <c r="P286" s="95"/>
      <c r="Q286" s="95"/>
      <c r="R286" s="95"/>
      <c r="S286" s="95"/>
      <c r="T286" s="95"/>
      <c r="U286" s="95"/>
      <c r="V286" s="95"/>
      <c r="W286" s="95"/>
      <c r="X286" s="95"/>
      <c r="Y286" s="95"/>
      <c r="Z286" s="95"/>
      <c r="AA286" s="95"/>
    </row>
    <row r="287">
      <c r="A287" s="95" t="s">
        <v>5116</v>
      </c>
      <c r="B287" s="95"/>
      <c r="C287" s="95"/>
      <c r="D287" s="95"/>
      <c r="E287" s="95"/>
      <c r="F287" s="95"/>
      <c r="G287" s="95"/>
      <c r="H287" s="95"/>
      <c r="I287" s="95"/>
      <c r="J287" s="95"/>
      <c r="K287" s="95"/>
      <c r="L287" s="95"/>
      <c r="M287" s="95"/>
      <c r="N287" s="95"/>
      <c r="O287" s="95"/>
      <c r="P287" s="95"/>
      <c r="Q287" s="95"/>
      <c r="R287" s="95"/>
      <c r="S287" s="95"/>
      <c r="T287" s="95"/>
      <c r="U287" s="95"/>
      <c r="V287" s="95"/>
      <c r="W287" s="95"/>
      <c r="X287" s="95"/>
      <c r="Y287" s="95"/>
      <c r="Z287" s="95"/>
      <c r="AA287" s="95"/>
    </row>
    <row r="288">
      <c r="A288" s="95" t="s">
        <v>5116</v>
      </c>
      <c r="B288" s="95"/>
      <c r="C288" s="95"/>
      <c r="D288" s="95"/>
      <c r="E288" s="95"/>
      <c r="F288" s="95"/>
      <c r="G288" s="95"/>
      <c r="H288" s="95"/>
      <c r="I288" s="95"/>
      <c r="J288" s="95"/>
      <c r="K288" s="95"/>
      <c r="L288" s="95"/>
      <c r="M288" s="95"/>
      <c r="N288" s="95"/>
      <c r="O288" s="95"/>
      <c r="P288" s="95"/>
      <c r="Q288" s="95"/>
      <c r="R288" s="95"/>
      <c r="S288" s="95"/>
      <c r="T288" s="95"/>
      <c r="U288" s="95"/>
      <c r="V288" s="95"/>
      <c r="W288" s="95"/>
      <c r="X288" s="95"/>
      <c r="Y288" s="95"/>
      <c r="Z288" s="95"/>
      <c r="AA288" s="95"/>
    </row>
    <row r="289">
      <c r="A289" s="95" t="s">
        <v>5116</v>
      </c>
      <c r="B289" s="95"/>
      <c r="C289" s="95"/>
      <c r="D289" s="95"/>
      <c r="E289" s="95"/>
      <c r="F289" s="95"/>
      <c r="G289" s="95"/>
      <c r="H289" s="95"/>
      <c r="I289" s="95"/>
      <c r="J289" s="95"/>
      <c r="K289" s="95"/>
      <c r="L289" s="95"/>
      <c r="M289" s="95"/>
      <c r="N289" s="95"/>
      <c r="O289" s="95"/>
      <c r="P289" s="95"/>
      <c r="Q289" s="95"/>
      <c r="R289" s="95"/>
      <c r="S289" s="95"/>
      <c r="T289" s="95"/>
      <c r="U289" s="95"/>
      <c r="V289" s="95"/>
      <c r="W289" s="95"/>
      <c r="X289" s="95"/>
      <c r="Y289" s="95"/>
      <c r="Z289" s="95"/>
      <c r="AA289" s="95"/>
    </row>
    <row r="290">
      <c r="A290" s="95" t="s">
        <v>5116</v>
      </c>
      <c r="B290" s="95"/>
      <c r="C290" s="95"/>
      <c r="D290" s="95"/>
      <c r="E290" s="95"/>
      <c r="F290" s="95"/>
      <c r="G290" s="95"/>
      <c r="H290" s="95"/>
      <c r="I290" s="95"/>
      <c r="J290" s="95"/>
      <c r="K290" s="95"/>
      <c r="L290" s="95"/>
      <c r="M290" s="95"/>
      <c r="N290" s="95"/>
      <c r="O290" s="95"/>
      <c r="P290" s="95"/>
      <c r="Q290" s="95"/>
      <c r="R290" s="95"/>
      <c r="S290" s="95"/>
      <c r="T290" s="95"/>
      <c r="U290" s="95"/>
      <c r="V290" s="95"/>
      <c r="W290" s="95"/>
      <c r="X290" s="95"/>
      <c r="Y290" s="95"/>
      <c r="Z290" s="95"/>
      <c r="AA290" s="95"/>
    </row>
    <row r="291">
      <c r="A291" s="95" t="s">
        <v>5116</v>
      </c>
      <c r="B291" s="95"/>
      <c r="C291" s="95"/>
      <c r="D291" s="95"/>
      <c r="E291" s="95"/>
      <c r="F291" s="95"/>
      <c r="G291" s="95"/>
      <c r="H291" s="95"/>
      <c r="I291" s="95"/>
      <c r="J291" s="95"/>
      <c r="K291" s="95"/>
      <c r="L291" s="95"/>
      <c r="M291" s="95"/>
      <c r="N291" s="95"/>
      <c r="O291" s="95"/>
      <c r="P291" s="95"/>
      <c r="Q291" s="95"/>
      <c r="R291" s="95"/>
      <c r="S291" s="95"/>
      <c r="T291" s="95"/>
      <c r="U291" s="95"/>
      <c r="V291" s="95"/>
      <c r="W291" s="95"/>
      <c r="X291" s="95"/>
      <c r="Y291" s="95"/>
      <c r="Z291" s="95"/>
      <c r="AA291" s="95"/>
    </row>
    <row r="292">
      <c r="A292" s="95" t="s">
        <v>5116</v>
      </c>
      <c r="B292" s="95"/>
      <c r="C292" s="95"/>
      <c r="D292" s="95"/>
      <c r="E292" s="95"/>
      <c r="F292" s="95"/>
      <c r="G292" s="95"/>
      <c r="H292" s="95"/>
      <c r="I292" s="95"/>
      <c r="J292" s="95"/>
      <c r="K292" s="95"/>
      <c r="L292" s="95"/>
      <c r="M292" s="95"/>
      <c r="N292" s="95"/>
      <c r="O292" s="95"/>
      <c r="P292" s="95"/>
      <c r="Q292" s="95"/>
      <c r="R292" s="95"/>
      <c r="S292" s="95"/>
      <c r="T292" s="95"/>
      <c r="U292" s="95"/>
      <c r="V292" s="95"/>
      <c r="W292" s="95"/>
      <c r="X292" s="95"/>
      <c r="Y292" s="95"/>
      <c r="Z292" s="95"/>
      <c r="AA292" s="95"/>
    </row>
    <row r="293">
      <c r="A293" s="95" t="s">
        <v>5116</v>
      </c>
      <c r="B293" s="95"/>
      <c r="C293" s="95"/>
      <c r="D293" s="95"/>
      <c r="E293" s="95"/>
      <c r="F293" s="95"/>
      <c r="G293" s="95"/>
      <c r="H293" s="95"/>
      <c r="I293" s="95"/>
      <c r="J293" s="95"/>
      <c r="K293" s="95"/>
      <c r="L293" s="95"/>
      <c r="M293" s="95"/>
      <c r="N293" s="95"/>
      <c r="O293" s="95"/>
      <c r="P293" s="95"/>
      <c r="Q293" s="95"/>
      <c r="R293" s="95"/>
      <c r="S293" s="95"/>
      <c r="T293" s="95"/>
      <c r="U293" s="95"/>
      <c r="V293" s="95"/>
      <c r="W293" s="95"/>
      <c r="X293" s="95"/>
      <c r="Y293" s="95"/>
      <c r="Z293" s="95"/>
      <c r="AA293" s="95"/>
    </row>
    <row r="294">
      <c r="A294" s="95" t="s">
        <v>5116</v>
      </c>
      <c r="B294" s="95"/>
      <c r="C294" s="95"/>
      <c r="D294" s="95"/>
      <c r="E294" s="95"/>
      <c r="F294" s="95"/>
      <c r="G294" s="95"/>
      <c r="H294" s="95"/>
      <c r="I294" s="95"/>
      <c r="J294" s="95"/>
      <c r="K294" s="95"/>
      <c r="L294" s="95"/>
      <c r="M294" s="95"/>
      <c r="N294" s="95"/>
      <c r="O294" s="95"/>
      <c r="P294" s="95"/>
      <c r="Q294" s="95"/>
      <c r="R294" s="95"/>
      <c r="S294" s="95"/>
      <c r="T294" s="95"/>
      <c r="U294" s="95"/>
      <c r="V294" s="95"/>
      <c r="W294" s="95"/>
      <c r="X294" s="95"/>
      <c r="Y294" s="95"/>
      <c r="Z294" s="95"/>
      <c r="AA294" s="95"/>
    </row>
    <row r="295">
      <c r="A295" s="95" t="s">
        <v>5116</v>
      </c>
      <c r="B295" s="95"/>
      <c r="C295" s="95"/>
      <c r="D295" s="95"/>
      <c r="E295" s="95"/>
      <c r="F295" s="95"/>
      <c r="G295" s="95"/>
      <c r="H295" s="95"/>
      <c r="I295" s="95"/>
      <c r="J295" s="95"/>
      <c r="K295" s="95"/>
      <c r="L295" s="95"/>
      <c r="M295" s="95"/>
      <c r="N295" s="95"/>
      <c r="O295" s="95"/>
      <c r="P295" s="95"/>
      <c r="Q295" s="95"/>
      <c r="R295" s="95"/>
      <c r="S295" s="95"/>
      <c r="T295" s="95"/>
      <c r="U295" s="95"/>
      <c r="V295" s="95"/>
      <c r="W295" s="95"/>
      <c r="X295" s="95"/>
      <c r="Y295" s="95"/>
      <c r="Z295" s="95"/>
      <c r="AA295" s="95"/>
    </row>
    <row r="296">
      <c r="A296" s="95" t="s">
        <v>5116</v>
      </c>
      <c r="B296" s="95"/>
      <c r="C296" s="95"/>
      <c r="D296" s="95"/>
      <c r="E296" s="95"/>
      <c r="F296" s="95"/>
      <c r="G296" s="95"/>
      <c r="H296" s="95"/>
      <c r="I296" s="95"/>
      <c r="J296" s="95"/>
      <c r="K296" s="95"/>
      <c r="L296" s="95"/>
      <c r="M296" s="95"/>
      <c r="N296" s="95"/>
      <c r="O296" s="95"/>
      <c r="P296" s="95"/>
      <c r="Q296" s="95"/>
      <c r="R296" s="95"/>
      <c r="S296" s="95"/>
      <c r="T296" s="95"/>
      <c r="U296" s="95"/>
      <c r="V296" s="95"/>
      <c r="W296" s="95"/>
      <c r="X296" s="95"/>
      <c r="Y296" s="95"/>
      <c r="Z296" s="95"/>
      <c r="AA296" s="95"/>
    </row>
    <row r="297">
      <c r="A297" s="95" t="s">
        <v>5116</v>
      </c>
      <c r="B297" s="95"/>
      <c r="C297" s="95"/>
      <c r="D297" s="95"/>
      <c r="E297" s="95"/>
      <c r="F297" s="95"/>
      <c r="G297" s="95"/>
      <c r="H297" s="95"/>
      <c r="I297" s="95"/>
      <c r="J297" s="95"/>
      <c r="K297" s="95"/>
      <c r="L297" s="95"/>
      <c r="M297" s="95"/>
      <c r="N297" s="95"/>
      <c r="O297" s="95"/>
      <c r="P297" s="95"/>
      <c r="Q297" s="95"/>
      <c r="R297" s="95"/>
      <c r="S297" s="95"/>
      <c r="T297" s="95"/>
      <c r="U297" s="95"/>
      <c r="V297" s="95"/>
      <c r="W297" s="95"/>
      <c r="X297" s="95"/>
      <c r="Y297" s="95"/>
      <c r="Z297" s="95"/>
      <c r="AA297" s="95"/>
    </row>
    <row r="298">
      <c r="A298" s="95" t="s">
        <v>5116</v>
      </c>
      <c r="B298" s="95"/>
      <c r="C298" s="95"/>
      <c r="D298" s="95"/>
      <c r="E298" s="95"/>
      <c r="F298" s="95"/>
      <c r="G298" s="95"/>
      <c r="H298" s="95"/>
      <c r="I298" s="95"/>
      <c r="J298" s="95"/>
      <c r="K298" s="95"/>
      <c r="L298" s="95"/>
      <c r="M298" s="95"/>
      <c r="N298" s="95"/>
      <c r="O298" s="95"/>
      <c r="P298" s="95"/>
      <c r="Q298" s="95"/>
      <c r="R298" s="95"/>
      <c r="S298" s="95"/>
      <c r="T298" s="95"/>
      <c r="U298" s="95"/>
      <c r="V298" s="95"/>
      <c r="W298" s="95"/>
      <c r="X298" s="95"/>
      <c r="Y298" s="95"/>
      <c r="Z298" s="95"/>
      <c r="AA298" s="95"/>
    </row>
    <row r="299">
      <c r="A299" s="95" t="s">
        <v>5116</v>
      </c>
      <c r="B299" s="95"/>
      <c r="C299" s="95"/>
      <c r="D299" s="95"/>
      <c r="E299" s="95"/>
      <c r="F299" s="95"/>
      <c r="G299" s="95"/>
      <c r="H299" s="95"/>
      <c r="I299" s="95"/>
      <c r="J299" s="95"/>
      <c r="K299" s="95"/>
      <c r="L299" s="95"/>
      <c r="M299" s="95"/>
      <c r="N299" s="95"/>
      <c r="O299" s="95"/>
      <c r="P299" s="95"/>
      <c r="Q299" s="95"/>
      <c r="R299" s="95"/>
      <c r="S299" s="95"/>
      <c r="T299" s="95"/>
      <c r="U299" s="95"/>
      <c r="V299" s="95"/>
      <c r="W299" s="95"/>
      <c r="X299" s="95"/>
      <c r="Y299" s="95"/>
      <c r="Z299" s="95"/>
      <c r="AA299" s="95"/>
    </row>
    <row r="300">
      <c r="A300" s="95" t="s">
        <v>5116</v>
      </c>
      <c r="B300" s="95"/>
      <c r="C300" s="95"/>
      <c r="D300" s="95"/>
      <c r="E300" s="95"/>
      <c r="F300" s="95"/>
      <c r="G300" s="95"/>
      <c r="H300" s="95"/>
      <c r="I300" s="95"/>
      <c r="J300" s="95"/>
      <c r="K300" s="95"/>
      <c r="L300" s="95"/>
      <c r="M300" s="95"/>
      <c r="N300" s="95"/>
      <c r="O300" s="95"/>
      <c r="P300" s="95"/>
      <c r="Q300" s="95"/>
      <c r="R300" s="95"/>
      <c r="S300" s="95"/>
      <c r="T300" s="95"/>
      <c r="U300" s="95"/>
      <c r="V300" s="95"/>
      <c r="W300" s="95"/>
      <c r="X300" s="95"/>
      <c r="Y300" s="95"/>
      <c r="Z300" s="95"/>
      <c r="AA300" s="95"/>
    </row>
    <row r="301">
      <c r="A301" s="95" t="s">
        <v>5116</v>
      </c>
      <c r="B301" s="95"/>
      <c r="C301" s="95"/>
      <c r="D301" s="95"/>
      <c r="E301" s="95"/>
      <c r="F301" s="95"/>
      <c r="G301" s="95"/>
      <c r="H301" s="95"/>
      <c r="I301" s="95"/>
      <c r="J301" s="95"/>
      <c r="K301" s="95"/>
      <c r="L301" s="95"/>
      <c r="M301" s="95"/>
      <c r="N301" s="95"/>
      <c r="O301" s="95"/>
      <c r="P301" s="95"/>
      <c r="Q301" s="95"/>
      <c r="R301" s="95"/>
      <c r="S301" s="95"/>
      <c r="T301" s="95"/>
      <c r="U301" s="95"/>
      <c r="V301" s="95"/>
      <c r="W301" s="95"/>
      <c r="X301" s="95"/>
      <c r="Y301" s="95"/>
      <c r="Z301" s="95"/>
      <c r="AA301" s="95"/>
    </row>
    <row r="302">
      <c r="A302" s="95" t="s">
        <v>5116</v>
      </c>
      <c r="B302" s="95"/>
      <c r="C302" s="95"/>
      <c r="D302" s="95"/>
      <c r="E302" s="95"/>
      <c r="F302" s="95"/>
      <c r="G302" s="95"/>
      <c r="H302" s="95"/>
      <c r="I302" s="95"/>
      <c r="J302" s="95"/>
      <c r="K302" s="95"/>
      <c r="L302" s="95"/>
      <c r="M302" s="95"/>
      <c r="N302" s="95"/>
      <c r="O302" s="95"/>
      <c r="P302" s="95"/>
      <c r="Q302" s="95"/>
      <c r="R302" s="95"/>
      <c r="S302" s="95"/>
      <c r="T302" s="95"/>
      <c r="U302" s="95"/>
      <c r="V302" s="95"/>
      <c r="W302" s="95"/>
      <c r="X302" s="95"/>
      <c r="Y302" s="95"/>
      <c r="Z302" s="95"/>
      <c r="AA302" s="95"/>
    </row>
    <row r="303">
      <c r="A303" s="95" t="s">
        <v>5116</v>
      </c>
      <c r="B303" s="95"/>
      <c r="C303" s="95"/>
      <c r="D303" s="95"/>
      <c r="E303" s="95"/>
      <c r="F303" s="95"/>
      <c r="G303" s="95"/>
      <c r="H303" s="95"/>
      <c r="I303" s="95"/>
      <c r="J303" s="95"/>
      <c r="K303" s="95"/>
      <c r="L303" s="95"/>
      <c r="M303" s="95"/>
      <c r="N303" s="95"/>
      <c r="O303" s="95"/>
      <c r="P303" s="95"/>
      <c r="Q303" s="95"/>
      <c r="R303" s="95"/>
      <c r="S303" s="95"/>
      <c r="T303" s="95"/>
      <c r="U303" s="95"/>
      <c r="V303" s="95"/>
      <c r="W303" s="95"/>
      <c r="X303" s="95"/>
      <c r="Y303" s="95"/>
      <c r="Z303" s="95"/>
      <c r="AA303" s="95"/>
    </row>
    <row r="304">
      <c r="A304" s="95" t="s">
        <v>5116</v>
      </c>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c r="AA304" s="95"/>
    </row>
    <row r="305">
      <c r="A305" s="95" t="s">
        <v>5116</v>
      </c>
      <c r="B305" s="95"/>
      <c r="C305" s="95"/>
      <c r="D305" s="95"/>
      <c r="E305" s="95"/>
      <c r="F305" s="95"/>
      <c r="G305" s="95"/>
      <c r="H305" s="95"/>
      <c r="I305" s="95"/>
      <c r="J305" s="95"/>
      <c r="K305" s="95"/>
      <c r="L305" s="95"/>
      <c r="M305" s="95"/>
      <c r="N305" s="95"/>
      <c r="O305" s="95"/>
      <c r="P305" s="95"/>
      <c r="Q305" s="95"/>
      <c r="R305" s="95"/>
      <c r="S305" s="95"/>
      <c r="T305" s="95"/>
      <c r="U305" s="95"/>
      <c r="V305" s="95"/>
      <c r="W305" s="95"/>
      <c r="X305" s="95"/>
      <c r="Y305" s="95"/>
      <c r="Z305" s="95"/>
      <c r="AA305" s="95"/>
    </row>
    <row r="306">
      <c r="A306" s="95" t="s">
        <v>5116</v>
      </c>
      <c r="B306" s="95"/>
      <c r="C306" s="95"/>
      <c r="D306" s="95"/>
      <c r="E306" s="95"/>
      <c r="F306" s="95"/>
      <c r="G306" s="95"/>
      <c r="H306" s="95"/>
      <c r="I306" s="95"/>
      <c r="J306" s="95"/>
      <c r="K306" s="95"/>
      <c r="L306" s="95"/>
      <c r="M306" s="95"/>
      <c r="N306" s="95"/>
      <c r="O306" s="95"/>
      <c r="P306" s="95"/>
      <c r="Q306" s="95"/>
      <c r="R306" s="95"/>
      <c r="S306" s="95"/>
      <c r="T306" s="95"/>
      <c r="U306" s="95"/>
      <c r="V306" s="95"/>
      <c r="W306" s="95"/>
      <c r="X306" s="95"/>
      <c r="Y306" s="95"/>
      <c r="Z306" s="95"/>
      <c r="AA306" s="95"/>
    </row>
    <row r="307">
      <c r="A307" s="95" t="s">
        <v>5116</v>
      </c>
      <c r="B307" s="95"/>
      <c r="C307" s="95"/>
      <c r="D307" s="95"/>
      <c r="E307" s="95"/>
      <c r="F307" s="95"/>
      <c r="G307" s="95"/>
      <c r="H307" s="95"/>
      <c r="I307" s="95"/>
      <c r="J307" s="95"/>
      <c r="K307" s="95"/>
      <c r="L307" s="95"/>
      <c r="M307" s="95"/>
      <c r="N307" s="95"/>
      <c r="O307" s="95"/>
      <c r="P307" s="95"/>
      <c r="Q307" s="95"/>
      <c r="R307" s="95"/>
      <c r="S307" s="95"/>
      <c r="T307" s="95"/>
      <c r="U307" s="95"/>
      <c r="V307" s="95"/>
      <c r="W307" s="95"/>
      <c r="X307" s="95"/>
      <c r="Y307" s="95"/>
      <c r="Z307" s="95"/>
      <c r="AA307" s="95"/>
    </row>
    <row r="308">
      <c r="A308" s="95" t="s">
        <v>5116</v>
      </c>
      <c r="B308" s="95"/>
      <c r="C308" s="95"/>
      <c r="D308" s="95"/>
      <c r="E308" s="95"/>
      <c r="F308" s="95"/>
      <c r="G308" s="95"/>
      <c r="H308" s="95"/>
      <c r="I308" s="95"/>
      <c r="J308" s="95"/>
      <c r="K308" s="95"/>
      <c r="L308" s="95"/>
      <c r="M308" s="95"/>
      <c r="N308" s="95"/>
      <c r="O308" s="95"/>
      <c r="P308" s="95"/>
      <c r="Q308" s="95"/>
      <c r="R308" s="95"/>
      <c r="S308" s="95"/>
      <c r="T308" s="95"/>
      <c r="U308" s="95"/>
      <c r="V308" s="95"/>
      <c r="W308" s="95"/>
      <c r="X308" s="95"/>
      <c r="Y308" s="95"/>
      <c r="Z308" s="95"/>
      <c r="AA308" s="95"/>
    </row>
    <row r="309">
      <c r="A309" s="95" t="s">
        <v>5116</v>
      </c>
      <c r="B309" s="95"/>
      <c r="C309" s="95"/>
      <c r="D309" s="95"/>
      <c r="E309" s="95"/>
      <c r="F309" s="95"/>
      <c r="G309" s="95"/>
      <c r="H309" s="95"/>
      <c r="I309" s="95"/>
      <c r="J309" s="95"/>
      <c r="K309" s="95"/>
      <c r="L309" s="95"/>
      <c r="M309" s="95"/>
      <c r="N309" s="95"/>
      <c r="O309" s="95"/>
      <c r="P309" s="95"/>
      <c r="Q309" s="95"/>
      <c r="R309" s="95"/>
      <c r="S309" s="95"/>
      <c r="T309" s="95"/>
      <c r="U309" s="95"/>
      <c r="V309" s="95"/>
      <c r="W309" s="95"/>
      <c r="X309" s="95"/>
      <c r="Y309" s="95"/>
      <c r="Z309" s="95"/>
      <c r="AA309" s="95"/>
    </row>
    <row r="310">
      <c r="A310" s="95" t="s">
        <v>5116</v>
      </c>
      <c r="B310" s="95"/>
      <c r="C310" s="95"/>
      <c r="D310" s="95"/>
      <c r="E310" s="95"/>
      <c r="F310" s="95"/>
      <c r="G310" s="95"/>
      <c r="H310" s="95"/>
      <c r="I310" s="95"/>
      <c r="J310" s="95"/>
      <c r="K310" s="95"/>
      <c r="L310" s="95"/>
      <c r="M310" s="95"/>
      <c r="N310" s="95"/>
      <c r="O310" s="95"/>
      <c r="P310" s="95"/>
      <c r="Q310" s="95"/>
      <c r="R310" s="95"/>
      <c r="S310" s="95"/>
      <c r="T310" s="95"/>
      <c r="U310" s="95"/>
      <c r="V310" s="95"/>
      <c r="W310" s="95"/>
      <c r="X310" s="95"/>
      <c r="Y310" s="95"/>
      <c r="Z310" s="95"/>
      <c r="AA310" s="95"/>
    </row>
    <row r="311">
      <c r="A311" s="95" t="s">
        <v>5116</v>
      </c>
      <c r="B311" s="95"/>
      <c r="C311" s="95"/>
      <c r="D311" s="95"/>
      <c r="E311" s="95"/>
      <c r="F311" s="95"/>
      <c r="G311" s="95"/>
      <c r="H311" s="95"/>
      <c r="I311" s="95"/>
      <c r="J311" s="95"/>
      <c r="K311" s="95"/>
      <c r="L311" s="95"/>
      <c r="M311" s="95"/>
      <c r="N311" s="95"/>
      <c r="O311" s="95"/>
      <c r="P311" s="95"/>
      <c r="Q311" s="95"/>
      <c r="R311" s="95"/>
      <c r="S311" s="95"/>
      <c r="T311" s="95"/>
      <c r="U311" s="95"/>
      <c r="V311" s="95"/>
      <c r="W311" s="95"/>
      <c r="X311" s="95"/>
      <c r="Y311" s="95"/>
      <c r="Z311" s="95"/>
      <c r="AA311" s="95"/>
    </row>
    <row r="312">
      <c r="A312" s="95" t="s">
        <v>5116</v>
      </c>
      <c r="B312" s="95"/>
      <c r="C312" s="95"/>
      <c r="D312" s="95"/>
      <c r="E312" s="95"/>
      <c r="F312" s="95"/>
      <c r="G312" s="95"/>
      <c r="H312" s="95"/>
      <c r="I312" s="95"/>
      <c r="J312" s="95"/>
      <c r="K312" s="95"/>
      <c r="L312" s="95"/>
      <c r="M312" s="95"/>
      <c r="N312" s="95"/>
      <c r="O312" s="95"/>
      <c r="P312" s="95"/>
      <c r="Q312" s="95"/>
      <c r="R312" s="95"/>
      <c r="S312" s="95"/>
      <c r="T312" s="95"/>
      <c r="U312" s="95"/>
      <c r="V312" s="95"/>
      <c r="W312" s="95"/>
      <c r="X312" s="95"/>
      <c r="Y312" s="95"/>
      <c r="Z312" s="95"/>
      <c r="AA312" s="95"/>
    </row>
    <row r="313">
      <c r="A313" s="95" t="s">
        <v>5116</v>
      </c>
      <c r="B313" s="95"/>
      <c r="C313" s="95"/>
      <c r="D313" s="95"/>
      <c r="E313" s="95"/>
      <c r="F313" s="95"/>
      <c r="G313" s="95"/>
      <c r="H313" s="95"/>
      <c r="I313" s="95"/>
      <c r="J313" s="95"/>
      <c r="K313" s="95"/>
      <c r="L313" s="95"/>
      <c r="M313" s="95"/>
      <c r="N313" s="95"/>
      <c r="O313" s="95"/>
      <c r="P313" s="95"/>
      <c r="Q313" s="95"/>
      <c r="R313" s="95"/>
      <c r="S313" s="95"/>
      <c r="T313" s="95"/>
      <c r="U313" s="95"/>
      <c r="V313" s="95"/>
      <c r="W313" s="95"/>
      <c r="X313" s="95"/>
      <c r="Y313" s="95"/>
      <c r="Z313" s="95"/>
      <c r="AA313" s="95"/>
    </row>
    <row r="314">
      <c r="A314" s="95" t="s">
        <v>5116</v>
      </c>
      <c r="B314" s="95"/>
      <c r="C314" s="95"/>
      <c r="D314" s="95"/>
      <c r="E314" s="95"/>
      <c r="F314" s="95"/>
      <c r="G314" s="95"/>
      <c r="H314" s="95"/>
      <c r="I314" s="95"/>
      <c r="J314" s="95"/>
      <c r="K314" s="95"/>
      <c r="L314" s="95"/>
      <c r="M314" s="95"/>
      <c r="N314" s="95"/>
      <c r="O314" s="95"/>
      <c r="P314" s="95"/>
      <c r="Q314" s="95"/>
      <c r="R314" s="95"/>
      <c r="S314" s="95"/>
      <c r="T314" s="95"/>
      <c r="U314" s="95"/>
      <c r="V314" s="95"/>
      <c r="W314" s="95"/>
      <c r="X314" s="95"/>
      <c r="Y314" s="95"/>
      <c r="Z314" s="95"/>
      <c r="AA314" s="95"/>
    </row>
    <row r="315">
      <c r="A315" s="95" t="s">
        <v>5116</v>
      </c>
      <c r="B315" s="95"/>
      <c r="C315" s="95"/>
      <c r="D315" s="95"/>
      <c r="E315" s="95"/>
      <c r="F315" s="95"/>
      <c r="G315" s="95"/>
      <c r="H315" s="95"/>
      <c r="I315" s="95"/>
      <c r="J315" s="95"/>
      <c r="K315" s="95"/>
      <c r="L315" s="95"/>
      <c r="M315" s="95"/>
      <c r="N315" s="95"/>
      <c r="O315" s="95"/>
      <c r="P315" s="95"/>
      <c r="Q315" s="95"/>
      <c r="R315" s="95"/>
      <c r="S315" s="95"/>
      <c r="T315" s="95"/>
      <c r="U315" s="95"/>
      <c r="V315" s="95"/>
      <c r="W315" s="95"/>
      <c r="X315" s="95"/>
      <c r="Y315" s="95"/>
      <c r="Z315" s="95"/>
      <c r="AA315" s="95"/>
    </row>
    <row r="316">
      <c r="A316" s="95" t="s">
        <v>5116</v>
      </c>
      <c r="B316" s="95"/>
      <c r="C316" s="95"/>
      <c r="D316" s="95"/>
      <c r="E316" s="95"/>
      <c r="F316" s="95"/>
      <c r="G316" s="95"/>
      <c r="H316" s="95"/>
      <c r="I316" s="95"/>
      <c r="J316" s="95"/>
      <c r="K316" s="95"/>
      <c r="L316" s="95"/>
      <c r="M316" s="95"/>
      <c r="N316" s="95"/>
      <c r="O316" s="95"/>
      <c r="P316" s="95"/>
      <c r="Q316" s="95"/>
      <c r="R316" s="95"/>
      <c r="S316" s="95"/>
      <c r="T316" s="95"/>
      <c r="U316" s="95"/>
      <c r="V316" s="95"/>
      <c r="W316" s="95"/>
      <c r="X316" s="95"/>
      <c r="Y316" s="95"/>
      <c r="Z316" s="95"/>
      <c r="AA316" s="95"/>
    </row>
    <row r="317">
      <c r="A317" s="95" t="s">
        <v>5116</v>
      </c>
      <c r="B317" s="95"/>
      <c r="C317" s="95"/>
      <c r="D317" s="95"/>
      <c r="E317" s="95"/>
      <c r="F317" s="95"/>
      <c r="G317" s="95"/>
      <c r="H317" s="95"/>
      <c r="I317" s="95"/>
      <c r="J317" s="95"/>
      <c r="K317" s="95"/>
      <c r="L317" s="95"/>
      <c r="M317" s="95"/>
      <c r="N317" s="95"/>
      <c r="O317" s="95"/>
      <c r="P317" s="95"/>
      <c r="Q317" s="95"/>
      <c r="R317" s="95"/>
      <c r="S317" s="95"/>
      <c r="T317" s="95"/>
      <c r="U317" s="95"/>
      <c r="V317" s="95"/>
      <c r="W317" s="95"/>
      <c r="X317" s="95"/>
      <c r="Y317" s="95"/>
      <c r="Z317" s="95"/>
      <c r="AA317" s="95"/>
    </row>
    <row r="318">
      <c r="A318" s="95" t="s">
        <v>5116</v>
      </c>
      <c r="B318" s="95"/>
      <c r="C318" s="95"/>
      <c r="D318" s="95"/>
      <c r="E318" s="95"/>
      <c r="F318" s="95"/>
      <c r="G318" s="95"/>
      <c r="H318" s="95"/>
      <c r="I318" s="95"/>
      <c r="J318" s="95"/>
      <c r="K318" s="95"/>
      <c r="L318" s="95"/>
      <c r="M318" s="95"/>
      <c r="N318" s="95"/>
      <c r="O318" s="95"/>
      <c r="P318" s="95"/>
      <c r="Q318" s="95"/>
      <c r="R318" s="95"/>
      <c r="S318" s="95"/>
      <c r="T318" s="95"/>
      <c r="U318" s="95"/>
      <c r="V318" s="95"/>
      <c r="W318" s="95"/>
      <c r="X318" s="95"/>
      <c r="Y318" s="95"/>
      <c r="Z318" s="95"/>
      <c r="AA318" s="95"/>
    </row>
    <row r="319">
      <c r="A319" s="95" t="s">
        <v>5116</v>
      </c>
      <c r="B319" s="95"/>
      <c r="C319" s="95"/>
      <c r="D319" s="95"/>
      <c r="E319" s="95"/>
      <c r="F319" s="95"/>
      <c r="G319" s="95"/>
      <c r="H319" s="95"/>
      <c r="I319" s="95"/>
      <c r="J319" s="95"/>
      <c r="K319" s="95"/>
      <c r="L319" s="95"/>
      <c r="M319" s="95"/>
      <c r="N319" s="95"/>
      <c r="O319" s="95"/>
      <c r="P319" s="95"/>
      <c r="Q319" s="95"/>
      <c r="R319" s="95"/>
      <c r="S319" s="95"/>
      <c r="T319" s="95"/>
      <c r="U319" s="95"/>
      <c r="V319" s="95"/>
      <c r="W319" s="95"/>
      <c r="X319" s="95"/>
      <c r="Y319" s="95"/>
      <c r="Z319" s="95"/>
      <c r="AA319" s="95"/>
    </row>
    <row r="320">
      <c r="A320" s="95" t="s">
        <v>5116</v>
      </c>
      <c r="B320" s="95"/>
      <c r="C320" s="95"/>
      <c r="D320" s="95"/>
      <c r="E320" s="95"/>
      <c r="F320" s="95"/>
      <c r="G320" s="95"/>
      <c r="H320" s="95"/>
      <c r="I320" s="95"/>
      <c r="J320" s="95"/>
      <c r="K320" s="95"/>
      <c r="L320" s="95"/>
      <c r="M320" s="95"/>
      <c r="N320" s="95"/>
      <c r="O320" s="95"/>
      <c r="P320" s="95"/>
      <c r="Q320" s="95"/>
      <c r="R320" s="95"/>
      <c r="S320" s="95"/>
      <c r="T320" s="95"/>
      <c r="U320" s="95"/>
      <c r="V320" s="95"/>
      <c r="W320" s="95"/>
      <c r="X320" s="95"/>
      <c r="Y320" s="95"/>
      <c r="Z320" s="95"/>
      <c r="AA320" s="95"/>
    </row>
    <row r="321">
      <c r="A321" s="95" t="s">
        <v>5116</v>
      </c>
      <c r="B321" s="95"/>
      <c r="C321" s="95"/>
      <c r="D321" s="95"/>
      <c r="E321" s="95"/>
      <c r="F321" s="95"/>
      <c r="G321" s="95"/>
      <c r="H321" s="95"/>
      <c r="I321" s="95"/>
      <c r="J321" s="95"/>
      <c r="K321" s="95"/>
      <c r="L321" s="95"/>
      <c r="M321" s="95"/>
      <c r="N321" s="95"/>
      <c r="O321" s="95"/>
      <c r="P321" s="95"/>
      <c r="Q321" s="95"/>
      <c r="R321" s="95"/>
      <c r="S321" s="95"/>
      <c r="T321" s="95"/>
      <c r="U321" s="95"/>
      <c r="V321" s="95"/>
      <c r="W321" s="95"/>
      <c r="X321" s="95"/>
      <c r="Y321" s="95"/>
      <c r="Z321" s="95"/>
      <c r="AA321" s="95"/>
    </row>
    <row r="322">
      <c r="A322" s="95" t="s">
        <v>5116</v>
      </c>
      <c r="B322" s="95"/>
      <c r="C322" s="95"/>
      <c r="D322" s="95"/>
      <c r="E322" s="95"/>
      <c r="F322" s="95"/>
      <c r="G322" s="95"/>
      <c r="H322" s="95"/>
      <c r="I322" s="95"/>
      <c r="J322" s="95"/>
      <c r="K322" s="95"/>
      <c r="L322" s="95"/>
      <c r="M322" s="95"/>
      <c r="N322" s="95"/>
      <c r="O322" s="95"/>
      <c r="P322" s="95"/>
      <c r="Q322" s="95"/>
      <c r="R322" s="95"/>
      <c r="S322" s="95"/>
      <c r="T322" s="95"/>
      <c r="U322" s="95"/>
      <c r="V322" s="95"/>
      <c r="W322" s="95"/>
      <c r="X322" s="95"/>
      <c r="Y322" s="95"/>
      <c r="Z322" s="95"/>
      <c r="AA322" s="95"/>
    </row>
    <row r="323">
      <c r="A323" s="95" t="s">
        <v>5116</v>
      </c>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c r="AA323" s="95"/>
    </row>
    <row r="324">
      <c r="A324" s="95" t="s">
        <v>5116</v>
      </c>
      <c r="B324" s="95"/>
      <c r="C324" s="95"/>
      <c r="D324" s="95"/>
      <c r="E324" s="95"/>
      <c r="F324" s="95"/>
      <c r="G324" s="95"/>
      <c r="H324" s="95"/>
      <c r="I324" s="95"/>
      <c r="J324" s="95"/>
      <c r="K324" s="95"/>
      <c r="L324" s="95"/>
      <c r="M324" s="95"/>
      <c r="N324" s="95"/>
      <c r="O324" s="95"/>
      <c r="P324" s="95"/>
      <c r="Q324" s="95"/>
      <c r="R324" s="95"/>
      <c r="S324" s="95"/>
      <c r="T324" s="95"/>
      <c r="U324" s="95"/>
      <c r="V324" s="95"/>
      <c r="W324" s="95"/>
      <c r="X324" s="95"/>
      <c r="Y324" s="95"/>
      <c r="Z324" s="95"/>
      <c r="AA324" s="95"/>
    </row>
    <row r="325">
      <c r="A325" s="95" t="s">
        <v>5116</v>
      </c>
      <c r="B325" s="95"/>
      <c r="C325" s="95"/>
      <c r="D325" s="95"/>
      <c r="E325" s="95"/>
      <c r="F325" s="95"/>
      <c r="G325" s="95"/>
      <c r="H325" s="95"/>
      <c r="I325" s="95"/>
      <c r="J325" s="95"/>
      <c r="K325" s="95"/>
      <c r="L325" s="95"/>
      <c r="M325" s="95"/>
      <c r="N325" s="95"/>
      <c r="O325" s="95"/>
      <c r="P325" s="95"/>
      <c r="Q325" s="95"/>
      <c r="R325" s="95"/>
      <c r="S325" s="95"/>
      <c r="T325" s="95"/>
      <c r="U325" s="95"/>
      <c r="V325" s="95"/>
      <c r="W325" s="95"/>
      <c r="X325" s="95"/>
      <c r="Y325" s="95"/>
      <c r="Z325" s="95"/>
      <c r="AA325" s="95"/>
    </row>
    <row r="326">
      <c r="A326" s="95" t="s">
        <v>5116</v>
      </c>
      <c r="B326" s="95"/>
      <c r="C326" s="95"/>
      <c r="D326" s="95"/>
      <c r="E326" s="95"/>
      <c r="F326" s="95"/>
      <c r="G326" s="95"/>
      <c r="H326" s="95"/>
      <c r="I326" s="95"/>
      <c r="J326" s="95"/>
      <c r="K326" s="95"/>
      <c r="L326" s="95"/>
      <c r="M326" s="95"/>
      <c r="N326" s="95"/>
      <c r="O326" s="95"/>
      <c r="P326" s="95"/>
      <c r="Q326" s="95"/>
      <c r="R326" s="95"/>
      <c r="S326" s="95"/>
      <c r="T326" s="95"/>
      <c r="U326" s="95"/>
      <c r="V326" s="95"/>
      <c r="W326" s="95"/>
      <c r="X326" s="95"/>
      <c r="Y326" s="95"/>
      <c r="Z326" s="95"/>
      <c r="AA326" s="95"/>
    </row>
    <row r="327">
      <c r="A327" s="95" t="s">
        <v>5116</v>
      </c>
      <c r="B327" s="95"/>
      <c r="C327" s="95"/>
      <c r="D327" s="95"/>
      <c r="E327" s="95"/>
      <c r="F327" s="95"/>
      <c r="G327" s="95"/>
      <c r="H327" s="95"/>
      <c r="I327" s="95"/>
      <c r="J327" s="95"/>
      <c r="K327" s="95"/>
      <c r="L327" s="95"/>
      <c r="M327" s="95"/>
      <c r="N327" s="95"/>
      <c r="O327" s="95"/>
      <c r="P327" s="95"/>
      <c r="Q327" s="95"/>
      <c r="R327" s="95"/>
      <c r="S327" s="95"/>
      <c r="T327" s="95"/>
      <c r="U327" s="95"/>
      <c r="V327" s="95"/>
      <c r="W327" s="95"/>
      <c r="X327" s="95"/>
      <c r="Y327" s="95"/>
      <c r="Z327" s="95"/>
      <c r="AA327" s="95"/>
    </row>
    <row r="328">
      <c r="A328" s="95" t="s">
        <v>5116</v>
      </c>
      <c r="B328" s="95"/>
      <c r="C328" s="95"/>
      <c r="D328" s="95"/>
      <c r="E328" s="95"/>
      <c r="F328" s="95"/>
      <c r="G328" s="95"/>
      <c r="H328" s="95"/>
      <c r="I328" s="95"/>
      <c r="J328" s="95"/>
      <c r="K328" s="95"/>
      <c r="L328" s="95"/>
      <c r="M328" s="95"/>
      <c r="N328" s="95"/>
      <c r="O328" s="95"/>
      <c r="P328" s="95"/>
      <c r="Q328" s="95"/>
      <c r="R328" s="95"/>
      <c r="S328" s="95"/>
      <c r="T328" s="95"/>
      <c r="U328" s="95"/>
      <c r="V328" s="95"/>
      <c r="W328" s="95"/>
      <c r="X328" s="95"/>
      <c r="Y328" s="95"/>
      <c r="Z328" s="95"/>
      <c r="AA328" s="95"/>
    </row>
    <row r="329">
      <c r="A329" s="95" t="s">
        <v>5116</v>
      </c>
      <c r="B329" s="95"/>
      <c r="C329" s="95"/>
      <c r="D329" s="95"/>
      <c r="E329" s="95"/>
      <c r="F329" s="95"/>
      <c r="G329" s="95"/>
      <c r="H329" s="95"/>
      <c r="I329" s="95"/>
      <c r="J329" s="95"/>
      <c r="K329" s="95"/>
      <c r="L329" s="95"/>
      <c r="M329" s="95"/>
      <c r="N329" s="95"/>
      <c r="O329" s="95"/>
      <c r="P329" s="95"/>
      <c r="Q329" s="95"/>
      <c r="R329" s="95"/>
      <c r="S329" s="95"/>
      <c r="T329" s="95"/>
      <c r="U329" s="95"/>
      <c r="V329" s="95"/>
      <c r="W329" s="95"/>
      <c r="X329" s="95"/>
      <c r="Y329" s="95"/>
      <c r="Z329" s="95"/>
      <c r="AA329" s="95"/>
    </row>
    <row r="330">
      <c r="A330" s="95" t="s">
        <v>5116</v>
      </c>
      <c r="B330" s="95"/>
      <c r="C330" s="95"/>
      <c r="D330" s="95"/>
      <c r="E330" s="95"/>
      <c r="F330" s="95"/>
      <c r="G330" s="95"/>
      <c r="H330" s="95"/>
      <c r="I330" s="95"/>
      <c r="J330" s="95"/>
      <c r="K330" s="95"/>
      <c r="L330" s="95"/>
      <c r="M330" s="95"/>
      <c r="N330" s="95"/>
      <c r="O330" s="95"/>
      <c r="P330" s="95"/>
      <c r="Q330" s="95"/>
      <c r="R330" s="95"/>
      <c r="S330" s="95"/>
      <c r="T330" s="95"/>
      <c r="U330" s="95"/>
      <c r="V330" s="95"/>
      <c r="W330" s="95"/>
      <c r="X330" s="95"/>
      <c r="Y330" s="95"/>
      <c r="Z330" s="95"/>
      <c r="AA330" s="95"/>
    </row>
    <row r="331">
      <c r="A331" s="95" t="s">
        <v>5116</v>
      </c>
      <c r="B331" s="95"/>
      <c r="C331" s="95"/>
      <c r="D331" s="95"/>
      <c r="E331" s="95"/>
      <c r="F331" s="95"/>
      <c r="G331" s="95"/>
      <c r="H331" s="95"/>
      <c r="I331" s="95"/>
      <c r="J331" s="95"/>
      <c r="K331" s="95"/>
      <c r="L331" s="95"/>
      <c r="M331" s="95"/>
      <c r="N331" s="95"/>
      <c r="O331" s="95"/>
      <c r="P331" s="95"/>
      <c r="Q331" s="95"/>
      <c r="R331" s="95"/>
      <c r="S331" s="95"/>
      <c r="T331" s="95"/>
      <c r="U331" s="95"/>
      <c r="V331" s="95"/>
      <c r="W331" s="95"/>
      <c r="X331" s="95"/>
      <c r="Y331" s="95"/>
      <c r="Z331" s="95"/>
      <c r="AA331" s="95"/>
    </row>
    <row r="332">
      <c r="A332" s="95" t="s">
        <v>5116</v>
      </c>
      <c r="B332" s="95"/>
      <c r="C332" s="95"/>
      <c r="D332" s="95"/>
      <c r="E332" s="95"/>
      <c r="F332" s="95"/>
      <c r="G332" s="95"/>
      <c r="H332" s="95"/>
      <c r="I332" s="95"/>
      <c r="J332" s="95"/>
      <c r="K332" s="95"/>
      <c r="L332" s="95"/>
      <c r="M332" s="95"/>
      <c r="N332" s="95"/>
      <c r="O332" s="95"/>
      <c r="P332" s="95"/>
      <c r="Q332" s="95"/>
      <c r="R332" s="95"/>
      <c r="S332" s="95"/>
      <c r="T332" s="95"/>
      <c r="U332" s="95"/>
      <c r="V332" s="95"/>
      <c r="W332" s="95"/>
      <c r="X332" s="95"/>
      <c r="Y332" s="95"/>
      <c r="Z332" s="95"/>
      <c r="AA332" s="95"/>
    </row>
    <row r="333">
      <c r="A333" s="95" t="s">
        <v>5116</v>
      </c>
      <c r="B333" s="95"/>
      <c r="C333" s="95"/>
      <c r="D333" s="95"/>
      <c r="E333" s="95"/>
      <c r="F333" s="95"/>
      <c r="G333" s="95"/>
      <c r="H333" s="95"/>
      <c r="I333" s="95"/>
      <c r="J333" s="95"/>
      <c r="K333" s="95"/>
      <c r="L333" s="95"/>
      <c r="M333" s="95"/>
      <c r="N333" s="95"/>
      <c r="O333" s="95"/>
      <c r="P333" s="95"/>
      <c r="Q333" s="95"/>
      <c r="R333" s="95"/>
      <c r="S333" s="95"/>
      <c r="T333" s="95"/>
      <c r="U333" s="95"/>
      <c r="V333" s="95"/>
      <c r="W333" s="95"/>
      <c r="X333" s="95"/>
      <c r="Y333" s="95"/>
      <c r="Z333" s="95"/>
      <c r="AA333" s="95"/>
    </row>
    <row r="334">
      <c r="A334" s="95" t="s">
        <v>5116</v>
      </c>
      <c r="B334" s="95"/>
      <c r="C334" s="95"/>
      <c r="D334" s="95"/>
      <c r="E334" s="95"/>
      <c r="F334" s="95"/>
      <c r="G334" s="95"/>
      <c r="H334" s="95"/>
      <c r="I334" s="95"/>
      <c r="J334" s="95"/>
      <c r="K334" s="95"/>
      <c r="L334" s="95"/>
      <c r="M334" s="95"/>
      <c r="N334" s="95"/>
      <c r="O334" s="95"/>
      <c r="P334" s="95"/>
      <c r="Q334" s="95"/>
      <c r="R334" s="95"/>
      <c r="S334" s="95"/>
      <c r="T334" s="95"/>
      <c r="U334" s="95"/>
      <c r="V334" s="95"/>
      <c r="W334" s="95"/>
      <c r="X334" s="95"/>
      <c r="Y334" s="95"/>
      <c r="Z334" s="95"/>
      <c r="AA334" s="95"/>
    </row>
    <row r="335">
      <c r="A335" s="95" t="s">
        <v>5116</v>
      </c>
      <c r="B335" s="95"/>
      <c r="C335" s="95"/>
      <c r="D335" s="95"/>
      <c r="E335" s="95"/>
      <c r="F335" s="95"/>
      <c r="G335" s="95"/>
      <c r="H335" s="95"/>
      <c r="I335" s="95"/>
      <c r="J335" s="95"/>
      <c r="K335" s="95"/>
      <c r="L335" s="95"/>
      <c r="M335" s="95"/>
      <c r="N335" s="95"/>
      <c r="O335" s="95"/>
      <c r="P335" s="95"/>
      <c r="Q335" s="95"/>
      <c r="R335" s="95"/>
      <c r="S335" s="95"/>
      <c r="T335" s="95"/>
      <c r="U335" s="95"/>
      <c r="V335" s="95"/>
      <c r="W335" s="95"/>
      <c r="X335" s="95"/>
      <c r="Y335" s="95"/>
      <c r="Z335" s="95"/>
      <c r="AA335" s="95"/>
    </row>
    <row r="336">
      <c r="A336" s="95" t="s">
        <v>5116</v>
      </c>
      <c r="B336" s="95"/>
      <c r="C336" s="95"/>
      <c r="D336" s="95"/>
      <c r="E336" s="95"/>
      <c r="F336" s="95"/>
      <c r="G336" s="95"/>
      <c r="H336" s="95"/>
      <c r="I336" s="95"/>
      <c r="J336" s="95"/>
      <c r="K336" s="95"/>
      <c r="L336" s="95"/>
      <c r="M336" s="95"/>
      <c r="N336" s="95"/>
      <c r="O336" s="95"/>
      <c r="P336" s="95"/>
      <c r="Q336" s="95"/>
      <c r="R336" s="95"/>
      <c r="S336" s="95"/>
      <c r="T336" s="95"/>
      <c r="U336" s="95"/>
      <c r="V336" s="95"/>
      <c r="W336" s="95"/>
      <c r="X336" s="95"/>
      <c r="Y336" s="95"/>
      <c r="Z336" s="95"/>
      <c r="AA336" s="95"/>
    </row>
    <row r="337">
      <c r="A337" s="95" t="s">
        <v>5116</v>
      </c>
      <c r="B337" s="95"/>
      <c r="C337" s="95"/>
      <c r="D337" s="95"/>
      <c r="E337" s="95"/>
      <c r="F337" s="95"/>
      <c r="G337" s="95"/>
      <c r="H337" s="95"/>
      <c r="I337" s="95"/>
      <c r="J337" s="95"/>
      <c r="K337" s="95"/>
      <c r="L337" s="95"/>
      <c r="M337" s="95"/>
      <c r="N337" s="95"/>
      <c r="O337" s="95"/>
      <c r="P337" s="95"/>
      <c r="Q337" s="95"/>
      <c r="R337" s="95"/>
      <c r="S337" s="95"/>
      <c r="T337" s="95"/>
      <c r="U337" s="95"/>
      <c r="V337" s="95"/>
      <c r="W337" s="95"/>
      <c r="X337" s="95"/>
      <c r="Y337" s="95"/>
      <c r="Z337" s="95"/>
      <c r="AA337" s="95"/>
    </row>
    <row r="338">
      <c r="A338" s="95" t="s">
        <v>5116</v>
      </c>
      <c r="B338" s="95"/>
      <c r="C338" s="95"/>
      <c r="D338" s="95"/>
      <c r="E338" s="95"/>
      <c r="F338" s="95"/>
      <c r="G338" s="95"/>
      <c r="H338" s="95"/>
      <c r="I338" s="95"/>
      <c r="J338" s="95"/>
      <c r="K338" s="95"/>
      <c r="L338" s="95"/>
      <c r="M338" s="95"/>
      <c r="N338" s="95"/>
      <c r="O338" s="95"/>
      <c r="P338" s="95"/>
      <c r="Q338" s="95"/>
      <c r="R338" s="95"/>
      <c r="S338" s="95"/>
      <c r="T338" s="95"/>
      <c r="U338" s="95"/>
      <c r="V338" s="95"/>
      <c r="W338" s="95"/>
      <c r="X338" s="95"/>
      <c r="Y338" s="95"/>
      <c r="Z338" s="95"/>
      <c r="AA338" s="95"/>
    </row>
    <row r="339">
      <c r="A339" s="95" t="s">
        <v>5116</v>
      </c>
      <c r="B339" s="95"/>
      <c r="C339" s="95"/>
      <c r="D339" s="95"/>
      <c r="E339" s="95"/>
      <c r="F339" s="95"/>
      <c r="G339" s="95"/>
      <c r="H339" s="95"/>
      <c r="I339" s="95"/>
      <c r="J339" s="95"/>
      <c r="K339" s="95"/>
      <c r="L339" s="95"/>
      <c r="M339" s="95"/>
      <c r="N339" s="95"/>
      <c r="O339" s="95"/>
      <c r="P339" s="95"/>
      <c r="Q339" s="95"/>
      <c r="R339" s="95"/>
      <c r="S339" s="95"/>
      <c r="T339" s="95"/>
      <c r="U339" s="95"/>
      <c r="V339" s="95"/>
      <c r="W339" s="95"/>
      <c r="X339" s="95"/>
      <c r="Y339" s="95"/>
      <c r="Z339" s="95"/>
      <c r="AA339" s="95"/>
    </row>
    <row r="340">
      <c r="A340" s="95" t="s">
        <v>5116</v>
      </c>
      <c r="B340" s="95"/>
      <c r="C340" s="95"/>
      <c r="D340" s="95"/>
      <c r="E340" s="95"/>
      <c r="F340" s="95"/>
      <c r="G340" s="95"/>
      <c r="H340" s="95"/>
      <c r="I340" s="95"/>
      <c r="J340" s="95"/>
      <c r="K340" s="95"/>
      <c r="L340" s="95"/>
      <c r="M340" s="95"/>
      <c r="N340" s="95"/>
      <c r="O340" s="95"/>
      <c r="P340" s="95"/>
      <c r="Q340" s="95"/>
      <c r="R340" s="95"/>
      <c r="S340" s="95"/>
      <c r="T340" s="95"/>
      <c r="U340" s="95"/>
      <c r="V340" s="95"/>
      <c r="W340" s="95"/>
      <c r="X340" s="95"/>
      <c r="Y340" s="95"/>
      <c r="Z340" s="95"/>
      <c r="AA340" s="95"/>
    </row>
    <row r="341">
      <c r="A341" s="95" t="s">
        <v>5116</v>
      </c>
      <c r="B341" s="95"/>
      <c r="C341" s="95"/>
      <c r="D341" s="95"/>
      <c r="E341" s="95"/>
      <c r="F341" s="95"/>
      <c r="G341" s="95"/>
      <c r="H341" s="95"/>
      <c r="I341" s="95"/>
      <c r="J341" s="95"/>
      <c r="K341" s="95"/>
      <c r="L341" s="95"/>
      <c r="M341" s="95"/>
      <c r="N341" s="95"/>
      <c r="O341" s="95"/>
      <c r="P341" s="95"/>
      <c r="Q341" s="95"/>
      <c r="R341" s="95"/>
      <c r="S341" s="95"/>
      <c r="T341" s="95"/>
      <c r="U341" s="95"/>
      <c r="V341" s="95"/>
      <c r="W341" s="95"/>
      <c r="X341" s="95"/>
      <c r="Y341" s="95"/>
      <c r="Z341" s="95"/>
      <c r="AA341" s="95"/>
    </row>
    <row r="342">
      <c r="A342" s="95" t="s">
        <v>5116</v>
      </c>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c r="AA342" s="95"/>
    </row>
    <row r="343">
      <c r="A343" s="95" t="s">
        <v>5116</v>
      </c>
      <c r="B343" s="95"/>
      <c r="C343" s="95"/>
      <c r="D343" s="95"/>
      <c r="E343" s="95"/>
      <c r="F343" s="95"/>
      <c r="G343" s="95"/>
      <c r="H343" s="95"/>
      <c r="I343" s="95"/>
      <c r="J343" s="95"/>
      <c r="K343" s="95"/>
      <c r="L343" s="95"/>
      <c r="M343" s="95"/>
      <c r="N343" s="95"/>
      <c r="O343" s="95"/>
      <c r="P343" s="95"/>
      <c r="Q343" s="95"/>
      <c r="R343" s="95"/>
      <c r="S343" s="95"/>
      <c r="T343" s="95"/>
      <c r="U343" s="95"/>
      <c r="V343" s="95"/>
      <c r="W343" s="95"/>
      <c r="X343" s="95"/>
      <c r="Y343" s="95"/>
      <c r="Z343" s="95"/>
      <c r="AA343" s="95"/>
    </row>
    <row r="344">
      <c r="A344" s="95" t="s">
        <v>5116</v>
      </c>
      <c r="B344" s="95"/>
      <c r="C344" s="95"/>
      <c r="D344" s="95"/>
      <c r="E344" s="95"/>
      <c r="F344" s="95"/>
      <c r="G344" s="95"/>
      <c r="H344" s="95"/>
      <c r="I344" s="95"/>
      <c r="J344" s="95"/>
      <c r="K344" s="95"/>
      <c r="L344" s="95"/>
      <c r="M344" s="95"/>
      <c r="N344" s="95"/>
      <c r="O344" s="95"/>
      <c r="P344" s="95"/>
      <c r="Q344" s="95"/>
      <c r="R344" s="95"/>
      <c r="S344" s="95"/>
      <c r="T344" s="95"/>
      <c r="U344" s="95"/>
      <c r="V344" s="95"/>
      <c r="W344" s="95"/>
      <c r="X344" s="95"/>
      <c r="Y344" s="95"/>
      <c r="Z344" s="95"/>
      <c r="AA344" s="95"/>
    </row>
    <row r="345">
      <c r="A345" s="95" t="s">
        <v>5116</v>
      </c>
      <c r="B345" s="95"/>
      <c r="C345" s="95"/>
      <c r="D345" s="95"/>
      <c r="E345" s="95"/>
      <c r="F345" s="95"/>
      <c r="G345" s="95"/>
      <c r="H345" s="95"/>
      <c r="I345" s="95"/>
      <c r="J345" s="95"/>
      <c r="K345" s="95"/>
      <c r="L345" s="95"/>
      <c r="M345" s="95"/>
      <c r="N345" s="95"/>
      <c r="O345" s="95"/>
      <c r="P345" s="95"/>
      <c r="Q345" s="95"/>
      <c r="R345" s="95"/>
      <c r="S345" s="95"/>
      <c r="T345" s="95"/>
      <c r="U345" s="95"/>
      <c r="V345" s="95"/>
      <c r="W345" s="95"/>
      <c r="X345" s="95"/>
      <c r="Y345" s="95"/>
      <c r="Z345" s="95"/>
      <c r="AA345" s="95"/>
    </row>
    <row r="346">
      <c r="A346" s="95" t="s">
        <v>5116</v>
      </c>
      <c r="B346" s="95"/>
      <c r="C346" s="95"/>
      <c r="D346" s="95"/>
      <c r="E346" s="95"/>
      <c r="F346" s="95"/>
      <c r="G346" s="95"/>
      <c r="H346" s="95"/>
      <c r="I346" s="95"/>
      <c r="J346" s="95"/>
      <c r="K346" s="95"/>
      <c r="L346" s="95"/>
      <c r="M346" s="95"/>
      <c r="N346" s="95"/>
      <c r="O346" s="95"/>
      <c r="P346" s="95"/>
      <c r="Q346" s="95"/>
      <c r="R346" s="95"/>
      <c r="S346" s="95"/>
      <c r="T346" s="95"/>
      <c r="U346" s="95"/>
      <c r="V346" s="95"/>
      <c r="W346" s="95"/>
      <c r="X346" s="95"/>
      <c r="Y346" s="95"/>
      <c r="Z346" s="95"/>
      <c r="AA346" s="95"/>
    </row>
    <row r="347">
      <c r="A347" s="95" t="s">
        <v>5116</v>
      </c>
      <c r="B347" s="95"/>
      <c r="C347" s="95"/>
      <c r="D347" s="95"/>
      <c r="E347" s="95"/>
      <c r="F347" s="95"/>
      <c r="G347" s="95"/>
      <c r="H347" s="95"/>
      <c r="I347" s="95"/>
      <c r="J347" s="95"/>
      <c r="K347" s="95"/>
      <c r="L347" s="95"/>
      <c r="M347" s="95"/>
      <c r="N347" s="95"/>
      <c r="O347" s="95"/>
      <c r="P347" s="95"/>
      <c r="Q347" s="95"/>
      <c r="R347" s="95"/>
      <c r="S347" s="95"/>
      <c r="T347" s="95"/>
      <c r="U347" s="95"/>
      <c r="V347" s="95"/>
      <c r="W347" s="95"/>
      <c r="X347" s="95"/>
      <c r="Y347" s="95"/>
      <c r="Z347" s="95"/>
      <c r="AA347" s="95"/>
    </row>
    <row r="348">
      <c r="A348" s="95" t="s">
        <v>5116</v>
      </c>
      <c r="B348" s="95"/>
      <c r="C348" s="95"/>
      <c r="D348" s="95"/>
      <c r="E348" s="95"/>
      <c r="F348" s="95"/>
      <c r="G348" s="95"/>
      <c r="H348" s="95"/>
      <c r="I348" s="95"/>
      <c r="J348" s="95"/>
      <c r="K348" s="95"/>
      <c r="L348" s="95"/>
      <c r="M348" s="95"/>
      <c r="N348" s="95"/>
      <c r="O348" s="95"/>
      <c r="P348" s="95"/>
      <c r="Q348" s="95"/>
      <c r="R348" s="95"/>
      <c r="S348" s="95"/>
      <c r="T348" s="95"/>
      <c r="U348" s="95"/>
      <c r="V348" s="95"/>
      <c r="W348" s="95"/>
      <c r="X348" s="95"/>
      <c r="Y348" s="95"/>
      <c r="Z348" s="95"/>
      <c r="AA348" s="95"/>
    </row>
    <row r="349">
      <c r="A349" s="95" t="s">
        <v>5116</v>
      </c>
      <c r="B349" s="95"/>
      <c r="C349" s="95"/>
      <c r="D349" s="95"/>
      <c r="E349" s="95"/>
      <c r="F349" s="95"/>
      <c r="G349" s="95"/>
      <c r="H349" s="95"/>
      <c r="I349" s="95"/>
      <c r="J349" s="95"/>
      <c r="K349" s="95"/>
      <c r="L349" s="95"/>
      <c r="M349" s="95"/>
      <c r="N349" s="95"/>
      <c r="O349" s="95"/>
      <c r="P349" s="95"/>
      <c r="Q349" s="95"/>
      <c r="R349" s="95"/>
      <c r="S349" s="95"/>
      <c r="T349" s="95"/>
      <c r="U349" s="95"/>
      <c r="V349" s="95"/>
      <c r="W349" s="95"/>
      <c r="X349" s="95"/>
      <c r="Y349" s="95"/>
      <c r="Z349" s="95"/>
      <c r="AA349" s="95"/>
    </row>
    <row r="350">
      <c r="A350" s="95" t="s">
        <v>5116</v>
      </c>
      <c r="B350" s="95"/>
      <c r="C350" s="95"/>
      <c r="D350" s="95"/>
      <c r="E350" s="95"/>
      <c r="F350" s="95"/>
      <c r="G350" s="95"/>
      <c r="H350" s="95"/>
      <c r="I350" s="95"/>
      <c r="J350" s="95"/>
      <c r="K350" s="95"/>
      <c r="L350" s="95"/>
      <c r="M350" s="95"/>
      <c r="N350" s="95"/>
      <c r="O350" s="95"/>
      <c r="P350" s="95"/>
      <c r="Q350" s="95"/>
      <c r="R350" s="95"/>
      <c r="S350" s="95"/>
      <c r="T350" s="95"/>
      <c r="U350" s="95"/>
      <c r="V350" s="95"/>
      <c r="W350" s="95"/>
      <c r="X350" s="95"/>
      <c r="Y350" s="95"/>
      <c r="Z350" s="95"/>
      <c r="AA350" s="95"/>
    </row>
    <row r="351">
      <c r="A351" s="95" t="s">
        <v>5116</v>
      </c>
      <c r="B351" s="95"/>
      <c r="C351" s="95"/>
      <c r="D351" s="95"/>
      <c r="E351" s="95"/>
      <c r="F351" s="95"/>
      <c r="G351" s="95"/>
      <c r="H351" s="95"/>
      <c r="I351" s="95"/>
      <c r="J351" s="95"/>
      <c r="K351" s="95"/>
      <c r="L351" s="95"/>
      <c r="M351" s="95"/>
      <c r="N351" s="95"/>
      <c r="O351" s="95"/>
      <c r="P351" s="95"/>
      <c r="Q351" s="95"/>
      <c r="R351" s="95"/>
      <c r="S351" s="95"/>
      <c r="T351" s="95"/>
      <c r="U351" s="95"/>
      <c r="V351" s="95"/>
      <c r="W351" s="95"/>
      <c r="X351" s="95"/>
      <c r="Y351" s="95"/>
      <c r="Z351" s="95"/>
      <c r="AA351" s="95"/>
    </row>
    <row r="352">
      <c r="A352" s="95" t="s">
        <v>5116</v>
      </c>
      <c r="B352" s="95"/>
      <c r="C352" s="95"/>
      <c r="D352" s="95"/>
      <c r="E352" s="95"/>
      <c r="F352" s="95"/>
      <c r="G352" s="95"/>
      <c r="H352" s="95"/>
      <c r="I352" s="95"/>
      <c r="J352" s="95"/>
      <c r="K352" s="95"/>
      <c r="L352" s="95"/>
      <c r="M352" s="95"/>
      <c r="N352" s="95"/>
      <c r="O352" s="95"/>
      <c r="P352" s="95"/>
      <c r="Q352" s="95"/>
      <c r="R352" s="95"/>
      <c r="S352" s="95"/>
      <c r="T352" s="95"/>
      <c r="U352" s="95"/>
      <c r="V352" s="95"/>
      <c r="W352" s="95"/>
      <c r="X352" s="95"/>
      <c r="Y352" s="95"/>
      <c r="Z352" s="95"/>
      <c r="AA352" s="95"/>
    </row>
    <row r="353">
      <c r="A353" s="95" t="s">
        <v>5116</v>
      </c>
      <c r="B353" s="95"/>
      <c r="C353" s="95"/>
      <c r="D353" s="95"/>
      <c r="E353" s="95"/>
      <c r="F353" s="95"/>
      <c r="G353" s="95"/>
      <c r="H353" s="95"/>
      <c r="I353" s="95"/>
      <c r="J353" s="95"/>
      <c r="K353" s="95"/>
      <c r="L353" s="95"/>
      <c r="M353" s="95"/>
      <c r="N353" s="95"/>
      <c r="O353" s="95"/>
      <c r="P353" s="95"/>
      <c r="Q353" s="95"/>
      <c r="R353" s="95"/>
      <c r="S353" s="95"/>
      <c r="T353" s="95"/>
      <c r="U353" s="95"/>
      <c r="V353" s="95"/>
      <c r="W353" s="95"/>
      <c r="X353" s="95"/>
      <c r="Y353" s="95"/>
      <c r="Z353" s="95"/>
      <c r="AA353" s="95"/>
    </row>
    <row r="354">
      <c r="A354" s="95" t="s">
        <v>5116</v>
      </c>
      <c r="B354" s="95"/>
      <c r="C354" s="95"/>
      <c r="D354" s="95"/>
      <c r="E354" s="95"/>
      <c r="F354" s="95"/>
      <c r="G354" s="95"/>
      <c r="H354" s="95"/>
      <c r="I354" s="95"/>
      <c r="J354" s="95"/>
      <c r="K354" s="95"/>
      <c r="L354" s="95"/>
      <c r="M354" s="95"/>
      <c r="N354" s="95"/>
      <c r="O354" s="95"/>
      <c r="P354" s="95"/>
      <c r="Q354" s="95"/>
      <c r="R354" s="95"/>
      <c r="S354" s="95"/>
      <c r="T354" s="95"/>
      <c r="U354" s="95"/>
      <c r="V354" s="95"/>
      <c r="W354" s="95"/>
      <c r="X354" s="95"/>
      <c r="Y354" s="95"/>
      <c r="Z354" s="95"/>
      <c r="AA354" s="95"/>
    </row>
    <row r="355">
      <c r="A355" s="95" t="s">
        <v>5116</v>
      </c>
      <c r="B355" s="95"/>
      <c r="C355" s="95"/>
      <c r="D355" s="95"/>
      <c r="E355" s="95"/>
      <c r="F355" s="95"/>
      <c r="G355" s="95"/>
      <c r="H355" s="95"/>
      <c r="I355" s="95"/>
      <c r="J355" s="95"/>
      <c r="K355" s="95"/>
      <c r="L355" s="95"/>
      <c r="M355" s="95"/>
      <c r="N355" s="95"/>
      <c r="O355" s="95"/>
      <c r="P355" s="95"/>
      <c r="Q355" s="95"/>
      <c r="R355" s="95"/>
      <c r="S355" s="95"/>
      <c r="T355" s="95"/>
      <c r="U355" s="95"/>
      <c r="V355" s="95"/>
      <c r="W355" s="95"/>
      <c r="X355" s="95"/>
      <c r="Y355" s="95"/>
      <c r="Z355" s="95"/>
      <c r="AA355" s="95"/>
    </row>
    <row r="356">
      <c r="A356" s="95" t="s">
        <v>5116</v>
      </c>
      <c r="B356" s="95"/>
      <c r="C356" s="95"/>
      <c r="D356" s="95"/>
      <c r="E356" s="95"/>
      <c r="F356" s="95"/>
      <c r="G356" s="95"/>
      <c r="H356" s="95"/>
      <c r="I356" s="95"/>
      <c r="J356" s="95"/>
      <c r="K356" s="95"/>
      <c r="L356" s="95"/>
      <c r="M356" s="95"/>
      <c r="N356" s="95"/>
      <c r="O356" s="95"/>
      <c r="P356" s="95"/>
      <c r="Q356" s="95"/>
      <c r="R356" s="95"/>
      <c r="S356" s="95"/>
      <c r="T356" s="95"/>
      <c r="U356" s="95"/>
      <c r="V356" s="95"/>
      <c r="W356" s="95"/>
      <c r="X356" s="95"/>
      <c r="Y356" s="95"/>
      <c r="Z356" s="95"/>
      <c r="AA356" s="95"/>
    </row>
    <row r="357">
      <c r="A357" s="95" t="s">
        <v>5116</v>
      </c>
      <c r="B357" s="95"/>
      <c r="C357" s="95"/>
      <c r="D357" s="95"/>
      <c r="E357" s="95"/>
      <c r="F357" s="95"/>
      <c r="G357" s="95"/>
      <c r="H357" s="95"/>
      <c r="I357" s="95"/>
      <c r="J357" s="95"/>
      <c r="K357" s="95"/>
      <c r="L357" s="95"/>
      <c r="M357" s="95"/>
      <c r="N357" s="95"/>
      <c r="O357" s="95"/>
      <c r="P357" s="95"/>
      <c r="Q357" s="95"/>
      <c r="R357" s="95"/>
      <c r="S357" s="95"/>
      <c r="T357" s="95"/>
      <c r="U357" s="95"/>
      <c r="V357" s="95"/>
      <c r="W357" s="95"/>
      <c r="X357" s="95"/>
      <c r="Y357" s="95"/>
      <c r="Z357" s="95"/>
      <c r="AA357" s="95"/>
    </row>
    <row r="358">
      <c r="A358" s="95" t="s">
        <v>5116</v>
      </c>
      <c r="B358" s="95"/>
      <c r="C358" s="95"/>
      <c r="D358" s="95"/>
      <c r="E358" s="95"/>
      <c r="F358" s="95"/>
      <c r="G358" s="95"/>
      <c r="H358" s="95"/>
      <c r="I358" s="95"/>
      <c r="J358" s="95"/>
      <c r="K358" s="95"/>
      <c r="L358" s="95"/>
      <c r="M358" s="95"/>
      <c r="N358" s="95"/>
      <c r="O358" s="95"/>
      <c r="P358" s="95"/>
      <c r="Q358" s="95"/>
      <c r="R358" s="95"/>
      <c r="S358" s="95"/>
      <c r="T358" s="95"/>
      <c r="U358" s="95"/>
      <c r="V358" s="95"/>
      <c r="W358" s="95"/>
      <c r="X358" s="95"/>
      <c r="Y358" s="95"/>
      <c r="Z358" s="95"/>
      <c r="AA358" s="95"/>
    </row>
    <row r="359">
      <c r="A359" s="95" t="s">
        <v>5116</v>
      </c>
      <c r="B359" s="95"/>
      <c r="C359" s="95"/>
      <c r="D359" s="95"/>
      <c r="E359" s="95"/>
      <c r="F359" s="95"/>
      <c r="G359" s="95"/>
      <c r="H359" s="95"/>
      <c r="I359" s="95"/>
      <c r="J359" s="95"/>
      <c r="K359" s="95"/>
      <c r="L359" s="95"/>
      <c r="M359" s="95"/>
      <c r="N359" s="95"/>
      <c r="O359" s="95"/>
      <c r="P359" s="95"/>
      <c r="Q359" s="95"/>
      <c r="R359" s="95"/>
      <c r="S359" s="95"/>
      <c r="T359" s="95"/>
      <c r="U359" s="95"/>
      <c r="V359" s="95"/>
      <c r="W359" s="95"/>
      <c r="X359" s="95"/>
      <c r="Y359" s="95"/>
      <c r="Z359" s="95"/>
      <c r="AA359" s="95"/>
    </row>
    <row r="360">
      <c r="A360" s="95" t="s">
        <v>5116</v>
      </c>
      <c r="B360" s="95"/>
      <c r="C360" s="95"/>
      <c r="D360" s="95"/>
      <c r="E360" s="95"/>
      <c r="F360" s="95"/>
      <c r="G360" s="95"/>
      <c r="H360" s="95"/>
      <c r="I360" s="95"/>
      <c r="J360" s="95"/>
      <c r="K360" s="95"/>
      <c r="L360" s="95"/>
      <c r="M360" s="95"/>
      <c r="N360" s="95"/>
      <c r="O360" s="95"/>
      <c r="P360" s="95"/>
      <c r="Q360" s="95"/>
      <c r="R360" s="95"/>
      <c r="S360" s="95"/>
      <c r="T360" s="95"/>
      <c r="U360" s="95"/>
      <c r="V360" s="95"/>
      <c r="W360" s="95"/>
      <c r="X360" s="95"/>
      <c r="Y360" s="95"/>
      <c r="Z360" s="95"/>
      <c r="AA360" s="95"/>
    </row>
    <row r="361">
      <c r="A361" s="95" t="s">
        <v>5116</v>
      </c>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c r="AA361" s="95"/>
    </row>
    <row r="362">
      <c r="A362" s="95" t="s">
        <v>5116</v>
      </c>
      <c r="B362" s="95"/>
      <c r="C362" s="95"/>
      <c r="D362" s="95"/>
      <c r="E362" s="95"/>
      <c r="F362" s="95"/>
      <c r="G362" s="95"/>
      <c r="H362" s="95"/>
      <c r="I362" s="95"/>
      <c r="J362" s="95"/>
      <c r="K362" s="95"/>
      <c r="L362" s="95"/>
      <c r="M362" s="95"/>
      <c r="N362" s="95"/>
      <c r="O362" s="95"/>
      <c r="P362" s="95"/>
      <c r="Q362" s="95"/>
      <c r="R362" s="95"/>
      <c r="S362" s="95"/>
      <c r="T362" s="95"/>
      <c r="U362" s="95"/>
      <c r="V362" s="95"/>
      <c r="W362" s="95"/>
      <c r="X362" s="95"/>
      <c r="Y362" s="95"/>
      <c r="Z362" s="95"/>
      <c r="AA362" s="95"/>
    </row>
    <row r="363">
      <c r="A363" s="95" t="s">
        <v>5116</v>
      </c>
      <c r="B363" s="95"/>
      <c r="C363" s="95"/>
      <c r="D363" s="95"/>
      <c r="E363" s="95"/>
      <c r="F363" s="95"/>
      <c r="G363" s="95"/>
      <c r="H363" s="95"/>
      <c r="I363" s="95"/>
      <c r="J363" s="95"/>
      <c r="K363" s="95"/>
      <c r="L363" s="95"/>
      <c r="M363" s="95"/>
      <c r="N363" s="95"/>
      <c r="O363" s="95"/>
      <c r="P363" s="95"/>
      <c r="Q363" s="95"/>
      <c r="R363" s="95"/>
      <c r="S363" s="95"/>
      <c r="T363" s="95"/>
      <c r="U363" s="95"/>
      <c r="V363" s="95"/>
      <c r="W363" s="95"/>
      <c r="X363" s="95"/>
      <c r="Y363" s="95"/>
      <c r="Z363" s="95"/>
      <c r="AA363" s="95"/>
    </row>
    <row r="364">
      <c r="A364" s="95" t="s">
        <v>5116</v>
      </c>
      <c r="B364" s="95"/>
      <c r="C364" s="95"/>
      <c r="D364" s="95"/>
      <c r="E364" s="95"/>
      <c r="F364" s="95"/>
      <c r="G364" s="95"/>
      <c r="H364" s="95"/>
      <c r="I364" s="95"/>
      <c r="J364" s="95"/>
      <c r="K364" s="95"/>
      <c r="L364" s="95"/>
      <c r="M364" s="95"/>
      <c r="N364" s="95"/>
      <c r="O364" s="95"/>
      <c r="P364" s="95"/>
      <c r="Q364" s="95"/>
      <c r="R364" s="95"/>
      <c r="S364" s="95"/>
      <c r="T364" s="95"/>
      <c r="U364" s="95"/>
      <c r="V364" s="95"/>
      <c r="W364" s="95"/>
      <c r="X364" s="95"/>
      <c r="Y364" s="95"/>
      <c r="Z364" s="95"/>
      <c r="AA364" s="95"/>
    </row>
    <row r="365">
      <c r="A365" s="95" t="s">
        <v>5116</v>
      </c>
      <c r="B365" s="95"/>
      <c r="C365" s="95"/>
      <c r="D365" s="95"/>
      <c r="E365" s="95"/>
      <c r="F365" s="95"/>
      <c r="G365" s="95"/>
      <c r="H365" s="95"/>
      <c r="I365" s="95"/>
      <c r="J365" s="95"/>
      <c r="K365" s="95"/>
      <c r="L365" s="95"/>
      <c r="M365" s="95"/>
      <c r="N365" s="95"/>
      <c r="O365" s="95"/>
      <c r="P365" s="95"/>
      <c r="Q365" s="95"/>
      <c r="R365" s="95"/>
      <c r="S365" s="95"/>
      <c r="T365" s="95"/>
      <c r="U365" s="95"/>
      <c r="V365" s="95"/>
      <c r="W365" s="95"/>
      <c r="X365" s="95"/>
      <c r="Y365" s="95"/>
      <c r="Z365" s="95"/>
      <c r="AA365" s="95"/>
    </row>
    <row r="366">
      <c r="A366" s="95" t="s">
        <v>5116</v>
      </c>
      <c r="B366" s="95"/>
      <c r="C366" s="95"/>
      <c r="D366" s="95"/>
      <c r="E366" s="95"/>
      <c r="F366" s="95"/>
      <c r="G366" s="95"/>
      <c r="H366" s="95"/>
      <c r="I366" s="95"/>
      <c r="J366" s="95"/>
      <c r="K366" s="95"/>
      <c r="L366" s="95"/>
      <c r="M366" s="95"/>
      <c r="N366" s="95"/>
      <c r="O366" s="95"/>
      <c r="P366" s="95"/>
      <c r="Q366" s="95"/>
      <c r="R366" s="95"/>
      <c r="S366" s="95"/>
      <c r="T366" s="95"/>
      <c r="U366" s="95"/>
      <c r="V366" s="95"/>
      <c r="W366" s="95"/>
      <c r="X366" s="95"/>
      <c r="Y366" s="95"/>
      <c r="Z366" s="95"/>
      <c r="AA366" s="95"/>
    </row>
    <row r="367">
      <c r="A367" s="95" t="s">
        <v>5116</v>
      </c>
      <c r="B367" s="95"/>
      <c r="C367" s="95"/>
      <c r="D367" s="95"/>
      <c r="E367" s="95"/>
      <c r="F367" s="95"/>
      <c r="G367" s="95"/>
      <c r="H367" s="95"/>
      <c r="I367" s="95"/>
      <c r="J367" s="95"/>
      <c r="K367" s="95"/>
      <c r="L367" s="95"/>
      <c r="M367" s="95"/>
      <c r="N367" s="95"/>
      <c r="O367" s="95"/>
      <c r="P367" s="95"/>
      <c r="Q367" s="95"/>
      <c r="R367" s="95"/>
      <c r="S367" s="95"/>
      <c r="T367" s="95"/>
      <c r="U367" s="95"/>
      <c r="V367" s="95"/>
      <c r="W367" s="95"/>
      <c r="X367" s="95"/>
      <c r="Y367" s="95"/>
      <c r="Z367" s="95"/>
      <c r="AA367" s="95"/>
    </row>
    <row r="368">
      <c r="A368" s="95" t="s">
        <v>5116</v>
      </c>
      <c r="B368" s="95"/>
      <c r="C368" s="95"/>
      <c r="D368" s="95"/>
      <c r="E368" s="95"/>
      <c r="F368" s="95"/>
      <c r="G368" s="95"/>
      <c r="H368" s="95"/>
      <c r="I368" s="95"/>
      <c r="J368" s="95"/>
      <c r="K368" s="95"/>
      <c r="L368" s="95"/>
      <c r="M368" s="95"/>
      <c r="N368" s="95"/>
      <c r="O368" s="95"/>
      <c r="P368" s="95"/>
      <c r="Q368" s="95"/>
      <c r="R368" s="95"/>
      <c r="S368" s="95"/>
      <c r="T368" s="95"/>
      <c r="U368" s="95"/>
      <c r="V368" s="95"/>
      <c r="W368" s="95"/>
      <c r="X368" s="95"/>
      <c r="Y368" s="95"/>
      <c r="Z368" s="95"/>
      <c r="AA368" s="95"/>
    </row>
    <row r="369">
      <c r="A369" s="95" t="s">
        <v>5116</v>
      </c>
      <c r="B369" s="95"/>
      <c r="C369" s="95"/>
      <c r="D369" s="95"/>
      <c r="E369" s="95"/>
      <c r="F369" s="95"/>
      <c r="G369" s="95"/>
      <c r="H369" s="95"/>
      <c r="I369" s="95"/>
      <c r="J369" s="95"/>
      <c r="K369" s="95"/>
      <c r="L369" s="95"/>
      <c r="M369" s="95"/>
      <c r="N369" s="95"/>
      <c r="O369" s="95"/>
      <c r="P369" s="95"/>
      <c r="Q369" s="95"/>
      <c r="R369" s="95"/>
      <c r="S369" s="95"/>
      <c r="T369" s="95"/>
      <c r="U369" s="95"/>
      <c r="V369" s="95"/>
      <c r="W369" s="95"/>
      <c r="X369" s="95"/>
      <c r="Y369" s="95"/>
      <c r="Z369" s="95"/>
      <c r="AA369" s="95"/>
    </row>
    <row r="370">
      <c r="A370" s="95" t="s">
        <v>5116</v>
      </c>
      <c r="B370" s="95"/>
      <c r="C370" s="95"/>
      <c r="D370" s="95"/>
      <c r="E370" s="95"/>
      <c r="F370" s="95"/>
      <c r="G370" s="95"/>
      <c r="H370" s="95"/>
      <c r="I370" s="95"/>
      <c r="J370" s="95"/>
      <c r="K370" s="95"/>
      <c r="L370" s="95"/>
      <c r="M370" s="95"/>
      <c r="N370" s="95"/>
      <c r="O370" s="95"/>
      <c r="P370" s="95"/>
      <c r="Q370" s="95"/>
      <c r="R370" s="95"/>
      <c r="S370" s="95"/>
      <c r="T370" s="95"/>
      <c r="U370" s="95"/>
      <c r="V370" s="95"/>
      <c r="W370" s="95"/>
      <c r="X370" s="95"/>
      <c r="Y370" s="95"/>
      <c r="Z370" s="95"/>
      <c r="AA370" s="95"/>
    </row>
    <row r="371">
      <c r="A371" s="95" t="s">
        <v>5116</v>
      </c>
      <c r="B371" s="95"/>
      <c r="C371" s="95"/>
      <c r="D371" s="95"/>
      <c r="E371" s="95"/>
      <c r="F371" s="95"/>
      <c r="G371" s="95"/>
      <c r="H371" s="95"/>
      <c r="I371" s="95"/>
      <c r="J371" s="95"/>
      <c r="K371" s="95"/>
      <c r="L371" s="95"/>
      <c r="M371" s="95"/>
      <c r="N371" s="95"/>
      <c r="O371" s="95"/>
      <c r="P371" s="95"/>
      <c r="Q371" s="95"/>
      <c r="R371" s="95"/>
      <c r="S371" s="95"/>
      <c r="T371" s="95"/>
      <c r="U371" s="95"/>
      <c r="V371" s="95"/>
      <c r="W371" s="95"/>
      <c r="X371" s="95"/>
      <c r="Y371" s="95"/>
      <c r="Z371" s="95"/>
      <c r="AA371" s="95"/>
    </row>
    <row r="372">
      <c r="A372" s="95" t="s">
        <v>5116</v>
      </c>
      <c r="B372" s="95"/>
      <c r="C372" s="95"/>
      <c r="D372" s="95"/>
      <c r="E372" s="95"/>
      <c r="F372" s="95"/>
      <c r="G372" s="95"/>
      <c r="H372" s="95"/>
      <c r="I372" s="95"/>
      <c r="J372" s="95"/>
      <c r="K372" s="95"/>
      <c r="L372" s="95"/>
      <c r="M372" s="95"/>
      <c r="N372" s="95"/>
      <c r="O372" s="95"/>
      <c r="P372" s="95"/>
      <c r="Q372" s="95"/>
      <c r="R372" s="95"/>
      <c r="S372" s="95"/>
      <c r="T372" s="95"/>
      <c r="U372" s="95"/>
      <c r="V372" s="95"/>
      <c r="W372" s="95"/>
      <c r="X372" s="95"/>
      <c r="Y372" s="95"/>
      <c r="Z372" s="95"/>
      <c r="AA372" s="95"/>
    </row>
    <row r="373">
      <c r="A373" s="95" t="s">
        <v>5116</v>
      </c>
      <c r="B373" s="95"/>
      <c r="C373" s="95"/>
      <c r="D373" s="95"/>
      <c r="E373" s="95"/>
      <c r="F373" s="95"/>
      <c r="G373" s="95"/>
      <c r="H373" s="95"/>
      <c r="I373" s="95"/>
      <c r="J373" s="95"/>
      <c r="K373" s="95"/>
      <c r="L373" s="95"/>
      <c r="M373" s="95"/>
      <c r="N373" s="95"/>
      <c r="O373" s="95"/>
      <c r="P373" s="95"/>
      <c r="Q373" s="95"/>
      <c r="R373" s="95"/>
      <c r="S373" s="95"/>
      <c r="T373" s="95"/>
      <c r="U373" s="95"/>
      <c r="V373" s="95"/>
      <c r="W373" s="95"/>
      <c r="X373" s="95"/>
      <c r="Y373" s="95"/>
      <c r="Z373" s="95"/>
      <c r="AA373" s="95"/>
    </row>
    <row r="374">
      <c r="A374" s="95" t="s">
        <v>5116</v>
      </c>
      <c r="B374" s="95"/>
      <c r="C374" s="95"/>
      <c r="D374" s="95"/>
      <c r="E374" s="95"/>
      <c r="F374" s="95"/>
      <c r="G374" s="95"/>
      <c r="H374" s="95"/>
      <c r="I374" s="95"/>
      <c r="J374" s="95"/>
      <c r="K374" s="95"/>
      <c r="L374" s="95"/>
      <c r="M374" s="95"/>
      <c r="N374" s="95"/>
      <c r="O374" s="95"/>
      <c r="P374" s="95"/>
      <c r="Q374" s="95"/>
      <c r="R374" s="95"/>
      <c r="S374" s="95"/>
      <c r="T374" s="95"/>
      <c r="U374" s="95"/>
      <c r="V374" s="95"/>
      <c r="W374" s="95"/>
      <c r="X374" s="95"/>
      <c r="Y374" s="95"/>
      <c r="Z374" s="95"/>
      <c r="AA374" s="95"/>
    </row>
    <row r="375">
      <c r="A375" s="95" t="s">
        <v>5116</v>
      </c>
      <c r="B375" s="95"/>
      <c r="C375" s="95"/>
      <c r="D375" s="95"/>
      <c r="E375" s="95"/>
      <c r="F375" s="95"/>
      <c r="G375" s="95"/>
      <c r="H375" s="95"/>
      <c r="I375" s="95"/>
      <c r="J375" s="95"/>
      <c r="K375" s="95"/>
      <c r="L375" s="95"/>
      <c r="M375" s="95"/>
      <c r="N375" s="95"/>
      <c r="O375" s="95"/>
      <c r="P375" s="95"/>
      <c r="Q375" s="95"/>
      <c r="R375" s="95"/>
      <c r="S375" s="95"/>
      <c r="T375" s="95"/>
      <c r="U375" s="95"/>
      <c r="V375" s="95"/>
      <c r="W375" s="95"/>
      <c r="X375" s="95"/>
      <c r="Y375" s="95"/>
      <c r="Z375" s="95"/>
      <c r="AA375" s="95"/>
    </row>
    <row r="376">
      <c r="A376" s="95" t="s">
        <v>5116</v>
      </c>
      <c r="B376" s="95"/>
      <c r="C376" s="95"/>
      <c r="D376" s="95"/>
      <c r="E376" s="95"/>
      <c r="F376" s="95"/>
      <c r="G376" s="95"/>
      <c r="H376" s="95"/>
      <c r="I376" s="95"/>
      <c r="J376" s="95"/>
      <c r="K376" s="95"/>
      <c r="L376" s="95"/>
      <c r="M376" s="95"/>
      <c r="N376" s="95"/>
      <c r="O376" s="95"/>
      <c r="P376" s="95"/>
      <c r="Q376" s="95"/>
      <c r="R376" s="95"/>
      <c r="S376" s="95"/>
      <c r="T376" s="95"/>
      <c r="U376" s="95"/>
      <c r="V376" s="95"/>
      <c r="W376" s="95"/>
      <c r="X376" s="95"/>
      <c r="Y376" s="95"/>
      <c r="Z376" s="95"/>
      <c r="AA376" s="95"/>
    </row>
    <row r="377">
      <c r="A377" s="95" t="s">
        <v>5116</v>
      </c>
      <c r="B377" s="95"/>
      <c r="C377" s="95"/>
      <c r="D377" s="95"/>
      <c r="E377" s="95"/>
      <c r="F377" s="95"/>
      <c r="G377" s="95"/>
      <c r="H377" s="95"/>
      <c r="I377" s="95"/>
      <c r="J377" s="95"/>
      <c r="K377" s="95"/>
      <c r="L377" s="95"/>
      <c r="M377" s="95"/>
      <c r="N377" s="95"/>
      <c r="O377" s="95"/>
      <c r="P377" s="95"/>
      <c r="Q377" s="95"/>
      <c r="R377" s="95"/>
      <c r="S377" s="95"/>
      <c r="T377" s="95"/>
      <c r="U377" s="95"/>
      <c r="V377" s="95"/>
      <c r="W377" s="95"/>
      <c r="X377" s="95"/>
      <c r="Y377" s="95"/>
      <c r="Z377" s="95"/>
      <c r="AA377" s="95"/>
    </row>
    <row r="378">
      <c r="A378" s="95" t="s">
        <v>5116</v>
      </c>
      <c r="B378" s="95"/>
      <c r="C378" s="95"/>
      <c r="D378" s="95"/>
      <c r="E378" s="95"/>
      <c r="F378" s="95"/>
      <c r="G378" s="95"/>
      <c r="H378" s="95"/>
      <c r="I378" s="95"/>
      <c r="J378" s="95"/>
      <c r="K378" s="95"/>
      <c r="L378" s="95"/>
      <c r="M378" s="95"/>
      <c r="N378" s="95"/>
      <c r="O378" s="95"/>
      <c r="P378" s="95"/>
      <c r="Q378" s="95"/>
      <c r="R378" s="95"/>
      <c r="S378" s="95"/>
      <c r="T378" s="95"/>
      <c r="U378" s="95"/>
      <c r="V378" s="95"/>
      <c r="W378" s="95"/>
      <c r="X378" s="95"/>
      <c r="Y378" s="95"/>
      <c r="Z378" s="95"/>
      <c r="AA378" s="95"/>
    </row>
    <row r="379">
      <c r="A379" s="95" t="s">
        <v>5116</v>
      </c>
      <c r="B379" s="95"/>
      <c r="C379" s="95"/>
      <c r="D379" s="95"/>
      <c r="E379" s="95"/>
      <c r="F379" s="95"/>
      <c r="G379" s="95"/>
      <c r="H379" s="95"/>
      <c r="I379" s="95"/>
      <c r="J379" s="95"/>
      <c r="K379" s="95"/>
      <c r="L379" s="95"/>
      <c r="M379" s="95"/>
      <c r="N379" s="95"/>
      <c r="O379" s="95"/>
      <c r="P379" s="95"/>
      <c r="Q379" s="95"/>
      <c r="R379" s="95"/>
      <c r="S379" s="95"/>
      <c r="T379" s="95"/>
      <c r="U379" s="95"/>
      <c r="V379" s="95"/>
      <c r="W379" s="95"/>
      <c r="X379" s="95"/>
      <c r="Y379" s="95"/>
      <c r="Z379" s="95"/>
      <c r="AA379" s="95"/>
    </row>
    <row r="380">
      <c r="A380" s="95" t="s">
        <v>5116</v>
      </c>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c r="AA380" s="95"/>
    </row>
    <row r="381">
      <c r="A381" s="95" t="s">
        <v>5116</v>
      </c>
      <c r="B381" s="95"/>
      <c r="C381" s="95"/>
      <c r="D381" s="95"/>
      <c r="E381" s="95"/>
      <c r="F381" s="95"/>
      <c r="G381" s="95"/>
      <c r="H381" s="95"/>
      <c r="I381" s="95"/>
      <c r="J381" s="95"/>
      <c r="K381" s="95"/>
      <c r="L381" s="95"/>
      <c r="M381" s="95"/>
      <c r="N381" s="95"/>
      <c r="O381" s="95"/>
      <c r="P381" s="95"/>
      <c r="Q381" s="95"/>
      <c r="R381" s="95"/>
      <c r="S381" s="95"/>
      <c r="T381" s="95"/>
      <c r="U381" s="95"/>
      <c r="V381" s="95"/>
      <c r="W381" s="95"/>
      <c r="X381" s="95"/>
      <c r="Y381" s="95"/>
      <c r="Z381" s="95"/>
      <c r="AA381" s="95"/>
    </row>
    <row r="382">
      <c r="A382" s="95" t="s">
        <v>5116</v>
      </c>
      <c r="B382" s="95"/>
      <c r="C382" s="95"/>
      <c r="D382" s="95"/>
      <c r="E382" s="95"/>
      <c r="F382" s="95"/>
      <c r="G382" s="95"/>
      <c r="H382" s="95"/>
      <c r="I382" s="95"/>
      <c r="J382" s="95"/>
      <c r="K382" s="95"/>
      <c r="L382" s="95"/>
      <c r="M382" s="95"/>
      <c r="N382" s="95"/>
      <c r="O382" s="95"/>
      <c r="P382" s="95"/>
      <c r="Q382" s="95"/>
      <c r="R382" s="95"/>
      <c r="S382" s="95"/>
      <c r="T382" s="95"/>
      <c r="U382" s="95"/>
      <c r="V382" s="95"/>
      <c r="W382" s="95"/>
      <c r="X382" s="95"/>
      <c r="Y382" s="95"/>
      <c r="Z382" s="95"/>
      <c r="AA382" s="95"/>
    </row>
    <row r="383">
      <c r="A383" s="95" t="s">
        <v>5116</v>
      </c>
      <c r="B383" s="95"/>
      <c r="C383" s="95"/>
      <c r="D383" s="95"/>
      <c r="E383" s="95"/>
      <c r="F383" s="95"/>
      <c r="G383" s="95"/>
      <c r="H383" s="95"/>
      <c r="I383" s="95"/>
      <c r="J383" s="95"/>
      <c r="K383" s="95"/>
      <c r="L383" s="95"/>
      <c r="M383" s="95"/>
      <c r="N383" s="95"/>
      <c r="O383" s="95"/>
      <c r="P383" s="95"/>
      <c r="Q383" s="95"/>
      <c r="R383" s="95"/>
      <c r="S383" s="95"/>
      <c r="T383" s="95"/>
      <c r="U383" s="95"/>
      <c r="V383" s="95"/>
      <c r="W383" s="95"/>
      <c r="X383" s="95"/>
      <c r="Y383" s="95"/>
      <c r="Z383" s="95"/>
      <c r="AA383" s="95"/>
    </row>
    <row r="384">
      <c r="A384" s="95" t="s">
        <v>5116</v>
      </c>
      <c r="B384" s="95"/>
      <c r="C384" s="95"/>
      <c r="D384" s="95"/>
      <c r="E384" s="95"/>
      <c r="F384" s="95"/>
      <c r="G384" s="95"/>
      <c r="H384" s="95"/>
      <c r="I384" s="95"/>
      <c r="J384" s="95"/>
      <c r="K384" s="95"/>
      <c r="L384" s="95"/>
      <c r="M384" s="95"/>
      <c r="N384" s="95"/>
      <c r="O384" s="95"/>
      <c r="P384" s="95"/>
      <c r="Q384" s="95"/>
      <c r="R384" s="95"/>
      <c r="S384" s="95"/>
      <c r="T384" s="95"/>
      <c r="U384" s="95"/>
      <c r="V384" s="95"/>
      <c r="W384" s="95"/>
      <c r="X384" s="95"/>
      <c r="Y384" s="95"/>
      <c r="Z384" s="95"/>
      <c r="AA384" s="95"/>
    </row>
    <row r="385">
      <c r="A385" s="95" t="s">
        <v>5116</v>
      </c>
      <c r="B385" s="95"/>
      <c r="C385" s="95"/>
      <c r="D385" s="95"/>
      <c r="E385" s="95"/>
      <c r="F385" s="95"/>
      <c r="G385" s="95"/>
      <c r="H385" s="95"/>
      <c r="I385" s="95"/>
      <c r="J385" s="95"/>
      <c r="K385" s="95"/>
      <c r="L385" s="95"/>
      <c r="M385" s="95"/>
      <c r="N385" s="95"/>
      <c r="O385" s="95"/>
      <c r="P385" s="95"/>
      <c r="Q385" s="95"/>
      <c r="R385" s="95"/>
      <c r="S385" s="95"/>
      <c r="T385" s="95"/>
      <c r="U385" s="95"/>
      <c r="V385" s="95"/>
      <c r="W385" s="95"/>
      <c r="X385" s="95"/>
      <c r="Y385" s="95"/>
      <c r="Z385" s="95"/>
      <c r="AA385" s="95"/>
    </row>
    <row r="386">
      <c r="A386" s="95" t="s">
        <v>5116</v>
      </c>
      <c r="B386" s="95"/>
      <c r="C386" s="95"/>
      <c r="D386" s="95"/>
      <c r="E386" s="95"/>
      <c r="F386" s="95"/>
      <c r="G386" s="95"/>
      <c r="H386" s="95"/>
      <c r="I386" s="95"/>
      <c r="J386" s="95"/>
      <c r="K386" s="95"/>
      <c r="L386" s="95"/>
      <c r="M386" s="95"/>
      <c r="N386" s="95"/>
      <c r="O386" s="95"/>
      <c r="P386" s="95"/>
      <c r="Q386" s="95"/>
      <c r="R386" s="95"/>
      <c r="S386" s="95"/>
      <c r="T386" s="95"/>
      <c r="U386" s="95"/>
      <c r="V386" s="95"/>
      <c r="W386" s="95"/>
      <c r="X386" s="95"/>
      <c r="Y386" s="95"/>
      <c r="Z386" s="95"/>
      <c r="AA386" s="95"/>
    </row>
    <row r="387">
      <c r="A387" s="95" t="s">
        <v>5116</v>
      </c>
      <c r="B387" s="95"/>
      <c r="C387" s="95"/>
      <c r="D387" s="95"/>
      <c r="E387" s="95"/>
      <c r="F387" s="95"/>
      <c r="G387" s="95"/>
      <c r="H387" s="95"/>
      <c r="I387" s="95"/>
      <c r="J387" s="95"/>
      <c r="K387" s="95"/>
      <c r="L387" s="95"/>
      <c r="M387" s="95"/>
      <c r="N387" s="95"/>
      <c r="O387" s="95"/>
      <c r="P387" s="95"/>
      <c r="Q387" s="95"/>
      <c r="R387" s="95"/>
      <c r="S387" s="95"/>
      <c r="T387" s="95"/>
      <c r="U387" s="95"/>
      <c r="V387" s="95"/>
      <c r="W387" s="95"/>
      <c r="X387" s="95"/>
      <c r="Y387" s="95"/>
      <c r="Z387" s="95"/>
      <c r="AA387" s="95"/>
    </row>
    <row r="388">
      <c r="A388" s="95" t="s">
        <v>5116</v>
      </c>
      <c r="B388" s="95"/>
      <c r="C388" s="95"/>
      <c r="D388" s="95"/>
      <c r="E388" s="95"/>
      <c r="F388" s="95"/>
      <c r="G388" s="95"/>
      <c r="H388" s="95"/>
      <c r="I388" s="95"/>
      <c r="J388" s="95"/>
      <c r="K388" s="95"/>
      <c r="L388" s="95"/>
      <c r="M388" s="95"/>
      <c r="N388" s="95"/>
      <c r="O388" s="95"/>
      <c r="P388" s="95"/>
      <c r="Q388" s="95"/>
      <c r="R388" s="95"/>
      <c r="S388" s="95"/>
      <c r="T388" s="95"/>
      <c r="U388" s="95"/>
      <c r="V388" s="95"/>
      <c r="W388" s="95"/>
      <c r="X388" s="95"/>
      <c r="Y388" s="95"/>
      <c r="Z388" s="95"/>
      <c r="AA388" s="95"/>
    </row>
    <row r="389">
      <c r="A389" s="95" t="s">
        <v>5116</v>
      </c>
      <c r="B389" s="95"/>
      <c r="C389" s="95"/>
      <c r="D389" s="95"/>
      <c r="E389" s="95"/>
      <c r="F389" s="95"/>
      <c r="G389" s="95"/>
      <c r="H389" s="95"/>
      <c r="I389" s="95"/>
      <c r="J389" s="95"/>
      <c r="K389" s="95"/>
      <c r="L389" s="95"/>
      <c r="M389" s="95"/>
      <c r="N389" s="95"/>
      <c r="O389" s="95"/>
      <c r="P389" s="95"/>
      <c r="Q389" s="95"/>
      <c r="R389" s="95"/>
      <c r="S389" s="95"/>
      <c r="T389" s="95"/>
      <c r="U389" s="95"/>
      <c r="V389" s="95"/>
      <c r="W389" s="95"/>
      <c r="X389" s="95"/>
      <c r="Y389" s="95"/>
      <c r="Z389" s="95"/>
      <c r="AA389" s="95"/>
    </row>
    <row r="390">
      <c r="A390" s="95" t="s">
        <v>5116</v>
      </c>
      <c r="B390" s="95"/>
      <c r="C390" s="95"/>
      <c r="D390" s="95"/>
      <c r="E390" s="95"/>
      <c r="F390" s="95"/>
      <c r="G390" s="95"/>
      <c r="H390" s="95"/>
      <c r="I390" s="95"/>
      <c r="J390" s="95"/>
      <c r="K390" s="95"/>
      <c r="L390" s="95"/>
      <c r="M390" s="95"/>
      <c r="N390" s="95"/>
      <c r="O390" s="95"/>
      <c r="P390" s="95"/>
      <c r="Q390" s="95"/>
      <c r="R390" s="95"/>
      <c r="S390" s="95"/>
      <c r="T390" s="95"/>
      <c r="U390" s="95"/>
      <c r="V390" s="95"/>
      <c r="W390" s="95"/>
      <c r="X390" s="95"/>
      <c r="Y390" s="95"/>
      <c r="Z390" s="95"/>
      <c r="AA390" s="95"/>
    </row>
    <row r="391">
      <c r="A391" s="95" t="s">
        <v>5116</v>
      </c>
      <c r="B391" s="95"/>
      <c r="C391" s="95"/>
      <c r="D391" s="95"/>
      <c r="E391" s="95"/>
      <c r="F391" s="95"/>
      <c r="G391" s="95"/>
      <c r="H391" s="95"/>
      <c r="I391" s="95"/>
      <c r="J391" s="95"/>
      <c r="K391" s="95"/>
      <c r="L391" s="95"/>
      <c r="M391" s="95"/>
      <c r="N391" s="95"/>
      <c r="O391" s="95"/>
      <c r="P391" s="95"/>
      <c r="Q391" s="95"/>
      <c r="R391" s="95"/>
      <c r="S391" s="95"/>
      <c r="T391" s="95"/>
      <c r="U391" s="95"/>
      <c r="V391" s="95"/>
      <c r="W391" s="95"/>
      <c r="X391" s="95"/>
      <c r="Y391" s="95"/>
      <c r="Z391" s="95"/>
      <c r="AA391" s="95"/>
    </row>
    <row r="392">
      <c r="A392" s="95" t="s">
        <v>5116</v>
      </c>
      <c r="B392" s="95"/>
      <c r="C392" s="95"/>
      <c r="D392" s="95"/>
      <c r="E392" s="95"/>
      <c r="F392" s="95"/>
      <c r="G392" s="95"/>
      <c r="H392" s="95"/>
      <c r="I392" s="95"/>
      <c r="J392" s="95"/>
      <c r="K392" s="95"/>
      <c r="L392" s="95"/>
      <c r="M392" s="95"/>
      <c r="N392" s="95"/>
      <c r="O392" s="95"/>
      <c r="P392" s="95"/>
      <c r="Q392" s="95"/>
      <c r="R392" s="95"/>
      <c r="S392" s="95"/>
      <c r="T392" s="95"/>
      <c r="U392" s="95"/>
      <c r="V392" s="95"/>
      <c r="W392" s="95"/>
      <c r="X392" s="95"/>
      <c r="Y392" s="95"/>
      <c r="Z392" s="95"/>
      <c r="AA392" s="95"/>
    </row>
    <row r="393">
      <c r="A393" s="95" t="s">
        <v>5116</v>
      </c>
      <c r="B393" s="95"/>
      <c r="C393" s="95"/>
      <c r="D393" s="95"/>
      <c r="E393" s="95"/>
      <c r="F393" s="95"/>
      <c r="G393" s="95"/>
      <c r="H393" s="95"/>
      <c r="I393" s="95"/>
      <c r="J393" s="95"/>
      <c r="K393" s="95"/>
      <c r="L393" s="95"/>
      <c r="M393" s="95"/>
      <c r="N393" s="95"/>
      <c r="O393" s="95"/>
      <c r="P393" s="95"/>
      <c r="Q393" s="95"/>
      <c r="R393" s="95"/>
      <c r="S393" s="95"/>
      <c r="T393" s="95"/>
      <c r="U393" s="95"/>
      <c r="V393" s="95"/>
      <c r="W393" s="95"/>
      <c r="X393" s="95"/>
      <c r="Y393" s="95"/>
      <c r="Z393" s="95"/>
      <c r="AA393" s="95"/>
    </row>
    <row r="394">
      <c r="A394" s="95" t="s">
        <v>5116</v>
      </c>
      <c r="B394" s="95"/>
      <c r="C394" s="95"/>
      <c r="D394" s="95"/>
      <c r="E394" s="95"/>
      <c r="F394" s="95"/>
      <c r="G394" s="95"/>
      <c r="H394" s="95"/>
      <c r="I394" s="95"/>
      <c r="J394" s="95"/>
      <c r="K394" s="95"/>
      <c r="L394" s="95"/>
      <c r="M394" s="95"/>
      <c r="N394" s="95"/>
      <c r="O394" s="95"/>
      <c r="P394" s="95"/>
      <c r="Q394" s="95"/>
      <c r="R394" s="95"/>
      <c r="S394" s="95"/>
      <c r="T394" s="95"/>
      <c r="U394" s="95"/>
      <c r="V394" s="95"/>
      <c r="W394" s="95"/>
      <c r="X394" s="95"/>
      <c r="Y394" s="95"/>
      <c r="Z394" s="95"/>
      <c r="AA394" s="95"/>
    </row>
    <row r="395">
      <c r="A395" s="95" t="s">
        <v>5116</v>
      </c>
      <c r="B395" s="95"/>
      <c r="C395" s="95"/>
      <c r="D395" s="95"/>
      <c r="E395" s="95"/>
      <c r="F395" s="95"/>
      <c r="G395" s="95"/>
      <c r="H395" s="95"/>
      <c r="I395" s="95"/>
      <c r="J395" s="95"/>
      <c r="K395" s="95"/>
      <c r="L395" s="95"/>
      <c r="M395" s="95"/>
      <c r="N395" s="95"/>
      <c r="O395" s="95"/>
      <c r="P395" s="95"/>
      <c r="Q395" s="95"/>
      <c r="R395" s="95"/>
      <c r="S395" s="95"/>
      <c r="T395" s="95"/>
      <c r="U395" s="95"/>
      <c r="V395" s="95"/>
      <c r="W395" s="95"/>
      <c r="X395" s="95"/>
      <c r="Y395" s="95"/>
      <c r="Z395" s="95"/>
      <c r="AA395" s="95"/>
    </row>
    <row r="396">
      <c r="A396" s="95" t="s">
        <v>5116</v>
      </c>
      <c r="B396" s="95"/>
      <c r="C396" s="95"/>
      <c r="D396" s="95"/>
      <c r="E396" s="95"/>
      <c r="F396" s="95"/>
      <c r="G396" s="95"/>
      <c r="H396" s="95"/>
      <c r="I396" s="95"/>
      <c r="J396" s="95"/>
      <c r="K396" s="95"/>
      <c r="L396" s="95"/>
      <c r="M396" s="95"/>
      <c r="N396" s="95"/>
      <c r="O396" s="95"/>
      <c r="P396" s="95"/>
      <c r="Q396" s="95"/>
      <c r="R396" s="95"/>
      <c r="S396" s="95"/>
      <c r="T396" s="95"/>
      <c r="U396" s="95"/>
      <c r="V396" s="95"/>
      <c r="W396" s="95"/>
      <c r="X396" s="95"/>
      <c r="Y396" s="95"/>
      <c r="Z396" s="95"/>
      <c r="AA396" s="95"/>
    </row>
    <row r="397">
      <c r="A397" s="95" t="s">
        <v>5116</v>
      </c>
      <c r="B397" s="95"/>
      <c r="C397" s="95"/>
      <c r="D397" s="95"/>
      <c r="E397" s="95"/>
      <c r="F397" s="95"/>
      <c r="G397" s="95"/>
      <c r="H397" s="95"/>
      <c r="I397" s="95"/>
      <c r="J397" s="95"/>
      <c r="K397" s="95"/>
      <c r="L397" s="95"/>
      <c r="M397" s="95"/>
      <c r="N397" s="95"/>
      <c r="O397" s="95"/>
      <c r="P397" s="95"/>
      <c r="Q397" s="95"/>
      <c r="R397" s="95"/>
      <c r="S397" s="95"/>
      <c r="T397" s="95"/>
      <c r="U397" s="95"/>
      <c r="V397" s="95"/>
      <c r="W397" s="95"/>
      <c r="X397" s="95"/>
      <c r="Y397" s="95"/>
      <c r="Z397" s="95"/>
      <c r="AA397" s="95"/>
    </row>
    <row r="398">
      <c r="A398" s="95" t="s">
        <v>5116</v>
      </c>
      <c r="B398" s="95"/>
      <c r="C398" s="95"/>
      <c r="D398" s="95"/>
      <c r="E398" s="95"/>
      <c r="F398" s="95"/>
      <c r="G398" s="95"/>
      <c r="H398" s="95"/>
      <c r="I398" s="95"/>
      <c r="J398" s="95"/>
      <c r="K398" s="95"/>
      <c r="L398" s="95"/>
      <c r="M398" s="95"/>
      <c r="N398" s="95"/>
      <c r="O398" s="95"/>
      <c r="P398" s="95"/>
      <c r="Q398" s="95"/>
      <c r="R398" s="95"/>
      <c r="S398" s="95"/>
      <c r="T398" s="95"/>
      <c r="U398" s="95"/>
      <c r="V398" s="95"/>
      <c r="W398" s="95"/>
      <c r="X398" s="95"/>
      <c r="Y398" s="95"/>
      <c r="Z398" s="95"/>
      <c r="AA398" s="95"/>
    </row>
    <row r="399">
      <c r="A399" s="95" t="s">
        <v>5116</v>
      </c>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c r="AA399" s="95"/>
    </row>
    <row r="400">
      <c r="A400" s="95" t="s">
        <v>5116</v>
      </c>
      <c r="B400" s="95"/>
      <c r="C400" s="95"/>
      <c r="D400" s="95"/>
      <c r="E400" s="95"/>
      <c r="F400" s="95"/>
      <c r="G400" s="95"/>
      <c r="H400" s="95"/>
      <c r="I400" s="95"/>
      <c r="J400" s="95"/>
      <c r="K400" s="95"/>
      <c r="L400" s="95"/>
      <c r="M400" s="95"/>
      <c r="N400" s="95"/>
      <c r="O400" s="95"/>
      <c r="P400" s="95"/>
      <c r="Q400" s="95"/>
      <c r="R400" s="95"/>
      <c r="S400" s="95"/>
      <c r="T400" s="95"/>
      <c r="U400" s="95"/>
      <c r="V400" s="95"/>
      <c r="W400" s="95"/>
      <c r="X400" s="95"/>
      <c r="Y400" s="95"/>
      <c r="Z400" s="95"/>
      <c r="AA400" s="95"/>
    </row>
    <row r="401">
      <c r="A401" s="95" t="s">
        <v>5116</v>
      </c>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c r="AA401" s="95"/>
    </row>
    <row r="402">
      <c r="A402" s="95" t="s">
        <v>5116</v>
      </c>
      <c r="B402" s="95"/>
      <c r="C402" s="95"/>
      <c r="D402" s="95"/>
      <c r="E402" s="95"/>
      <c r="F402" s="95"/>
      <c r="G402" s="95"/>
      <c r="H402" s="95"/>
      <c r="I402" s="95"/>
      <c r="J402" s="95"/>
      <c r="K402" s="95"/>
      <c r="L402" s="95"/>
      <c r="M402" s="95"/>
      <c r="N402" s="95"/>
      <c r="O402" s="95"/>
      <c r="P402" s="95"/>
      <c r="Q402" s="95"/>
      <c r="R402" s="95"/>
      <c r="S402" s="95"/>
      <c r="T402" s="95"/>
      <c r="U402" s="95"/>
      <c r="V402" s="95"/>
      <c r="W402" s="95"/>
      <c r="X402" s="95"/>
      <c r="Y402" s="95"/>
      <c r="Z402" s="95"/>
      <c r="AA402" s="95"/>
    </row>
    <row r="403">
      <c r="A403" s="95" t="s">
        <v>5116</v>
      </c>
      <c r="B403" s="95"/>
      <c r="C403" s="95"/>
      <c r="D403" s="95"/>
      <c r="E403" s="95"/>
      <c r="F403" s="95"/>
      <c r="G403" s="95"/>
      <c r="H403" s="95"/>
      <c r="I403" s="95"/>
      <c r="J403" s="95"/>
      <c r="K403" s="95"/>
      <c r="L403" s="95"/>
      <c r="M403" s="95"/>
      <c r="N403" s="95"/>
      <c r="O403" s="95"/>
      <c r="P403" s="95"/>
      <c r="Q403" s="95"/>
      <c r="R403" s="95"/>
      <c r="S403" s="95"/>
      <c r="T403" s="95"/>
      <c r="U403" s="95"/>
      <c r="V403" s="95"/>
      <c r="W403" s="95"/>
      <c r="X403" s="95"/>
      <c r="Y403" s="95"/>
      <c r="Z403" s="95"/>
      <c r="AA403" s="95"/>
    </row>
    <row r="404">
      <c r="A404" s="95" t="s">
        <v>5116</v>
      </c>
      <c r="B404" s="95"/>
      <c r="C404" s="95"/>
      <c r="D404" s="95"/>
      <c r="E404" s="95"/>
      <c r="F404" s="95"/>
      <c r="G404" s="95"/>
      <c r="H404" s="95"/>
      <c r="I404" s="95"/>
      <c r="J404" s="95"/>
      <c r="K404" s="95"/>
      <c r="L404" s="95"/>
      <c r="M404" s="95"/>
      <c r="N404" s="95"/>
      <c r="O404" s="95"/>
      <c r="P404" s="95"/>
      <c r="Q404" s="95"/>
      <c r="R404" s="95"/>
      <c r="S404" s="95"/>
      <c r="T404" s="95"/>
      <c r="U404" s="95"/>
      <c r="V404" s="95"/>
      <c r="W404" s="95"/>
      <c r="X404" s="95"/>
      <c r="Y404" s="95"/>
      <c r="Z404" s="95"/>
      <c r="AA404" s="95"/>
    </row>
    <row r="405">
      <c r="A405" s="95" t="s">
        <v>5116</v>
      </c>
      <c r="B405" s="95"/>
      <c r="C405" s="95"/>
      <c r="D405" s="95"/>
      <c r="E405" s="95"/>
      <c r="F405" s="95"/>
      <c r="G405" s="95"/>
      <c r="H405" s="95"/>
      <c r="I405" s="95"/>
      <c r="J405" s="95"/>
      <c r="K405" s="95"/>
      <c r="L405" s="95"/>
      <c r="M405" s="95"/>
      <c r="N405" s="95"/>
      <c r="O405" s="95"/>
      <c r="P405" s="95"/>
      <c r="Q405" s="95"/>
      <c r="R405" s="95"/>
      <c r="S405" s="95"/>
      <c r="T405" s="95"/>
      <c r="U405" s="95"/>
      <c r="V405" s="95"/>
      <c r="W405" s="95"/>
      <c r="X405" s="95"/>
      <c r="Y405" s="95"/>
      <c r="Z405" s="95"/>
      <c r="AA405" s="95"/>
    </row>
    <row r="406">
      <c r="A406" s="95" t="s">
        <v>5116</v>
      </c>
      <c r="B406" s="95"/>
      <c r="C406" s="95"/>
      <c r="D406" s="95"/>
      <c r="E406" s="95"/>
      <c r="F406" s="95"/>
      <c r="G406" s="95"/>
      <c r="H406" s="95"/>
      <c r="I406" s="95"/>
      <c r="J406" s="95"/>
      <c r="K406" s="95"/>
      <c r="L406" s="95"/>
      <c r="M406" s="95"/>
      <c r="N406" s="95"/>
      <c r="O406" s="95"/>
      <c r="P406" s="95"/>
      <c r="Q406" s="95"/>
      <c r="R406" s="95"/>
      <c r="S406" s="95"/>
      <c r="T406" s="95"/>
      <c r="U406" s="95"/>
      <c r="V406" s="95"/>
      <c r="W406" s="95"/>
      <c r="X406" s="95"/>
      <c r="Y406" s="95"/>
      <c r="Z406" s="95"/>
      <c r="AA406" s="95"/>
    </row>
    <row r="407">
      <c r="A407" s="95" t="s">
        <v>5116</v>
      </c>
      <c r="B407" s="95"/>
      <c r="C407" s="95"/>
      <c r="D407" s="95"/>
      <c r="E407" s="95"/>
      <c r="F407" s="95"/>
      <c r="G407" s="95"/>
      <c r="H407" s="95"/>
      <c r="I407" s="95"/>
      <c r="J407" s="95"/>
      <c r="K407" s="95"/>
      <c r="L407" s="95"/>
      <c r="M407" s="95"/>
      <c r="N407" s="95"/>
      <c r="O407" s="95"/>
      <c r="P407" s="95"/>
      <c r="Q407" s="95"/>
      <c r="R407" s="95"/>
      <c r="S407" s="95"/>
      <c r="T407" s="95"/>
      <c r="U407" s="95"/>
      <c r="V407" s="95"/>
      <c r="W407" s="95"/>
      <c r="X407" s="95"/>
      <c r="Y407" s="95"/>
      <c r="Z407" s="95"/>
      <c r="AA407" s="95"/>
    </row>
    <row r="408">
      <c r="A408" s="95" t="s">
        <v>5116</v>
      </c>
      <c r="B408" s="95"/>
      <c r="C408" s="95"/>
      <c r="D408" s="95"/>
      <c r="E408" s="95"/>
      <c r="F408" s="95"/>
      <c r="G408" s="95"/>
      <c r="H408" s="95"/>
      <c r="I408" s="95"/>
      <c r="J408" s="95"/>
      <c r="K408" s="95"/>
      <c r="L408" s="95"/>
      <c r="M408" s="95"/>
      <c r="N408" s="95"/>
      <c r="O408" s="95"/>
      <c r="P408" s="95"/>
      <c r="Q408" s="95"/>
      <c r="R408" s="95"/>
      <c r="S408" s="95"/>
      <c r="T408" s="95"/>
      <c r="U408" s="95"/>
      <c r="V408" s="95"/>
      <c r="W408" s="95"/>
      <c r="X408" s="95"/>
      <c r="Y408" s="95"/>
      <c r="Z408" s="95"/>
      <c r="AA408" s="95"/>
    </row>
    <row r="409">
      <c r="A409" s="95" t="s">
        <v>5116</v>
      </c>
      <c r="B409" s="95"/>
      <c r="C409" s="95"/>
      <c r="D409" s="95"/>
      <c r="E409" s="95"/>
      <c r="F409" s="95"/>
      <c r="G409" s="95"/>
      <c r="H409" s="95"/>
      <c r="I409" s="95"/>
      <c r="J409" s="95"/>
      <c r="K409" s="95"/>
      <c r="L409" s="95"/>
      <c r="M409" s="95"/>
      <c r="N409" s="95"/>
      <c r="O409" s="95"/>
      <c r="P409" s="95"/>
      <c r="Q409" s="95"/>
      <c r="R409" s="95"/>
      <c r="S409" s="95"/>
      <c r="T409" s="95"/>
      <c r="U409" s="95"/>
      <c r="V409" s="95"/>
      <c r="W409" s="95"/>
      <c r="X409" s="95"/>
      <c r="Y409" s="95"/>
      <c r="Z409" s="95"/>
      <c r="AA409" s="95"/>
    </row>
    <row r="410">
      <c r="A410" s="95" t="s">
        <v>5116</v>
      </c>
      <c r="B410" s="95"/>
      <c r="C410" s="95"/>
      <c r="D410" s="95"/>
      <c r="E410" s="95"/>
      <c r="F410" s="95"/>
      <c r="G410" s="95"/>
      <c r="H410" s="95"/>
      <c r="I410" s="95"/>
      <c r="J410" s="95"/>
      <c r="K410" s="95"/>
      <c r="L410" s="95"/>
      <c r="M410" s="95"/>
      <c r="N410" s="95"/>
      <c r="O410" s="95"/>
      <c r="P410" s="95"/>
      <c r="Q410" s="95"/>
      <c r="R410" s="95"/>
      <c r="S410" s="95"/>
      <c r="T410" s="95"/>
      <c r="U410" s="95"/>
      <c r="V410" s="95"/>
      <c r="W410" s="95"/>
      <c r="X410" s="95"/>
      <c r="Y410" s="95"/>
      <c r="Z410" s="95"/>
      <c r="AA410" s="95"/>
    </row>
    <row r="411">
      <c r="A411" s="95" t="s">
        <v>5116</v>
      </c>
      <c r="B411" s="95"/>
      <c r="C411" s="95"/>
      <c r="D411" s="95"/>
      <c r="E411" s="95"/>
      <c r="F411" s="95"/>
      <c r="G411" s="95"/>
      <c r="H411" s="95"/>
      <c r="I411" s="95"/>
      <c r="J411" s="95"/>
      <c r="K411" s="95"/>
      <c r="L411" s="95"/>
      <c r="M411" s="95"/>
      <c r="N411" s="95"/>
      <c r="O411" s="95"/>
      <c r="P411" s="95"/>
      <c r="Q411" s="95"/>
      <c r="R411" s="95"/>
      <c r="S411" s="95"/>
      <c r="T411" s="95"/>
      <c r="U411" s="95"/>
      <c r="V411" s="95"/>
      <c r="W411" s="95"/>
      <c r="X411" s="95"/>
      <c r="Y411" s="95"/>
      <c r="Z411" s="95"/>
      <c r="AA411" s="95"/>
    </row>
    <row r="412">
      <c r="A412" s="95" t="s">
        <v>5116</v>
      </c>
      <c r="B412" s="95"/>
      <c r="C412" s="95"/>
      <c r="D412" s="95"/>
      <c r="E412" s="95"/>
      <c r="F412" s="95"/>
      <c r="G412" s="95"/>
      <c r="H412" s="95"/>
      <c r="I412" s="95"/>
      <c r="J412" s="95"/>
      <c r="K412" s="95"/>
      <c r="L412" s="95"/>
      <c r="M412" s="95"/>
      <c r="N412" s="95"/>
      <c r="O412" s="95"/>
      <c r="P412" s="95"/>
      <c r="Q412" s="95"/>
      <c r="R412" s="95"/>
      <c r="S412" s="95"/>
      <c r="T412" s="95"/>
      <c r="U412" s="95"/>
      <c r="V412" s="95"/>
      <c r="W412" s="95"/>
      <c r="X412" s="95"/>
      <c r="Y412" s="95"/>
      <c r="Z412" s="95"/>
      <c r="AA412" s="95"/>
    </row>
    <row r="413">
      <c r="A413" s="95" t="s">
        <v>5116</v>
      </c>
      <c r="B413" s="95"/>
      <c r="C413" s="95"/>
      <c r="D413" s="95"/>
      <c r="E413" s="95"/>
      <c r="F413" s="95"/>
      <c r="G413" s="95"/>
      <c r="H413" s="95"/>
      <c r="I413" s="95"/>
      <c r="J413" s="95"/>
      <c r="K413" s="95"/>
      <c r="L413" s="95"/>
      <c r="M413" s="95"/>
      <c r="N413" s="95"/>
      <c r="O413" s="95"/>
      <c r="P413" s="95"/>
      <c r="Q413" s="95"/>
      <c r="R413" s="95"/>
      <c r="S413" s="95"/>
      <c r="T413" s="95"/>
      <c r="U413" s="95"/>
      <c r="V413" s="95"/>
      <c r="W413" s="95"/>
      <c r="X413" s="95"/>
      <c r="Y413" s="95"/>
      <c r="Z413" s="95"/>
      <c r="AA413" s="95"/>
    </row>
    <row r="414">
      <c r="A414" s="95" t="s">
        <v>5116</v>
      </c>
      <c r="B414" s="95"/>
      <c r="C414" s="95"/>
      <c r="D414" s="95"/>
      <c r="E414" s="95"/>
      <c r="F414" s="95"/>
      <c r="G414" s="95"/>
      <c r="H414" s="95"/>
      <c r="I414" s="95"/>
      <c r="J414" s="95"/>
      <c r="K414" s="95"/>
      <c r="L414" s="95"/>
      <c r="M414" s="95"/>
      <c r="N414" s="95"/>
      <c r="O414" s="95"/>
      <c r="P414" s="95"/>
      <c r="Q414" s="95"/>
      <c r="R414" s="95"/>
      <c r="S414" s="95"/>
      <c r="T414" s="95"/>
      <c r="U414" s="95"/>
      <c r="V414" s="95"/>
      <c r="W414" s="95"/>
      <c r="X414" s="95"/>
      <c r="Y414" s="95"/>
      <c r="Z414" s="95"/>
      <c r="AA414" s="95"/>
    </row>
    <row r="415">
      <c r="A415" s="95" t="s">
        <v>5116</v>
      </c>
      <c r="B415" s="95"/>
      <c r="C415" s="95"/>
      <c r="D415" s="95"/>
      <c r="E415" s="95"/>
      <c r="F415" s="95"/>
      <c r="G415" s="95"/>
      <c r="H415" s="95"/>
      <c r="I415" s="95"/>
      <c r="J415" s="95"/>
      <c r="K415" s="95"/>
      <c r="L415" s="95"/>
      <c r="M415" s="95"/>
      <c r="N415" s="95"/>
      <c r="O415" s="95"/>
      <c r="P415" s="95"/>
      <c r="Q415" s="95"/>
      <c r="R415" s="95"/>
      <c r="S415" s="95"/>
      <c r="T415" s="95"/>
      <c r="U415" s="95"/>
      <c r="V415" s="95"/>
      <c r="W415" s="95"/>
      <c r="X415" s="95"/>
      <c r="Y415" s="95"/>
      <c r="Z415" s="95"/>
      <c r="AA415" s="95"/>
    </row>
    <row r="416">
      <c r="A416" s="95" t="s">
        <v>5116</v>
      </c>
      <c r="B416" s="95"/>
      <c r="C416" s="95"/>
      <c r="D416" s="95"/>
      <c r="E416" s="95"/>
      <c r="F416" s="95"/>
      <c r="G416" s="95"/>
      <c r="H416" s="95"/>
      <c r="I416" s="95"/>
      <c r="J416" s="95"/>
      <c r="K416" s="95"/>
      <c r="L416" s="95"/>
      <c r="M416" s="95"/>
      <c r="N416" s="95"/>
      <c r="O416" s="95"/>
      <c r="P416" s="95"/>
      <c r="Q416" s="95"/>
      <c r="R416" s="95"/>
      <c r="S416" s="95"/>
      <c r="T416" s="95"/>
      <c r="U416" s="95"/>
      <c r="V416" s="95"/>
      <c r="W416" s="95"/>
      <c r="X416" s="95"/>
      <c r="Y416" s="95"/>
      <c r="Z416" s="95"/>
      <c r="AA416" s="95"/>
    </row>
    <row r="417">
      <c r="A417" s="95" t="s">
        <v>5116</v>
      </c>
      <c r="B417" s="95"/>
      <c r="C417" s="95"/>
      <c r="D417" s="95"/>
      <c r="E417" s="95"/>
      <c r="F417" s="95"/>
      <c r="G417" s="95"/>
      <c r="H417" s="95"/>
      <c r="I417" s="95"/>
      <c r="J417" s="95"/>
      <c r="K417" s="95"/>
      <c r="L417" s="95"/>
      <c r="M417" s="95"/>
      <c r="N417" s="95"/>
      <c r="O417" s="95"/>
      <c r="P417" s="95"/>
      <c r="Q417" s="95"/>
      <c r="R417" s="95"/>
      <c r="S417" s="95"/>
      <c r="T417" s="95"/>
      <c r="U417" s="95"/>
      <c r="V417" s="95"/>
      <c r="W417" s="95"/>
      <c r="X417" s="95"/>
      <c r="Y417" s="95"/>
      <c r="Z417" s="95"/>
      <c r="AA417" s="95"/>
    </row>
    <row r="418">
      <c r="A418" s="95" t="s">
        <v>5116</v>
      </c>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c r="AA418" s="95"/>
    </row>
    <row r="419">
      <c r="A419" s="95" t="s">
        <v>5116</v>
      </c>
      <c r="B419" s="95"/>
      <c r="C419" s="95"/>
      <c r="D419" s="95"/>
      <c r="E419" s="95"/>
      <c r="F419" s="95"/>
      <c r="G419" s="95"/>
      <c r="H419" s="95"/>
      <c r="I419" s="95"/>
      <c r="J419" s="95"/>
      <c r="K419" s="95"/>
      <c r="L419" s="95"/>
      <c r="M419" s="95"/>
      <c r="N419" s="95"/>
      <c r="O419" s="95"/>
      <c r="P419" s="95"/>
      <c r="Q419" s="95"/>
      <c r="R419" s="95"/>
      <c r="S419" s="95"/>
      <c r="T419" s="95"/>
      <c r="U419" s="95"/>
      <c r="V419" s="95"/>
      <c r="W419" s="95"/>
      <c r="X419" s="95"/>
      <c r="Y419" s="95"/>
      <c r="Z419" s="95"/>
      <c r="AA419" s="95"/>
    </row>
    <row r="420">
      <c r="A420" s="95" t="s">
        <v>5116</v>
      </c>
      <c r="B420" s="95"/>
      <c r="C420" s="95"/>
      <c r="D420" s="95"/>
      <c r="E420" s="95"/>
      <c r="F420" s="95"/>
      <c r="G420" s="95"/>
      <c r="H420" s="95"/>
      <c r="I420" s="95"/>
      <c r="J420" s="95"/>
      <c r="K420" s="95"/>
      <c r="L420" s="95"/>
      <c r="M420" s="95"/>
      <c r="N420" s="95"/>
      <c r="O420" s="95"/>
      <c r="P420" s="95"/>
      <c r="Q420" s="95"/>
      <c r="R420" s="95"/>
      <c r="S420" s="95"/>
      <c r="T420" s="95"/>
      <c r="U420" s="95"/>
      <c r="V420" s="95"/>
      <c r="W420" s="95"/>
      <c r="X420" s="95"/>
      <c r="Y420" s="95"/>
      <c r="Z420" s="95"/>
      <c r="AA420" s="95"/>
    </row>
    <row r="421">
      <c r="A421" s="95" t="s">
        <v>5116</v>
      </c>
      <c r="B421" s="95"/>
      <c r="C421" s="95"/>
      <c r="D421" s="95"/>
      <c r="E421" s="95"/>
      <c r="F421" s="95"/>
      <c r="G421" s="95"/>
      <c r="H421" s="95"/>
      <c r="I421" s="95"/>
      <c r="J421" s="95"/>
      <c r="K421" s="95"/>
      <c r="L421" s="95"/>
      <c r="M421" s="95"/>
      <c r="N421" s="95"/>
      <c r="O421" s="95"/>
      <c r="P421" s="95"/>
      <c r="Q421" s="95"/>
      <c r="R421" s="95"/>
      <c r="S421" s="95"/>
      <c r="T421" s="95"/>
      <c r="U421" s="95"/>
      <c r="V421" s="95"/>
      <c r="W421" s="95"/>
      <c r="X421" s="95"/>
      <c r="Y421" s="95"/>
      <c r="Z421" s="95"/>
      <c r="AA421" s="95"/>
    </row>
    <row r="422">
      <c r="A422" s="95" t="s">
        <v>5116</v>
      </c>
      <c r="B422" s="95"/>
      <c r="C422" s="95"/>
      <c r="D422" s="95"/>
      <c r="E422" s="95"/>
      <c r="F422" s="95"/>
      <c r="G422" s="95"/>
      <c r="H422" s="95"/>
      <c r="I422" s="95"/>
      <c r="J422" s="95"/>
      <c r="K422" s="95"/>
      <c r="L422" s="95"/>
      <c r="M422" s="95"/>
      <c r="N422" s="95"/>
      <c r="O422" s="95"/>
      <c r="P422" s="95"/>
      <c r="Q422" s="95"/>
      <c r="R422" s="95"/>
      <c r="S422" s="95"/>
      <c r="T422" s="95"/>
      <c r="U422" s="95"/>
      <c r="V422" s="95"/>
      <c r="W422" s="95"/>
      <c r="X422" s="95"/>
      <c r="Y422" s="95"/>
      <c r="Z422" s="95"/>
      <c r="AA422" s="95"/>
    </row>
    <row r="423">
      <c r="A423" s="95" t="s">
        <v>5116</v>
      </c>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c r="AA423" s="95"/>
    </row>
    <row r="424">
      <c r="A424" s="95" t="s">
        <v>5116</v>
      </c>
      <c r="B424" s="95"/>
      <c r="C424" s="95"/>
      <c r="D424" s="95"/>
      <c r="E424" s="95"/>
      <c r="F424" s="95"/>
      <c r="G424" s="95"/>
      <c r="H424" s="95"/>
      <c r="I424" s="95"/>
      <c r="J424" s="95"/>
      <c r="K424" s="95"/>
      <c r="L424" s="95"/>
      <c r="M424" s="95"/>
      <c r="N424" s="95"/>
      <c r="O424" s="95"/>
      <c r="P424" s="95"/>
      <c r="Q424" s="95"/>
      <c r="R424" s="95"/>
      <c r="S424" s="95"/>
      <c r="T424" s="95"/>
      <c r="U424" s="95"/>
      <c r="V424" s="95"/>
      <c r="W424" s="95"/>
      <c r="X424" s="95"/>
      <c r="Y424" s="95"/>
      <c r="Z424" s="95"/>
      <c r="AA424" s="95"/>
    </row>
    <row r="425">
      <c r="A425" s="95" t="s">
        <v>5116</v>
      </c>
      <c r="B425" s="95"/>
      <c r="C425" s="95"/>
      <c r="D425" s="95"/>
      <c r="E425" s="95"/>
      <c r="F425" s="95"/>
      <c r="G425" s="95"/>
      <c r="H425" s="95"/>
      <c r="I425" s="95"/>
      <c r="J425" s="95"/>
      <c r="K425" s="95"/>
      <c r="L425" s="95"/>
      <c r="M425" s="95"/>
      <c r="N425" s="95"/>
      <c r="O425" s="95"/>
      <c r="P425" s="95"/>
      <c r="Q425" s="95"/>
      <c r="R425" s="95"/>
      <c r="S425" s="95"/>
      <c r="T425" s="95"/>
      <c r="U425" s="95"/>
      <c r="V425" s="95"/>
      <c r="W425" s="95"/>
      <c r="X425" s="95"/>
      <c r="Y425" s="95"/>
      <c r="Z425" s="95"/>
      <c r="AA425" s="95"/>
    </row>
    <row r="426">
      <c r="A426" s="95" t="s">
        <v>5116</v>
      </c>
      <c r="B426" s="95"/>
      <c r="C426" s="95"/>
      <c r="D426" s="95"/>
      <c r="E426" s="95"/>
      <c r="F426" s="95"/>
      <c r="G426" s="95"/>
      <c r="H426" s="95"/>
      <c r="I426" s="95"/>
      <c r="J426" s="95"/>
      <c r="K426" s="95"/>
      <c r="L426" s="95"/>
      <c r="M426" s="95"/>
      <c r="N426" s="95"/>
      <c r="O426" s="95"/>
      <c r="P426" s="95"/>
      <c r="Q426" s="95"/>
      <c r="R426" s="95"/>
      <c r="S426" s="95"/>
      <c r="T426" s="95"/>
      <c r="U426" s="95"/>
      <c r="V426" s="95"/>
      <c r="W426" s="95"/>
      <c r="X426" s="95"/>
      <c r="Y426" s="95"/>
      <c r="Z426" s="95"/>
      <c r="AA426" s="95"/>
    </row>
    <row r="427">
      <c r="A427" s="95" t="s">
        <v>5116</v>
      </c>
      <c r="B427" s="95"/>
      <c r="C427" s="95"/>
      <c r="D427" s="95"/>
      <c r="E427" s="95"/>
      <c r="F427" s="95"/>
      <c r="G427" s="95"/>
      <c r="H427" s="95"/>
      <c r="I427" s="95"/>
      <c r="J427" s="95"/>
      <c r="K427" s="95"/>
      <c r="L427" s="95"/>
      <c r="M427" s="95"/>
      <c r="N427" s="95"/>
      <c r="O427" s="95"/>
      <c r="P427" s="95"/>
      <c r="Q427" s="95"/>
      <c r="R427" s="95"/>
      <c r="S427" s="95"/>
      <c r="T427" s="95"/>
      <c r="U427" s="95"/>
      <c r="V427" s="95"/>
      <c r="W427" s="95"/>
      <c r="X427" s="95"/>
      <c r="Y427" s="95"/>
      <c r="Z427" s="95"/>
      <c r="AA427" s="95"/>
    </row>
    <row r="428">
      <c r="A428" s="95" t="s">
        <v>5116</v>
      </c>
      <c r="B428" s="95"/>
      <c r="C428" s="95"/>
      <c r="D428" s="95"/>
      <c r="E428" s="95"/>
      <c r="F428" s="95"/>
      <c r="G428" s="95"/>
      <c r="H428" s="95"/>
      <c r="I428" s="95"/>
      <c r="J428" s="95"/>
      <c r="K428" s="95"/>
      <c r="L428" s="95"/>
      <c r="M428" s="95"/>
      <c r="N428" s="95"/>
      <c r="O428" s="95"/>
      <c r="P428" s="95"/>
      <c r="Q428" s="95"/>
      <c r="R428" s="95"/>
      <c r="S428" s="95"/>
      <c r="T428" s="95"/>
      <c r="U428" s="95"/>
      <c r="V428" s="95"/>
      <c r="W428" s="95"/>
      <c r="X428" s="95"/>
      <c r="Y428" s="95"/>
      <c r="Z428" s="95"/>
      <c r="AA428" s="95"/>
    </row>
    <row r="429">
      <c r="A429" s="95" t="s">
        <v>5116</v>
      </c>
      <c r="B429" s="95"/>
      <c r="C429" s="95"/>
      <c r="D429" s="95"/>
      <c r="E429" s="95"/>
      <c r="F429" s="95"/>
      <c r="G429" s="95"/>
      <c r="H429" s="95"/>
      <c r="I429" s="95"/>
      <c r="J429" s="95"/>
      <c r="K429" s="95"/>
      <c r="L429" s="95"/>
      <c r="M429" s="95"/>
      <c r="N429" s="95"/>
      <c r="O429" s="95"/>
      <c r="P429" s="95"/>
      <c r="Q429" s="95"/>
      <c r="R429" s="95"/>
      <c r="S429" s="95"/>
      <c r="T429" s="95"/>
      <c r="U429" s="95"/>
      <c r="V429" s="95"/>
      <c r="W429" s="95"/>
      <c r="X429" s="95"/>
      <c r="Y429" s="95"/>
      <c r="Z429" s="95"/>
      <c r="AA429" s="95"/>
    </row>
    <row r="430">
      <c r="A430" s="95" t="s">
        <v>5116</v>
      </c>
      <c r="B430" s="95"/>
      <c r="C430" s="95"/>
      <c r="D430" s="95"/>
      <c r="E430" s="95"/>
      <c r="F430" s="95"/>
      <c r="G430" s="95"/>
      <c r="H430" s="95"/>
      <c r="I430" s="95"/>
      <c r="J430" s="95"/>
      <c r="K430" s="95"/>
      <c r="L430" s="95"/>
      <c r="M430" s="95"/>
      <c r="N430" s="95"/>
      <c r="O430" s="95"/>
      <c r="P430" s="95"/>
      <c r="Q430" s="95"/>
      <c r="R430" s="95"/>
      <c r="S430" s="95"/>
      <c r="T430" s="95"/>
      <c r="U430" s="95"/>
      <c r="V430" s="95"/>
      <c r="W430" s="95"/>
      <c r="X430" s="95"/>
      <c r="Y430" s="95"/>
      <c r="Z430" s="95"/>
      <c r="AA430" s="95"/>
    </row>
    <row r="431">
      <c r="A431" s="95" t="s">
        <v>5116</v>
      </c>
      <c r="B431" s="95"/>
      <c r="C431" s="95"/>
      <c r="D431" s="95"/>
      <c r="E431" s="95"/>
      <c r="F431" s="95"/>
      <c r="G431" s="95"/>
      <c r="H431" s="95"/>
      <c r="I431" s="95"/>
      <c r="J431" s="95"/>
      <c r="K431" s="95"/>
      <c r="L431" s="95"/>
      <c r="M431" s="95"/>
      <c r="N431" s="95"/>
      <c r="O431" s="95"/>
      <c r="P431" s="95"/>
      <c r="Q431" s="95"/>
      <c r="R431" s="95"/>
      <c r="S431" s="95"/>
      <c r="T431" s="95"/>
      <c r="U431" s="95"/>
      <c r="V431" s="95"/>
      <c r="W431" s="95"/>
      <c r="X431" s="95"/>
      <c r="Y431" s="95"/>
      <c r="Z431" s="95"/>
      <c r="AA431" s="95"/>
    </row>
    <row r="432">
      <c r="A432" s="95" t="s">
        <v>5116</v>
      </c>
      <c r="B432" s="95"/>
      <c r="C432" s="95"/>
      <c r="D432" s="95"/>
      <c r="E432" s="95"/>
      <c r="F432" s="95"/>
      <c r="G432" s="95"/>
      <c r="H432" s="95"/>
      <c r="I432" s="95"/>
      <c r="J432" s="95"/>
      <c r="K432" s="95"/>
      <c r="L432" s="95"/>
      <c r="M432" s="95"/>
      <c r="N432" s="95"/>
      <c r="O432" s="95"/>
      <c r="P432" s="95"/>
      <c r="Q432" s="95"/>
      <c r="R432" s="95"/>
      <c r="S432" s="95"/>
      <c r="T432" s="95"/>
      <c r="U432" s="95"/>
      <c r="V432" s="95"/>
      <c r="W432" s="95"/>
      <c r="X432" s="95"/>
      <c r="Y432" s="95"/>
      <c r="Z432" s="95"/>
      <c r="AA432" s="95"/>
    </row>
    <row r="433">
      <c r="A433" s="95" t="s">
        <v>5116</v>
      </c>
      <c r="B433" s="95"/>
      <c r="C433" s="95"/>
      <c r="D433" s="95"/>
      <c r="E433" s="95"/>
      <c r="F433" s="95"/>
      <c r="G433" s="95"/>
      <c r="H433" s="95"/>
      <c r="I433" s="95"/>
      <c r="J433" s="95"/>
      <c r="K433" s="95"/>
      <c r="L433" s="95"/>
      <c r="M433" s="95"/>
      <c r="N433" s="95"/>
      <c r="O433" s="95"/>
      <c r="P433" s="95"/>
      <c r="Q433" s="95"/>
      <c r="R433" s="95"/>
      <c r="S433" s="95"/>
      <c r="T433" s="95"/>
      <c r="U433" s="95"/>
      <c r="V433" s="95"/>
      <c r="W433" s="95"/>
      <c r="X433" s="95"/>
      <c r="Y433" s="95"/>
      <c r="Z433" s="95"/>
      <c r="AA433" s="95"/>
    </row>
    <row r="434">
      <c r="A434" s="95" t="s">
        <v>5116</v>
      </c>
      <c r="B434" s="95"/>
      <c r="C434" s="95"/>
      <c r="D434" s="95"/>
      <c r="E434" s="95"/>
      <c r="F434" s="95"/>
      <c r="G434" s="95"/>
      <c r="H434" s="95"/>
      <c r="I434" s="95"/>
      <c r="J434" s="95"/>
      <c r="K434" s="95"/>
      <c r="L434" s="95"/>
      <c r="M434" s="95"/>
      <c r="N434" s="95"/>
      <c r="O434" s="95"/>
      <c r="P434" s="95"/>
      <c r="Q434" s="95"/>
      <c r="R434" s="95"/>
      <c r="S434" s="95"/>
      <c r="T434" s="95"/>
      <c r="U434" s="95"/>
      <c r="V434" s="95"/>
      <c r="W434" s="95"/>
      <c r="X434" s="95"/>
      <c r="Y434" s="95"/>
      <c r="Z434" s="95"/>
      <c r="AA434" s="95"/>
    </row>
    <row r="435">
      <c r="A435" s="95" t="s">
        <v>5116</v>
      </c>
      <c r="B435" s="95"/>
      <c r="C435" s="95"/>
      <c r="D435" s="95"/>
      <c r="E435" s="95"/>
      <c r="F435" s="95"/>
      <c r="G435" s="95"/>
      <c r="H435" s="95"/>
      <c r="I435" s="95"/>
      <c r="J435" s="95"/>
      <c r="K435" s="95"/>
      <c r="L435" s="95"/>
      <c r="M435" s="95"/>
      <c r="N435" s="95"/>
      <c r="O435" s="95"/>
      <c r="P435" s="95"/>
      <c r="Q435" s="95"/>
      <c r="R435" s="95"/>
      <c r="S435" s="95"/>
      <c r="T435" s="95"/>
      <c r="U435" s="95"/>
      <c r="V435" s="95"/>
      <c r="W435" s="95"/>
      <c r="X435" s="95"/>
      <c r="Y435" s="95"/>
      <c r="Z435" s="95"/>
      <c r="AA435" s="95"/>
    </row>
    <row r="436">
      <c r="A436" s="95" t="s">
        <v>5116</v>
      </c>
      <c r="B436" s="95"/>
      <c r="C436" s="95"/>
      <c r="D436" s="95"/>
      <c r="E436" s="95"/>
      <c r="F436" s="95"/>
      <c r="G436" s="95"/>
      <c r="H436" s="95"/>
      <c r="I436" s="95"/>
      <c r="J436" s="95"/>
      <c r="K436" s="95"/>
      <c r="L436" s="95"/>
      <c r="M436" s="95"/>
      <c r="N436" s="95"/>
      <c r="O436" s="95"/>
      <c r="P436" s="95"/>
      <c r="Q436" s="95"/>
      <c r="R436" s="95"/>
      <c r="S436" s="95"/>
      <c r="T436" s="95"/>
      <c r="U436" s="95"/>
      <c r="V436" s="95"/>
      <c r="W436" s="95"/>
      <c r="X436" s="95"/>
      <c r="Y436" s="95"/>
      <c r="Z436" s="95"/>
      <c r="AA436" s="95"/>
    </row>
    <row r="437">
      <c r="A437" s="95" t="s">
        <v>5116</v>
      </c>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c r="AA437" s="95"/>
    </row>
    <row r="438">
      <c r="A438" s="95" t="s">
        <v>5116</v>
      </c>
      <c r="B438" s="95"/>
      <c r="C438" s="95"/>
      <c r="D438" s="95"/>
      <c r="E438" s="95"/>
      <c r="F438" s="95"/>
      <c r="G438" s="95"/>
      <c r="H438" s="95"/>
      <c r="I438" s="95"/>
      <c r="J438" s="95"/>
      <c r="K438" s="95"/>
      <c r="L438" s="95"/>
      <c r="M438" s="95"/>
      <c r="N438" s="95"/>
      <c r="O438" s="95"/>
      <c r="P438" s="95"/>
      <c r="Q438" s="95"/>
      <c r="R438" s="95"/>
      <c r="S438" s="95"/>
      <c r="T438" s="95"/>
      <c r="U438" s="95"/>
      <c r="V438" s="95"/>
      <c r="W438" s="95"/>
      <c r="X438" s="95"/>
      <c r="Y438" s="95"/>
      <c r="Z438" s="95"/>
      <c r="AA438" s="95"/>
    </row>
    <row r="439">
      <c r="A439" s="95" t="s">
        <v>5116</v>
      </c>
      <c r="B439" s="95"/>
      <c r="C439" s="95"/>
      <c r="D439" s="95"/>
      <c r="E439" s="95"/>
      <c r="F439" s="95"/>
      <c r="G439" s="95"/>
      <c r="H439" s="95"/>
      <c r="I439" s="95"/>
      <c r="J439" s="95"/>
      <c r="K439" s="95"/>
      <c r="L439" s="95"/>
      <c r="M439" s="95"/>
      <c r="N439" s="95"/>
      <c r="O439" s="95"/>
      <c r="P439" s="95"/>
      <c r="Q439" s="95"/>
      <c r="R439" s="95"/>
      <c r="S439" s="95"/>
      <c r="T439" s="95"/>
      <c r="U439" s="95"/>
      <c r="V439" s="95"/>
      <c r="W439" s="95"/>
      <c r="X439" s="95"/>
      <c r="Y439" s="95"/>
      <c r="Z439" s="95"/>
      <c r="AA439" s="95"/>
    </row>
    <row r="440">
      <c r="A440" s="95" t="s">
        <v>5116</v>
      </c>
      <c r="B440" s="95"/>
      <c r="C440" s="95"/>
      <c r="D440" s="95"/>
      <c r="E440" s="95"/>
      <c r="F440" s="95"/>
      <c r="G440" s="95"/>
      <c r="H440" s="95"/>
      <c r="I440" s="95"/>
      <c r="J440" s="95"/>
      <c r="K440" s="95"/>
      <c r="L440" s="95"/>
      <c r="M440" s="95"/>
      <c r="N440" s="95"/>
      <c r="O440" s="95"/>
      <c r="P440" s="95"/>
      <c r="Q440" s="95"/>
      <c r="R440" s="95"/>
      <c r="S440" s="95"/>
      <c r="T440" s="95"/>
      <c r="U440" s="95"/>
      <c r="V440" s="95"/>
      <c r="W440" s="95"/>
      <c r="X440" s="95"/>
      <c r="Y440" s="95"/>
      <c r="Z440" s="95"/>
      <c r="AA440" s="95"/>
    </row>
    <row r="441">
      <c r="A441" s="95" t="s">
        <v>5116</v>
      </c>
      <c r="B441" s="95"/>
      <c r="C441" s="95"/>
      <c r="D441" s="95"/>
      <c r="E441" s="95"/>
      <c r="F441" s="95"/>
      <c r="G441" s="95"/>
      <c r="H441" s="95"/>
      <c r="I441" s="95"/>
      <c r="J441" s="95"/>
      <c r="K441" s="95"/>
      <c r="L441" s="95"/>
      <c r="M441" s="95"/>
      <c r="N441" s="95"/>
      <c r="O441" s="95"/>
      <c r="P441" s="95"/>
      <c r="Q441" s="95"/>
      <c r="R441" s="95"/>
      <c r="S441" s="95"/>
      <c r="T441" s="95"/>
      <c r="U441" s="95"/>
      <c r="V441" s="95"/>
      <c r="W441" s="95"/>
      <c r="X441" s="95"/>
      <c r="Y441" s="95"/>
      <c r="Z441" s="95"/>
      <c r="AA441" s="95"/>
    </row>
    <row r="442">
      <c r="A442" s="95" t="s">
        <v>5116</v>
      </c>
      <c r="B442" s="95"/>
      <c r="C442" s="95"/>
      <c r="D442" s="95"/>
      <c r="E442" s="95"/>
      <c r="F442" s="95"/>
      <c r="G442" s="95"/>
      <c r="H442" s="95"/>
      <c r="I442" s="95"/>
      <c r="J442" s="95"/>
      <c r="K442" s="95"/>
      <c r="L442" s="95"/>
      <c r="M442" s="95"/>
      <c r="N442" s="95"/>
      <c r="O442" s="95"/>
      <c r="P442" s="95"/>
      <c r="Q442" s="95"/>
      <c r="R442" s="95"/>
      <c r="S442" s="95"/>
      <c r="T442" s="95"/>
      <c r="U442" s="95"/>
      <c r="V442" s="95"/>
      <c r="W442" s="95"/>
      <c r="X442" s="95"/>
      <c r="Y442" s="95"/>
      <c r="Z442" s="95"/>
      <c r="AA442" s="95"/>
    </row>
    <row r="443">
      <c r="A443" s="95" t="s">
        <v>5116</v>
      </c>
      <c r="B443" s="95"/>
      <c r="C443" s="95"/>
      <c r="D443" s="95"/>
      <c r="E443" s="95"/>
      <c r="F443" s="95"/>
      <c r="G443" s="95"/>
      <c r="H443" s="95"/>
      <c r="I443" s="95"/>
      <c r="J443" s="95"/>
      <c r="K443" s="95"/>
      <c r="L443" s="95"/>
      <c r="M443" s="95"/>
      <c r="N443" s="95"/>
      <c r="O443" s="95"/>
      <c r="P443" s="95"/>
      <c r="Q443" s="95"/>
      <c r="R443" s="95"/>
      <c r="S443" s="95"/>
      <c r="T443" s="95"/>
      <c r="U443" s="95"/>
      <c r="V443" s="95"/>
      <c r="W443" s="95"/>
      <c r="X443" s="95"/>
      <c r="Y443" s="95"/>
      <c r="Z443" s="95"/>
      <c r="AA443" s="95"/>
    </row>
    <row r="444">
      <c r="A444" s="95" t="s">
        <v>5116</v>
      </c>
      <c r="B444" s="95"/>
      <c r="C444" s="95"/>
      <c r="D444" s="95"/>
      <c r="E444" s="95"/>
      <c r="F444" s="95"/>
      <c r="G444" s="95"/>
      <c r="H444" s="95"/>
      <c r="I444" s="95"/>
      <c r="J444" s="95"/>
      <c r="K444" s="95"/>
      <c r="L444" s="95"/>
      <c r="M444" s="95"/>
      <c r="N444" s="95"/>
      <c r="O444" s="95"/>
      <c r="P444" s="95"/>
      <c r="Q444" s="95"/>
      <c r="R444" s="95"/>
      <c r="S444" s="95"/>
      <c r="T444" s="95"/>
      <c r="U444" s="95"/>
      <c r="V444" s="95"/>
      <c r="W444" s="95"/>
      <c r="X444" s="95"/>
      <c r="Y444" s="95"/>
      <c r="Z444" s="95"/>
      <c r="AA444" s="95"/>
    </row>
    <row r="445">
      <c r="A445" s="95" t="s">
        <v>5116</v>
      </c>
      <c r="B445" s="95"/>
      <c r="C445" s="95"/>
      <c r="D445" s="95"/>
      <c r="E445" s="95"/>
      <c r="F445" s="95"/>
      <c r="G445" s="95"/>
      <c r="H445" s="95"/>
      <c r="I445" s="95"/>
      <c r="J445" s="95"/>
      <c r="K445" s="95"/>
      <c r="L445" s="95"/>
      <c r="M445" s="95"/>
      <c r="N445" s="95"/>
      <c r="O445" s="95"/>
      <c r="P445" s="95"/>
      <c r="Q445" s="95"/>
      <c r="R445" s="95"/>
      <c r="S445" s="95"/>
      <c r="T445" s="95"/>
      <c r="U445" s="95"/>
      <c r="V445" s="95"/>
      <c r="W445" s="95"/>
      <c r="X445" s="95"/>
      <c r="Y445" s="95"/>
      <c r="Z445" s="95"/>
      <c r="AA445" s="95"/>
    </row>
    <row r="446">
      <c r="A446" s="95" t="s">
        <v>5116</v>
      </c>
      <c r="B446" s="95"/>
      <c r="C446" s="95"/>
      <c r="D446" s="95"/>
      <c r="E446" s="95"/>
      <c r="F446" s="95"/>
      <c r="G446" s="95"/>
      <c r="H446" s="95"/>
      <c r="I446" s="95"/>
      <c r="J446" s="95"/>
      <c r="K446" s="95"/>
      <c r="L446" s="95"/>
      <c r="M446" s="95"/>
      <c r="N446" s="95"/>
      <c r="O446" s="95"/>
      <c r="P446" s="95"/>
      <c r="Q446" s="95"/>
      <c r="R446" s="95"/>
      <c r="S446" s="95"/>
      <c r="T446" s="95"/>
      <c r="U446" s="95"/>
      <c r="V446" s="95"/>
      <c r="W446" s="95"/>
      <c r="X446" s="95"/>
      <c r="Y446" s="95"/>
      <c r="Z446" s="95"/>
      <c r="AA446" s="95"/>
    </row>
    <row r="447">
      <c r="A447" s="95" t="s">
        <v>5116</v>
      </c>
      <c r="B447" s="95"/>
      <c r="C447" s="95"/>
      <c r="D447" s="95"/>
      <c r="E447" s="95"/>
      <c r="F447" s="95"/>
      <c r="G447" s="95"/>
      <c r="H447" s="95"/>
      <c r="I447" s="95"/>
      <c r="J447" s="95"/>
      <c r="K447" s="95"/>
      <c r="L447" s="95"/>
      <c r="M447" s="95"/>
      <c r="N447" s="95"/>
      <c r="O447" s="95"/>
      <c r="P447" s="95"/>
      <c r="Q447" s="95"/>
      <c r="R447" s="95"/>
      <c r="S447" s="95"/>
      <c r="T447" s="95"/>
      <c r="U447" s="95"/>
      <c r="V447" s="95"/>
      <c r="W447" s="95"/>
      <c r="X447" s="95"/>
      <c r="Y447" s="95"/>
      <c r="Z447" s="95"/>
      <c r="AA447" s="95"/>
    </row>
    <row r="448">
      <c r="A448" s="95" t="s">
        <v>5116</v>
      </c>
      <c r="B448" s="95"/>
      <c r="C448" s="95"/>
      <c r="D448" s="95"/>
      <c r="E448" s="95"/>
      <c r="F448" s="95"/>
      <c r="G448" s="95"/>
      <c r="H448" s="95"/>
      <c r="I448" s="95"/>
      <c r="J448" s="95"/>
      <c r="K448" s="95"/>
      <c r="L448" s="95"/>
      <c r="M448" s="95"/>
      <c r="N448" s="95"/>
      <c r="O448" s="95"/>
      <c r="P448" s="95"/>
      <c r="Q448" s="95"/>
      <c r="R448" s="95"/>
      <c r="S448" s="95"/>
      <c r="T448" s="95"/>
      <c r="U448" s="95"/>
      <c r="V448" s="95"/>
      <c r="W448" s="95"/>
      <c r="X448" s="95"/>
      <c r="Y448" s="95"/>
      <c r="Z448" s="95"/>
      <c r="AA448" s="95"/>
    </row>
    <row r="449">
      <c r="A449" s="95" t="s">
        <v>5116</v>
      </c>
      <c r="B449" s="95"/>
      <c r="C449" s="95"/>
      <c r="D449" s="95"/>
      <c r="E449" s="95"/>
      <c r="F449" s="95"/>
      <c r="G449" s="95"/>
      <c r="H449" s="95"/>
      <c r="I449" s="95"/>
      <c r="J449" s="95"/>
      <c r="K449" s="95"/>
      <c r="L449" s="95"/>
      <c r="M449" s="95"/>
      <c r="N449" s="95"/>
      <c r="O449" s="95"/>
      <c r="P449" s="95"/>
      <c r="Q449" s="95"/>
      <c r="R449" s="95"/>
      <c r="S449" s="95"/>
      <c r="T449" s="95"/>
      <c r="U449" s="95"/>
      <c r="V449" s="95"/>
      <c r="W449" s="95"/>
      <c r="X449" s="95"/>
      <c r="Y449" s="95"/>
      <c r="Z449" s="95"/>
      <c r="AA449" s="95"/>
    </row>
    <row r="450">
      <c r="A450" s="95" t="s">
        <v>5116</v>
      </c>
      <c r="B450" s="95"/>
      <c r="C450" s="95"/>
      <c r="D450" s="95"/>
      <c r="E450" s="95"/>
      <c r="F450" s="95"/>
      <c r="G450" s="95"/>
      <c r="H450" s="95"/>
      <c r="I450" s="95"/>
      <c r="J450" s="95"/>
      <c r="K450" s="95"/>
      <c r="L450" s="95"/>
      <c r="M450" s="95"/>
      <c r="N450" s="95"/>
      <c r="O450" s="95"/>
      <c r="P450" s="95"/>
      <c r="Q450" s="95"/>
      <c r="R450" s="95"/>
      <c r="S450" s="95"/>
      <c r="T450" s="95"/>
      <c r="U450" s="95"/>
      <c r="V450" s="95"/>
      <c r="W450" s="95"/>
      <c r="X450" s="95"/>
      <c r="Y450" s="95"/>
      <c r="Z450" s="95"/>
      <c r="AA450" s="95"/>
    </row>
    <row r="451">
      <c r="A451" s="95" t="s">
        <v>5116</v>
      </c>
      <c r="B451" s="95"/>
      <c r="C451" s="95"/>
      <c r="D451" s="95"/>
      <c r="E451" s="95"/>
      <c r="F451" s="95"/>
      <c r="G451" s="95"/>
      <c r="H451" s="95"/>
      <c r="I451" s="95"/>
      <c r="J451" s="95"/>
      <c r="K451" s="95"/>
      <c r="L451" s="95"/>
      <c r="M451" s="95"/>
      <c r="N451" s="95"/>
      <c r="O451" s="95"/>
      <c r="P451" s="95"/>
      <c r="Q451" s="95"/>
      <c r="R451" s="95"/>
      <c r="S451" s="95"/>
      <c r="T451" s="95"/>
      <c r="U451" s="95"/>
      <c r="V451" s="95"/>
      <c r="W451" s="95"/>
      <c r="X451" s="95"/>
      <c r="Y451" s="95"/>
      <c r="Z451" s="95"/>
      <c r="AA451" s="95"/>
    </row>
    <row r="452">
      <c r="A452" s="95" t="s">
        <v>5116</v>
      </c>
      <c r="B452" s="95"/>
      <c r="C452" s="95"/>
      <c r="D452" s="95"/>
      <c r="E452" s="95"/>
      <c r="F452" s="95"/>
      <c r="G452" s="95"/>
      <c r="H452" s="95"/>
      <c r="I452" s="95"/>
      <c r="J452" s="95"/>
      <c r="K452" s="95"/>
      <c r="L452" s="95"/>
      <c r="M452" s="95"/>
      <c r="N452" s="95"/>
      <c r="O452" s="95"/>
      <c r="P452" s="95"/>
      <c r="Q452" s="95"/>
      <c r="R452" s="95"/>
      <c r="S452" s="95"/>
      <c r="T452" s="95"/>
      <c r="U452" s="95"/>
      <c r="V452" s="95"/>
      <c r="W452" s="95"/>
      <c r="X452" s="95"/>
      <c r="Y452" s="95"/>
      <c r="Z452" s="95"/>
      <c r="AA452" s="95"/>
    </row>
    <row r="453">
      <c r="A453" s="95" t="s">
        <v>5116</v>
      </c>
      <c r="B453" s="95"/>
      <c r="C453" s="95"/>
      <c r="D453" s="95"/>
      <c r="E453" s="95"/>
      <c r="F453" s="95"/>
      <c r="G453" s="95"/>
      <c r="H453" s="95"/>
      <c r="I453" s="95"/>
      <c r="J453" s="95"/>
      <c r="K453" s="95"/>
      <c r="L453" s="95"/>
      <c r="M453" s="95"/>
      <c r="N453" s="95"/>
      <c r="O453" s="95"/>
      <c r="P453" s="95"/>
      <c r="Q453" s="95"/>
      <c r="R453" s="95"/>
      <c r="S453" s="95"/>
      <c r="T453" s="95"/>
      <c r="U453" s="95"/>
      <c r="V453" s="95"/>
      <c r="W453" s="95"/>
      <c r="X453" s="95"/>
      <c r="Y453" s="95"/>
      <c r="Z453" s="95"/>
      <c r="AA453" s="95"/>
    </row>
    <row r="454">
      <c r="A454" s="95" t="s">
        <v>5116</v>
      </c>
      <c r="B454" s="95"/>
      <c r="C454" s="95"/>
      <c r="D454" s="95"/>
      <c r="E454" s="95"/>
      <c r="F454" s="95"/>
      <c r="G454" s="95"/>
      <c r="H454" s="95"/>
      <c r="I454" s="95"/>
      <c r="J454" s="95"/>
      <c r="K454" s="95"/>
      <c r="L454" s="95"/>
      <c r="M454" s="95"/>
      <c r="N454" s="95"/>
      <c r="O454" s="95"/>
      <c r="P454" s="95"/>
      <c r="Q454" s="95"/>
      <c r="R454" s="95"/>
      <c r="S454" s="95"/>
      <c r="T454" s="95"/>
      <c r="U454" s="95"/>
      <c r="V454" s="95"/>
      <c r="W454" s="95"/>
      <c r="X454" s="95"/>
      <c r="Y454" s="95"/>
      <c r="Z454" s="95"/>
      <c r="AA454" s="95"/>
    </row>
    <row r="455">
      <c r="A455" s="95" t="s">
        <v>5116</v>
      </c>
      <c r="B455" s="95"/>
      <c r="C455" s="95"/>
      <c r="D455" s="95"/>
      <c r="E455" s="95"/>
      <c r="F455" s="95"/>
      <c r="G455" s="95"/>
      <c r="H455" s="95"/>
      <c r="I455" s="95"/>
      <c r="J455" s="95"/>
      <c r="K455" s="95"/>
      <c r="L455" s="95"/>
      <c r="M455" s="95"/>
      <c r="N455" s="95"/>
      <c r="O455" s="95"/>
      <c r="P455" s="95"/>
      <c r="Q455" s="95"/>
      <c r="R455" s="95"/>
      <c r="S455" s="95"/>
      <c r="T455" s="95"/>
      <c r="U455" s="95"/>
      <c r="V455" s="95"/>
      <c r="W455" s="95"/>
      <c r="X455" s="95"/>
      <c r="Y455" s="95"/>
      <c r="Z455" s="95"/>
      <c r="AA455" s="95"/>
    </row>
    <row r="456">
      <c r="A456" s="95" t="s">
        <v>5116</v>
      </c>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c r="AA456" s="95"/>
    </row>
    <row r="457">
      <c r="A457" s="95" t="s">
        <v>5116</v>
      </c>
      <c r="B457" s="95"/>
      <c r="C457" s="95"/>
      <c r="D457" s="95"/>
      <c r="E457" s="95"/>
      <c r="F457" s="95"/>
      <c r="G457" s="95"/>
      <c r="H457" s="95"/>
      <c r="I457" s="95"/>
      <c r="J457" s="95"/>
      <c r="K457" s="95"/>
      <c r="L457" s="95"/>
      <c r="M457" s="95"/>
      <c r="N457" s="95"/>
      <c r="O457" s="95"/>
      <c r="P457" s="95"/>
      <c r="Q457" s="95"/>
      <c r="R457" s="95"/>
      <c r="S457" s="95"/>
      <c r="T457" s="95"/>
      <c r="U457" s="95"/>
      <c r="V457" s="95"/>
      <c r="W457" s="95"/>
      <c r="X457" s="95"/>
      <c r="Y457" s="95"/>
      <c r="Z457" s="95"/>
      <c r="AA457" s="95"/>
    </row>
    <row r="458">
      <c r="A458" s="95" t="s">
        <v>5116</v>
      </c>
      <c r="B458" s="95"/>
      <c r="C458" s="95"/>
      <c r="D458" s="95"/>
      <c r="E458" s="95"/>
      <c r="F458" s="95"/>
      <c r="G458" s="95"/>
      <c r="H458" s="95"/>
      <c r="I458" s="95"/>
      <c r="J458" s="95"/>
      <c r="K458" s="95"/>
      <c r="L458" s="95"/>
      <c r="M458" s="95"/>
      <c r="N458" s="95"/>
      <c r="O458" s="95"/>
      <c r="P458" s="95"/>
      <c r="Q458" s="95"/>
      <c r="R458" s="95"/>
      <c r="S458" s="95"/>
      <c r="T458" s="95"/>
      <c r="U458" s="95"/>
      <c r="V458" s="95"/>
      <c r="W458" s="95"/>
      <c r="X458" s="95"/>
      <c r="Y458" s="95"/>
      <c r="Z458" s="95"/>
      <c r="AA458" s="95"/>
    </row>
    <row r="459">
      <c r="A459" s="95" t="s">
        <v>5116</v>
      </c>
      <c r="B459" s="95"/>
      <c r="C459" s="95"/>
      <c r="D459" s="95"/>
      <c r="E459" s="95"/>
      <c r="F459" s="95"/>
      <c r="G459" s="95"/>
      <c r="H459" s="95"/>
      <c r="I459" s="95"/>
      <c r="J459" s="95"/>
      <c r="K459" s="95"/>
      <c r="L459" s="95"/>
      <c r="M459" s="95"/>
      <c r="N459" s="95"/>
      <c r="O459" s="95"/>
      <c r="P459" s="95"/>
      <c r="Q459" s="95"/>
      <c r="R459" s="95"/>
      <c r="S459" s="95"/>
      <c r="T459" s="95"/>
      <c r="U459" s="95"/>
      <c r="V459" s="95"/>
      <c r="W459" s="95"/>
      <c r="X459" s="95"/>
      <c r="Y459" s="95"/>
      <c r="Z459" s="95"/>
      <c r="AA459" s="95"/>
    </row>
    <row r="460">
      <c r="A460" s="95" t="s">
        <v>5116</v>
      </c>
      <c r="B460" s="95"/>
      <c r="C460" s="95"/>
      <c r="D460" s="95"/>
      <c r="E460" s="95"/>
      <c r="F460" s="95"/>
      <c r="G460" s="95"/>
      <c r="H460" s="95"/>
      <c r="I460" s="95"/>
      <c r="J460" s="95"/>
      <c r="K460" s="95"/>
      <c r="L460" s="95"/>
      <c r="M460" s="95"/>
      <c r="N460" s="95"/>
      <c r="O460" s="95"/>
      <c r="P460" s="95"/>
      <c r="Q460" s="95"/>
      <c r="R460" s="95"/>
      <c r="S460" s="95"/>
      <c r="T460" s="95"/>
      <c r="U460" s="95"/>
      <c r="V460" s="95"/>
      <c r="W460" s="95"/>
      <c r="X460" s="95"/>
      <c r="Y460" s="95"/>
      <c r="Z460" s="95"/>
      <c r="AA460" s="95"/>
    </row>
    <row r="461">
      <c r="A461" s="95" t="s">
        <v>5116</v>
      </c>
      <c r="B461" s="95"/>
      <c r="C461" s="95"/>
      <c r="D461" s="95"/>
      <c r="E461" s="95"/>
      <c r="F461" s="95"/>
      <c r="G461" s="95"/>
      <c r="H461" s="95"/>
      <c r="I461" s="95"/>
      <c r="J461" s="95"/>
      <c r="K461" s="95"/>
      <c r="L461" s="95"/>
      <c r="M461" s="95"/>
      <c r="N461" s="95"/>
      <c r="O461" s="95"/>
      <c r="P461" s="95"/>
      <c r="Q461" s="95"/>
      <c r="R461" s="95"/>
      <c r="S461" s="95"/>
      <c r="T461" s="95"/>
      <c r="U461" s="95"/>
      <c r="V461" s="95"/>
      <c r="W461" s="95"/>
      <c r="X461" s="95"/>
      <c r="Y461" s="95"/>
      <c r="Z461" s="95"/>
      <c r="AA461" s="95"/>
    </row>
    <row r="462">
      <c r="A462" s="95" t="s">
        <v>5116</v>
      </c>
      <c r="B462" s="95"/>
      <c r="C462" s="95"/>
      <c r="D462" s="95"/>
      <c r="E462" s="95"/>
      <c r="F462" s="95"/>
      <c r="G462" s="95"/>
      <c r="H462" s="95"/>
      <c r="I462" s="95"/>
      <c r="J462" s="95"/>
      <c r="K462" s="95"/>
      <c r="L462" s="95"/>
      <c r="M462" s="95"/>
      <c r="N462" s="95"/>
      <c r="O462" s="95"/>
      <c r="P462" s="95"/>
      <c r="Q462" s="95"/>
      <c r="R462" s="95"/>
      <c r="S462" s="95"/>
      <c r="T462" s="95"/>
      <c r="U462" s="95"/>
      <c r="V462" s="95"/>
      <c r="W462" s="95"/>
      <c r="X462" s="95"/>
      <c r="Y462" s="95"/>
      <c r="Z462" s="95"/>
      <c r="AA462" s="95"/>
    </row>
    <row r="463">
      <c r="A463" s="95" t="s">
        <v>5116</v>
      </c>
      <c r="B463" s="95"/>
      <c r="C463" s="95"/>
      <c r="D463" s="95"/>
      <c r="E463" s="95"/>
      <c r="F463" s="95"/>
      <c r="G463" s="95"/>
      <c r="H463" s="95"/>
      <c r="I463" s="95"/>
      <c r="J463" s="95"/>
      <c r="K463" s="95"/>
      <c r="L463" s="95"/>
      <c r="M463" s="95"/>
      <c r="N463" s="95"/>
      <c r="O463" s="95"/>
      <c r="P463" s="95"/>
      <c r="Q463" s="95"/>
      <c r="R463" s="95"/>
      <c r="S463" s="95"/>
      <c r="T463" s="95"/>
      <c r="U463" s="95"/>
      <c r="V463" s="95"/>
      <c r="W463" s="95"/>
      <c r="X463" s="95"/>
      <c r="Y463" s="95"/>
      <c r="Z463" s="95"/>
      <c r="AA463" s="95"/>
    </row>
    <row r="464">
      <c r="A464" s="95" t="s">
        <v>5116</v>
      </c>
      <c r="B464" s="95"/>
      <c r="C464" s="95"/>
      <c r="D464" s="95"/>
      <c r="E464" s="95"/>
      <c r="F464" s="95"/>
      <c r="G464" s="95"/>
      <c r="H464" s="95"/>
      <c r="I464" s="95"/>
      <c r="J464" s="95"/>
      <c r="K464" s="95"/>
      <c r="L464" s="95"/>
      <c r="M464" s="95"/>
      <c r="N464" s="95"/>
      <c r="O464" s="95"/>
      <c r="P464" s="95"/>
      <c r="Q464" s="95"/>
      <c r="R464" s="95"/>
      <c r="S464" s="95"/>
      <c r="T464" s="95"/>
      <c r="U464" s="95"/>
      <c r="V464" s="95"/>
      <c r="W464" s="95"/>
      <c r="X464" s="95"/>
      <c r="Y464" s="95"/>
      <c r="Z464" s="95"/>
      <c r="AA464" s="95"/>
    </row>
    <row r="465">
      <c r="A465" s="95" t="s">
        <v>5116</v>
      </c>
      <c r="B465" s="95"/>
      <c r="C465" s="95"/>
      <c r="D465" s="95"/>
      <c r="E465" s="95"/>
      <c r="F465" s="95"/>
      <c r="G465" s="95"/>
      <c r="H465" s="95"/>
      <c r="I465" s="95"/>
      <c r="J465" s="95"/>
      <c r="K465" s="95"/>
      <c r="L465" s="95"/>
      <c r="M465" s="95"/>
      <c r="N465" s="95"/>
      <c r="O465" s="95"/>
      <c r="P465" s="95"/>
      <c r="Q465" s="95"/>
      <c r="R465" s="95"/>
      <c r="S465" s="95"/>
      <c r="T465" s="95"/>
      <c r="U465" s="95"/>
      <c r="V465" s="95"/>
      <c r="W465" s="95"/>
      <c r="X465" s="95"/>
      <c r="Y465" s="95"/>
      <c r="Z465" s="95"/>
      <c r="AA465" s="95"/>
    </row>
    <row r="466">
      <c r="A466" s="95" t="s">
        <v>5116</v>
      </c>
      <c r="B466" s="95"/>
      <c r="C466" s="95"/>
      <c r="D466" s="95"/>
      <c r="E466" s="95"/>
      <c r="F466" s="95"/>
      <c r="G466" s="95"/>
      <c r="H466" s="95"/>
      <c r="I466" s="95"/>
      <c r="J466" s="95"/>
      <c r="K466" s="95"/>
      <c r="L466" s="95"/>
      <c r="M466" s="95"/>
      <c r="N466" s="95"/>
      <c r="O466" s="95"/>
      <c r="P466" s="95"/>
      <c r="Q466" s="95"/>
      <c r="R466" s="95"/>
      <c r="S466" s="95"/>
      <c r="T466" s="95"/>
      <c r="U466" s="95"/>
      <c r="V466" s="95"/>
      <c r="W466" s="95"/>
      <c r="X466" s="95"/>
      <c r="Y466" s="95"/>
      <c r="Z466" s="95"/>
      <c r="AA466" s="95"/>
    </row>
    <row r="467">
      <c r="A467" s="95" t="s">
        <v>5116</v>
      </c>
      <c r="B467" s="95"/>
      <c r="C467" s="95"/>
      <c r="D467" s="95"/>
      <c r="E467" s="95"/>
      <c r="F467" s="95"/>
      <c r="G467" s="95"/>
      <c r="H467" s="95"/>
      <c r="I467" s="95"/>
      <c r="J467" s="95"/>
      <c r="K467" s="95"/>
      <c r="L467" s="95"/>
      <c r="M467" s="95"/>
      <c r="N467" s="95"/>
      <c r="O467" s="95"/>
      <c r="P467" s="95"/>
      <c r="Q467" s="95"/>
      <c r="R467" s="95"/>
      <c r="S467" s="95"/>
      <c r="T467" s="95"/>
      <c r="U467" s="95"/>
      <c r="V467" s="95"/>
      <c r="W467" s="95"/>
      <c r="X467" s="95"/>
      <c r="Y467" s="95"/>
      <c r="Z467" s="95"/>
      <c r="AA467" s="95"/>
    </row>
    <row r="468">
      <c r="A468" s="95" t="s">
        <v>5116</v>
      </c>
      <c r="B468" s="95"/>
      <c r="C468" s="95"/>
      <c r="D468" s="95"/>
      <c r="E468" s="95"/>
      <c r="F468" s="95"/>
      <c r="G468" s="95"/>
      <c r="H468" s="95"/>
      <c r="I468" s="95"/>
      <c r="J468" s="95"/>
      <c r="K468" s="95"/>
      <c r="L468" s="95"/>
      <c r="M468" s="95"/>
      <c r="N468" s="95"/>
      <c r="O468" s="95"/>
      <c r="P468" s="95"/>
      <c r="Q468" s="95"/>
      <c r="R468" s="95"/>
      <c r="S468" s="95"/>
      <c r="T468" s="95"/>
      <c r="U468" s="95"/>
      <c r="V468" s="95"/>
      <c r="W468" s="95"/>
      <c r="X468" s="95"/>
      <c r="Y468" s="95"/>
      <c r="Z468" s="95"/>
      <c r="AA468" s="95"/>
    </row>
    <row r="469">
      <c r="A469" s="95" t="s">
        <v>5116</v>
      </c>
      <c r="B469" s="95"/>
      <c r="C469" s="95"/>
      <c r="D469" s="95"/>
      <c r="E469" s="95"/>
      <c r="F469" s="95"/>
      <c r="G469" s="95"/>
      <c r="H469" s="95"/>
      <c r="I469" s="95"/>
      <c r="J469" s="95"/>
      <c r="K469" s="95"/>
      <c r="L469" s="95"/>
      <c r="M469" s="95"/>
      <c r="N469" s="95"/>
      <c r="O469" s="95"/>
      <c r="P469" s="95"/>
      <c r="Q469" s="95"/>
      <c r="R469" s="95"/>
      <c r="S469" s="95"/>
      <c r="T469" s="95"/>
      <c r="U469" s="95"/>
      <c r="V469" s="95"/>
      <c r="W469" s="95"/>
      <c r="X469" s="95"/>
      <c r="Y469" s="95"/>
      <c r="Z469" s="95"/>
      <c r="AA469" s="95"/>
    </row>
    <row r="470">
      <c r="A470" s="95" t="s">
        <v>5116</v>
      </c>
      <c r="B470" s="95"/>
      <c r="C470" s="95"/>
      <c r="D470" s="95"/>
      <c r="E470" s="95"/>
      <c r="F470" s="95"/>
      <c r="G470" s="95"/>
      <c r="H470" s="95"/>
      <c r="I470" s="95"/>
      <c r="J470" s="95"/>
      <c r="K470" s="95"/>
      <c r="L470" s="95"/>
      <c r="M470" s="95"/>
      <c r="N470" s="95"/>
      <c r="O470" s="95"/>
      <c r="P470" s="95"/>
      <c r="Q470" s="95"/>
      <c r="R470" s="95"/>
      <c r="S470" s="95"/>
      <c r="T470" s="95"/>
      <c r="U470" s="95"/>
      <c r="V470" s="95"/>
      <c r="W470" s="95"/>
      <c r="X470" s="95"/>
      <c r="Y470" s="95"/>
      <c r="Z470" s="95"/>
      <c r="AA470" s="95"/>
    </row>
    <row r="471">
      <c r="A471" s="95" t="s">
        <v>5116</v>
      </c>
      <c r="B471" s="95"/>
      <c r="C471" s="95"/>
      <c r="D471" s="95"/>
      <c r="E471" s="95"/>
      <c r="F471" s="95"/>
      <c r="G471" s="95"/>
      <c r="H471" s="95"/>
      <c r="I471" s="95"/>
      <c r="J471" s="95"/>
      <c r="K471" s="95"/>
      <c r="L471" s="95"/>
      <c r="M471" s="95"/>
      <c r="N471" s="95"/>
      <c r="O471" s="95"/>
      <c r="P471" s="95"/>
      <c r="Q471" s="95"/>
      <c r="R471" s="95"/>
      <c r="S471" s="95"/>
      <c r="T471" s="95"/>
      <c r="U471" s="95"/>
      <c r="V471" s="95"/>
      <c r="W471" s="95"/>
      <c r="X471" s="95"/>
      <c r="Y471" s="95"/>
      <c r="Z471" s="95"/>
      <c r="AA471" s="95"/>
    </row>
    <row r="472">
      <c r="A472" s="95" t="s">
        <v>5116</v>
      </c>
      <c r="B472" s="95"/>
      <c r="C472" s="95"/>
      <c r="D472" s="95"/>
      <c r="E472" s="95"/>
      <c r="F472" s="95"/>
      <c r="G472" s="95"/>
      <c r="H472" s="95"/>
      <c r="I472" s="95"/>
      <c r="J472" s="95"/>
      <c r="K472" s="95"/>
      <c r="L472" s="95"/>
      <c r="M472" s="95"/>
      <c r="N472" s="95"/>
      <c r="O472" s="95"/>
      <c r="P472" s="95"/>
      <c r="Q472" s="95"/>
      <c r="R472" s="95"/>
      <c r="S472" s="95"/>
      <c r="T472" s="95"/>
      <c r="U472" s="95"/>
      <c r="V472" s="95"/>
      <c r="W472" s="95"/>
      <c r="X472" s="95"/>
      <c r="Y472" s="95"/>
      <c r="Z472" s="95"/>
      <c r="AA472" s="95"/>
    </row>
    <row r="473">
      <c r="A473" s="95" t="s">
        <v>5116</v>
      </c>
      <c r="B473" s="95"/>
      <c r="C473" s="95"/>
      <c r="D473" s="95"/>
      <c r="E473" s="95"/>
      <c r="F473" s="95"/>
      <c r="G473" s="95"/>
      <c r="H473" s="95"/>
      <c r="I473" s="95"/>
      <c r="J473" s="95"/>
      <c r="K473" s="95"/>
      <c r="L473" s="95"/>
      <c r="M473" s="95"/>
      <c r="N473" s="95"/>
      <c r="O473" s="95"/>
      <c r="P473" s="95"/>
      <c r="Q473" s="95"/>
      <c r="R473" s="95"/>
      <c r="S473" s="95"/>
      <c r="T473" s="95"/>
      <c r="U473" s="95"/>
      <c r="V473" s="95"/>
      <c r="W473" s="95"/>
      <c r="X473" s="95"/>
      <c r="Y473" s="95"/>
      <c r="Z473" s="95"/>
      <c r="AA473" s="95"/>
    </row>
    <row r="474">
      <c r="A474" s="95" t="s">
        <v>5116</v>
      </c>
      <c r="B474" s="95"/>
      <c r="C474" s="95"/>
      <c r="D474" s="95"/>
      <c r="E474" s="95"/>
      <c r="F474" s="95"/>
      <c r="G474" s="95"/>
      <c r="H474" s="95"/>
      <c r="I474" s="95"/>
      <c r="J474" s="95"/>
      <c r="K474" s="95"/>
      <c r="L474" s="95"/>
      <c r="M474" s="95"/>
      <c r="N474" s="95"/>
      <c r="O474" s="95"/>
      <c r="P474" s="95"/>
      <c r="Q474" s="95"/>
      <c r="R474" s="95"/>
      <c r="S474" s="95"/>
      <c r="T474" s="95"/>
      <c r="U474" s="95"/>
      <c r="V474" s="95"/>
      <c r="W474" s="95"/>
      <c r="X474" s="95"/>
      <c r="Y474" s="95"/>
      <c r="Z474" s="95"/>
      <c r="AA474" s="95"/>
    </row>
    <row r="475">
      <c r="A475" s="95" t="s">
        <v>5116</v>
      </c>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c r="AA475" s="95"/>
    </row>
    <row r="476">
      <c r="A476" s="95" t="s">
        <v>5116</v>
      </c>
      <c r="B476" s="95"/>
      <c r="C476" s="95"/>
      <c r="D476" s="95"/>
      <c r="E476" s="95"/>
      <c r="F476" s="95"/>
      <c r="G476" s="95"/>
      <c r="H476" s="95"/>
      <c r="I476" s="95"/>
      <c r="J476" s="95"/>
      <c r="K476" s="95"/>
      <c r="L476" s="95"/>
      <c r="M476" s="95"/>
      <c r="N476" s="95"/>
      <c r="O476" s="95"/>
      <c r="P476" s="95"/>
      <c r="Q476" s="95"/>
      <c r="R476" s="95"/>
      <c r="S476" s="95"/>
      <c r="T476" s="95"/>
      <c r="U476" s="95"/>
      <c r="V476" s="95"/>
      <c r="W476" s="95"/>
      <c r="X476" s="95"/>
      <c r="Y476" s="95"/>
      <c r="Z476" s="95"/>
      <c r="AA476" s="95"/>
    </row>
    <row r="477">
      <c r="A477" s="95" t="s">
        <v>5116</v>
      </c>
      <c r="B477" s="95"/>
      <c r="C477" s="95"/>
      <c r="D477" s="95"/>
      <c r="E477" s="95"/>
      <c r="F477" s="95"/>
      <c r="G477" s="95"/>
      <c r="H477" s="95"/>
      <c r="I477" s="95"/>
      <c r="J477" s="95"/>
      <c r="K477" s="95"/>
      <c r="L477" s="95"/>
      <c r="M477" s="95"/>
      <c r="N477" s="95"/>
      <c r="O477" s="95"/>
      <c r="P477" s="95"/>
      <c r="Q477" s="95"/>
      <c r="R477" s="95"/>
      <c r="S477" s="95"/>
      <c r="T477" s="95"/>
      <c r="U477" s="95"/>
      <c r="V477" s="95"/>
      <c r="W477" s="95"/>
      <c r="X477" s="95"/>
      <c r="Y477" s="95"/>
      <c r="Z477" s="95"/>
      <c r="AA477" s="95"/>
    </row>
    <row r="478">
      <c r="A478" s="95" t="s">
        <v>5116</v>
      </c>
      <c r="B478" s="95"/>
      <c r="C478" s="95"/>
      <c r="D478" s="95"/>
      <c r="E478" s="95"/>
      <c r="F478" s="95"/>
      <c r="G478" s="95"/>
      <c r="H478" s="95"/>
      <c r="I478" s="95"/>
      <c r="J478" s="95"/>
      <c r="K478" s="95"/>
      <c r="L478" s="95"/>
      <c r="M478" s="95"/>
      <c r="N478" s="95"/>
      <c r="O478" s="95"/>
      <c r="P478" s="95"/>
      <c r="Q478" s="95"/>
      <c r="R478" s="95"/>
      <c r="S478" s="95"/>
      <c r="T478" s="95"/>
      <c r="U478" s="95"/>
      <c r="V478" s="95"/>
      <c r="W478" s="95"/>
      <c r="X478" s="95"/>
      <c r="Y478" s="95"/>
      <c r="Z478" s="95"/>
      <c r="AA478" s="95"/>
    </row>
    <row r="479">
      <c r="A479" s="95" t="s">
        <v>5116</v>
      </c>
      <c r="B479" s="95"/>
      <c r="C479" s="95"/>
      <c r="D479" s="95"/>
      <c r="E479" s="95"/>
      <c r="F479" s="95"/>
      <c r="G479" s="95"/>
      <c r="H479" s="95"/>
      <c r="I479" s="95"/>
      <c r="J479" s="95"/>
      <c r="K479" s="95"/>
      <c r="L479" s="95"/>
      <c r="M479" s="95"/>
      <c r="N479" s="95"/>
      <c r="O479" s="95"/>
      <c r="P479" s="95"/>
      <c r="Q479" s="95"/>
      <c r="R479" s="95"/>
      <c r="S479" s="95"/>
      <c r="T479" s="95"/>
      <c r="U479" s="95"/>
      <c r="V479" s="95"/>
      <c r="W479" s="95"/>
      <c r="X479" s="95"/>
      <c r="Y479" s="95"/>
      <c r="Z479" s="95"/>
      <c r="AA479" s="95"/>
    </row>
    <row r="480">
      <c r="A480" s="95" t="s">
        <v>5116</v>
      </c>
      <c r="B480" s="95"/>
      <c r="C480" s="95"/>
      <c r="D480" s="95"/>
      <c r="E480" s="95"/>
      <c r="F480" s="95"/>
      <c r="G480" s="95"/>
      <c r="H480" s="95"/>
      <c r="I480" s="95"/>
      <c r="J480" s="95"/>
      <c r="K480" s="95"/>
      <c r="L480" s="95"/>
      <c r="M480" s="95"/>
      <c r="N480" s="95"/>
      <c r="O480" s="95"/>
      <c r="P480" s="95"/>
      <c r="Q480" s="95"/>
      <c r="R480" s="95"/>
      <c r="S480" s="95"/>
      <c r="T480" s="95"/>
      <c r="U480" s="95"/>
      <c r="V480" s="95"/>
      <c r="W480" s="95"/>
      <c r="X480" s="95"/>
      <c r="Y480" s="95"/>
      <c r="Z480" s="95"/>
      <c r="AA480" s="95"/>
    </row>
    <row r="481">
      <c r="A481" s="95" t="s">
        <v>5116</v>
      </c>
      <c r="B481" s="95"/>
      <c r="C481" s="95"/>
      <c r="D481" s="95"/>
      <c r="E481" s="95"/>
      <c r="F481" s="95"/>
      <c r="G481" s="95"/>
      <c r="H481" s="95"/>
      <c r="I481" s="95"/>
      <c r="J481" s="95"/>
      <c r="K481" s="95"/>
      <c r="L481" s="95"/>
      <c r="M481" s="95"/>
      <c r="N481" s="95"/>
      <c r="O481" s="95"/>
      <c r="P481" s="95"/>
      <c r="Q481" s="95"/>
      <c r="R481" s="95"/>
      <c r="S481" s="95"/>
      <c r="T481" s="95"/>
      <c r="U481" s="95"/>
      <c r="V481" s="95"/>
      <c r="W481" s="95"/>
      <c r="X481" s="95"/>
      <c r="Y481" s="95"/>
      <c r="Z481" s="95"/>
      <c r="AA481" s="95"/>
    </row>
    <row r="482">
      <c r="A482" s="95" t="s">
        <v>5116</v>
      </c>
      <c r="B482" s="95"/>
      <c r="C482" s="95"/>
      <c r="D482" s="95"/>
      <c r="E482" s="95"/>
      <c r="F482" s="95"/>
      <c r="G482" s="95"/>
      <c r="H482" s="95"/>
      <c r="I482" s="95"/>
      <c r="J482" s="95"/>
      <c r="K482" s="95"/>
      <c r="L482" s="95"/>
      <c r="M482" s="95"/>
      <c r="N482" s="95"/>
      <c r="O482" s="95"/>
      <c r="P482" s="95"/>
      <c r="Q482" s="95"/>
      <c r="R482" s="95"/>
      <c r="S482" s="95"/>
      <c r="T482" s="95"/>
      <c r="U482" s="95"/>
      <c r="V482" s="95"/>
      <c r="W482" s="95"/>
      <c r="X482" s="95"/>
      <c r="Y482" s="95"/>
      <c r="Z482" s="95"/>
      <c r="AA482" s="95"/>
    </row>
    <row r="483">
      <c r="A483" s="95" t="s">
        <v>5116</v>
      </c>
      <c r="B483" s="95"/>
      <c r="C483" s="95"/>
      <c r="D483" s="95"/>
      <c r="E483" s="95"/>
      <c r="F483" s="95"/>
      <c r="G483" s="95"/>
      <c r="H483" s="95"/>
      <c r="I483" s="95"/>
      <c r="J483" s="95"/>
      <c r="K483" s="95"/>
      <c r="L483" s="95"/>
      <c r="M483" s="95"/>
      <c r="N483" s="95"/>
      <c r="O483" s="95"/>
      <c r="P483" s="95"/>
      <c r="Q483" s="95"/>
      <c r="R483" s="95"/>
      <c r="S483" s="95"/>
      <c r="T483" s="95"/>
      <c r="U483" s="95"/>
      <c r="V483" s="95"/>
      <c r="W483" s="95"/>
      <c r="X483" s="95"/>
      <c r="Y483" s="95"/>
      <c r="Z483" s="95"/>
      <c r="AA483" s="95"/>
    </row>
    <row r="484">
      <c r="A484" s="95" t="s">
        <v>5116</v>
      </c>
      <c r="B484" s="95"/>
      <c r="C484" s="95"/>
      <c r="D484" s="95"/>
      <c r="E484" s="95"/>
      <c r="F484" s="95"/>
      <c r="G484" s="95"/>
      <c r="H484" s="95"/>
      <c r="I484" s="95"/>
      <c r="J484" s="95"/>
      <c r="K484" s="95"/>
      <c r="L484" s="95"/>
      <c r="M484" s="95"/>
      <c r="N484" s="95"/>
      <c r="O484" s="95"/>
      <c r="P484" s="95"/>
      <c r="Q484" s="95"/>
      <c r="R484" s="95"/>
      <c r="S484" s="95"/>
      <c r="T484" s="95"/>
      <c r="U484" s="95"/>
      <c r="V484" s="95"/>
      <c r="W484" s="95"/>
      <c r="X484" s="95"/>
      <c r="Y484" s="95"/>
      <c r="Z484" s="95"/>
      <c r="AA484" s="95"/>
    </row>
    <row r="485">
      <c r="A485" s="95" t="s">
        <v>5116</v>
      </c>
      <c r="B485" s="95"/>
      <c r="C485" s="95"/>
      <c r="D485" s="95"/>
      <c r="E485" s="95"/>
      <c r="F485" s="95"/>
      <c r="G485" s="95"/>
      <c r="H485" s="95"/>
      <c r="I485" s="95"/>
      <c r="J485" s="95"/>
      <c r="K485" s="95"/>
      <c r="L485" s="95"/>
      <c r="M485" s="95"/>
      <c r="N485" s="95"/>
      <c r="O485" s="95"/>
      <c r="P485" s="95"/>
      <c r="Q485" s="95"/>
      <c r="R485" s="95"/>
      <c r="S485" s="95"/>
      <c r="T485" s="95"/>
      <c r="U485" s="95"/>
      <c r="V485" s="95"/>
      <c r="W485" s="95"/>
      <c r="X485" s="95"/>
      <c r="Y485" s="95"/>
      <c r="Z485" s="95"/>
      <c r="AA485" s="95"/>
    </row>
    <row r="486">
      <c r="A486" s="95" t="s">
        <v>5116</v>
      </c>
      <c r="B486" s="95"/>
      <c r="C486" s="95"/>
      <c r="D486" s="95"/>
      <c r="E486" s="95"/>
      <c r="F486" s="95"/>
      <c r="G486" s="95"/>
      <c r="H486" s="95"/>
      <c r="I486" s="95"/>
      <c r="J486" s="95"/>
      <c r="K486" s="95"/>
      <c r="L486" s="95"/>
      <c r="M486" s="95"/>
      <c r="N486" s="95"/>
      <c r="O486" s="95"/>
      <c r="P486" s="95"/>
      <c r="Q486" s="95"/>
      <c r="R486" s="95"/>
      <c r="S486" s="95"/>
      <c r="T486" s="95"/>
      <c r="U486" s="95"/>
      <c r="V486" s="95"/>
      <c r="W486" s="95"/>
      <c r="X486" s="95"/>
      <c r="Y486" s="95"/>
      <c r="Z486" s="95"/>
      <c r="AA486" s="95"/>
    </row>
    <row r="487">
      <c r="A487" s="95" t="s">
        <v>5116</v>
      </c>
      <c r="B487" s="95"/>
      <c r="C487" s="95"/>
      <c r="D487" s="95"/>
      <c r="E487" s="95"/>
      <c r="F487" s="95"/>
      <c r="G487" s="95"/>
      <c r="H487" s="95"/>
      <c r="I487" s="95"/>
      <c r="J487" s="95"/>
      <c r="K487" s="95"/>
      <c r="L487" s="95"/>
      <c r="M487" s="95"/>
      <c r="N487" s="95"/>
      <c r="O487" s="95"/>
      <c r="P487" s="95"/>
      <c r="Q487" s="95"/>
      <c r="R487" s="95"/>
      <c r="S487" s="95"/>
      <c r="T487" s="95"/>
      <c r="U487" s="95"/>
      <c r="V487" s="95"/>
      <c r="W487" s="95"/>
      <c r="X487" s="95"/>
      <c r="Y487" s="95"/>
      <c r="Z487" s="95"/>
      <c r="AA487" s="95"/>
    </row>
    <row r="488">
      <c r="A488" s="95" t="s">
        <v>5116</v>
      </c>
      <c r="B488" s="95"/>
      <c r="C488" s="95"/>
      <c r="D488" s="95"/>
      <c r="E488" s="95"/>
      <c r="F488" s="95"/>
      <c r="G488" s="95"/>
      <c r="H488" s="95"/>
      <c r="I488" s="95"/>
      <c r="J488" s="95"/>
      <c r="K488" s="95"/>
      <c r="L488" s="95"/>
      <c r="M488" s="95"/>
      <c r="N488" s="95"/>
      <c r="O488" s="95"/>
      <c r="P488" s="95"/>
      <c r="Q488" s="95"/>
      <c r="R488" s="95"/>
      <c r="S488" s="95"/>
      <c r="T488" s="95"/>
      <c r="U488" s="95"/>
      <c r="V488" s="95"/>
      <c r="W488" s="95"/>
      <c r="X488" s="95"/>
      <c r="Y488" s="95"/>
      <c r="Z488" s="95"/>
      <c r="AA488" s="95"/>
    </row>
    <row r="489">
      <c r="A489" s="95" t="s">
        <v>5116</v>
      </c>
      <c r="B489" s="95"/>
      <c r="C489" s="95"/>
      <c r="D489" s="95"/>
      <c r="E489" s="95"/>
      <c r="F489" s="95"/>
      <c r="G489" s="95"/>
      <c r="H489" s="95"/>
      <c r="I489" s="95"/>
      <c r="J489" s="95"/>
      <c r="K489" s="95"/>
      <c r="L489" s="95"/>
      <c r="M489" s="95"/>
      <c r="N489" s="95"/>
      <c r="O489" s="95"/>
      <c r="P489" s="95"/>
      <c r="Q489" s="95"/>
      <c r="R489" s="95"/>
      <c r="S489" s="95"/>
      <c r="T489" s="95"/>
      <c r="U489" s="95"/>
      <c r="V489" s="95"/>
      <c r="W489" s="95"/>
      <c r="X489" s="95"/>
      <c r="Y489" s="95"/>
      <c r="Z489" s="95"/>
      <c r="AA489" s="95"/>
    </row>
    <row r="490">
      <c r="A490" s="95" t="s">
        <v>5116</v>
      </c>
      <c r="B490" s="95"/>
      <c r="C490" s="95"/>
      <c r="D490" s="95"/>
      <c r="E490" s="95"/>
      <c r="F490" s="95"/>
      <c r="G490" s="95"/>
      <c r="H490" s="95"/>
      <c r="I490" s="95"/>
      <c r="J490" s="95"/>
      <c r="K490" s="95"/>
      <c r="L490" s="95"/>
      <c r="M490" s="95"/>
      <c r="N490" s="95"/>
      <c r="O490" s="95"/>
      <c r="P490" s="95"/>
      <c r="Q490" s="95"/>
      <c r="R490" s="95"/>
      <c r="S490" s="95"/>
      <c r="T490" s="95"/>
      <c r="U490" s="95"/>
      <c r="V490" s="95"/>
      <c r="W490" s="95"/>
      <c r="X490" s="95"/>
      <c r="Y490" s="95"/>
      <c r="Z490" s="95"/>
      <c r="AA490" s="95"/>
    </row>
    <row r="491">
      <c r="A491" s="95" t="s">
        <v>5116</v>
      </c>
      <c r="B491" s="95"/>
      <c r="C491" s="95"/>
      <c r="D491" s="95"/>
      <c r="E491" s="95"/>
      <c r="F491" s="95"/>
      <c r="G491" s="95"/>
      <c r="H491" s="95"/>
      <c r="I491" s="95"/>
      <c r="J491" s="95"/>
      <c r="K491" s="95"/>
      <c r="L491" s="95"/>
      <c r="M491" s="95"/>
      <c r="N491" s="95"/>
      <c r="O491" s="95"/>
      <c r="P491" s="95"/>
      <c r="Q491" s="95"/>
      <c r="R491" s="95"/>
      <c r="S491" s="95"/>
      <c r="T491" s="95"/>
      <c r="U491" s="95"/>
      <c r="V491" s="95"/>
      <c r="W491" s="95"/>
      <c r="X491" s="95"/>
      <c r="Y491" s="95"/>
      <c r="Z491" s="95"/>
      <c r="AA491" s="95"/>
    </row>
    <row r="492">
      <c r="A492" s="95" t="s">
        <v>5116</v>
      </c>
      <c r="B492" s="95"/>
      <c r="C492" s="95"/>
      <c r="D492" s="95"/>
      <c r="E492" s="95"/>
      <c r="F492" s="95"/>
      <c r="G492" s="95"/>
      <c r="H492" s="95"/>
      <c r="I492" s="95"/>
      <c r="J492" s="95"/>
      <c r="K492" s="95"/>
      <c r="L492" s="95"/>
      <c r="M492" s="95"/>
      <c r="N492" s="95"/>
      <c r="O492" s="95"/>
      <c r="P492" s="95"/>
      <c r="Q492" s="95"/>
      <c r="R492" s="95"/>
      <c r="S492" s="95"/>
      <c r="T492" s="95"/>
      <c r="U492" s="95"/>
      <c r="V492" s="95"/>
      <c r="W492" s="95"/>
      <c r="X492" s="95"/>
      <c r="Y492" s="95"/>
      <c r="Z492" s="95"/>
      <c r="AA492" s="95"/>
    </row>
    <row r="493">
      <c r="A493" s="95" t="s">
        <v>5116</v>
      </c>
      <c r="B493" s="95"/>
      <c r="C493" s="95"/>
      <c r="D493" s="95"/>
      <c r="E493" s="95"/>
      <c r="F493" s="95"/>
      <c r="G493" s="95"/>
      <c r="H493" s="95"/>
      <c r="I493" s="95"/>
      <c r="J493" s="95"/>
      <c r="K493" s="95"/>
      <c r="L493" s="95"/>
      <c r="M493" s="95"/>
      <c r="N493" s="95"/>
      <c r="O493" s="95"/>
      <c r="P493" s="95"/>
      <c r="Q493" s="95"/>
      <c r="R493" s="95"/>
      <c r="S493" s="95"/>
      <c r="T493" s="95"/>
      <c r="U493" s="95"/>
      <c r="V493" s="95"/>
      <c r="W493" s="95"/>
      <c r="X493" s="95"/>
      <c r="Y493" s="95"/>
      <c r="Z493" s="95"/>
      <c r="AA493" s="95"/>
    </row>
    <row r="494">
      <c r="A494" s="95" t="s">
        <v>5116</v>
      </c>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c r="AA494" s="95"/>
    </row>
    <row r="495">
      <c r="A495" s="95" t="s">
        <v>5116</v>
      </c>
      <c r="B495" s="95"/>
      <c r="C495" s="95"/>
      <c r="D495" s="95"/>
      <c r="E495" s="95"/>
      <c r="F495" s="95"/>
      <c r="G495" s="95"/>
      <c r="H495" s="95"/>
      <c r="I495" s="95"/>
      <c r="J495" s="95"/>
      <c r="K495" s="95"/>
      <c r="L495" s="95"/>
      <c r="M495" s="95"/>
      <c r="N495" s="95"/>
      <c r="O495" s="95"/>
      <c r="P495" s="95"/>
      <c r="Q495" s="95"/>
      <c r="R495" s="95"/>
      <c r="S495" s="95"/>
      <c r="T495" s="95"/>
      <c r="U495" s="95"/>
      <c r="V495" s="95"/>
      <c r="W495" s="95"/>
      <c r="X495" s="95"/>
      <c r="Y495" s="95"/>
      <c r="Z495" s="95"/>
      <c r="AA495" s="95"/>
    </row>
    <row r="496">
      <c r="A496" s="95" t="s">
        <v>5116</v>
      </c>
      <c r="B496" s="95"/>
      <c r="C496" s="95"/>
      <c r="D496" s="95"/>
      <c r="E496" s="95"/>
      <c r="F496" s="95"/>
      <c r="G496" s="95"/>
      <c r="H496" s="95"/>
      <c r="I496" s="95"/>
      <c r="J496" s="95"/>
      <c r="K496" s="95"/>
      <c r="L496" s="95"/>
      <c r="M496" s="95"/>
      <c r="N496" s="95"/>
      <c r="O496" s="95"/>
      <c r="P496" s="95"/>
      <c r="Q496" s="95"/>
      <c r="R496" s="95"/>
      <c r="S496" s="95"/>
      <c r="T496" s="95"/>
      <c r="U496" s="95"/>
      <c r="V496" s="95"/>
      <c r="W496" s="95"/>
      <c r="X496" s="95"/>
      <c r="Y496" s="95"/>
      <c r="Z496" s="95"/>
      <c r="AA496" s="95"/>
    </row>
    <row r="497">
      <c r="A497" s="95" t="s">
        <v>5116</v>
      </c>
      <c r="B497" s="95"/>
      <c r="C497" s="95"/>
      <c r="D497" s="95"/>
      <c r="E497" s="95"/>
      <c r="F497" s="95"/>
      <c r="G497" s="95"/>
      <c r="H497" s="95"/>
      <c r="I497" s="95"/>
      <c r="J497" s="95"/>
      <c r="K497" s="95"/>
      <c r="L497" s="95"/>
      <c r="M497" s="95"/>
      <c r="N497" s="95"/>
      <c r="O497" s="95"/>
      <c r="P497" s="95"/>
      <c r="Q497" s="95"/>
      <c r="R497" s="95"/>
      <c r="S497" s="95"/>
      <c r="T497" s="95"/>
      <c r="U497" s="95"/>
      <c r="V497" s="95"/>
      <c r="W497" s="95"/>
      <c r="X497" s="95"/>
      <c r="Y497" s="95"/>
      <c r="Z497" s="95"/>
      <c r="AA497" s="95"/>
    </row>
    <row r="498">
      <c r="A498" s="95" t="s">
        <v>5116</v>
      </c>
      <c r="B498" s="95"/>
      <c r="C498" s="95"/>
      <c r="D498" s="95"/>
      <c r="E498" s="95"/>
      <c r="F498" s="95"/>
      <c r="G498" s="95"/>
      <c r="H498" s="95"/>
      <c r="I498" s="95"/>
      <c r="J498" s="95"/>
      <c r="K498" s="95"/>
      <c r="L498" s="95"/>
      <c r="M498" s="95"/>
      <c r="N498" s="95"/>
      <c r="O498" s="95"/>
      <c r="P498" s="95"/>
      <c r="Q498" s="95"/>
      <c r="R498" s="95"/>
      <c r="S498" s="95"/>
      <c r="T498" s="95"/>
      <c r="U498" s="95"/>
      <c r="V498" s="95"/>
      <c r="W498" s="95"/>
      <c r="X498" s="95"/>
      <c r="Y498" s="95"/>
      <c r="Z498" s="95"/>
      <c r="AA498" s="95"/>
    </row>
    <row r="499">
      <c r="A499" s="95" t="s">
        <v>5116</v>
      </c>
      <c r="B499" s="95"/>
      <c r="C499" s="95"/>
      <c r="D499" s="95"/>
      <c r="E499" s="95"/>
      <c r="F499" s="95"/>
      <c r="G499" s="95"/>
      <c r="H499" s="95"/>
      <c r="I499" s="95"/>
      <c r="J499" s="95"/>
      <c r="K499" s="95"/>
      <c r="L499" s="95"/>
      <c r="M499" s="95"/>
      <c r="N499" s="95"/>
      <c r="O499" s="95"/>
      <c r="P499" s="95"/>
      <c r="Q499" s="95"/>
      <c r="R499" s="95"/>
      <c r="S499" s="95"/>
      <c r="T499" s="95"/>
      <c r="U499" s="95"/>
      <c r="V499" s="95"/>
      <c r="W499" s="95"/>
      <c r="X499" s="95"/>
      <c r="Y499" s="95"/>
      <c r="Z499" s="95"/>
      <c r="AA499" s="95"/>
    </row>
    <row r="500">
      <c r="A500" s="95" t="s">
        <v>5116</v>
      </c>
      <c r="B500" s="95"/>
      <c r="C500" s="95"/>
      <c r="D500" s="95"/>
      <c r="E500" s="95"/>
      <c r="F500" s="95"/>
      <c r="G500" s="95"/>
      <c r="H500" s="95"/>
      <c r="I500" s="95"/>
      <c r="J500" s="95"/>
      <c r="K500" s="95"/>
      <c r="L500" s="95"/>
      <c r="M500" s="95"/>
      <c r="N500" s="95"/>
      <c r="O500" s="95"/>
      <c r="P500" s="95"/>
      <c r="Q500" s="95"/>
      <c r="R500" s="95"/>
      <c r="S500" s="95"/>
      <c r="T500" s="95"/>
      <c r="U500" s="95"/>
      <c r="V500" s="95"/>
      <c r="W500" s="95"/>
      <c r="X500" s="95"/>
      <c r="Y500" s="95"/>
      <c r="Z500" s="95"/>
      <c r="AA500" s="95"/>
    </row>
    <row r="501">
      <c r="A501" s="95" t="s">
        <v>5116</v>
      </c>
      <c r="B501" s="95"/>
      <c r="C501" s="95"/>
      <c r="D501" s="95"/>
      <c r="E501" s="95"/>
      <c r="F501" s="95"/>
      <c r="G501" s="95"/>
      <c r="H501" s="95"/>
      <c r="I501" s="95"/>
      <c r="J501" s="95"/>
      <c r="K501" s="95"/>
      <c r="L501" s="95"/>
      <c r="M501" s="95"/>
      <c r="N501" s="95"/>
      <c r="O501" s="95"/>
      <c r="P501" s="95"/>
      <c r="Q501" s="95"/>
      <c r="R501" s="95"/>
      <c r="S501" s="95"/>
      <c r="T501" s="95"/>
      <c r="U501" s="95"/>
      <c r="V501" s="95"/>
      <c r="W501" s="95"/>
      <c r="X501" s="95"/>
      <c r="Y501" s="95"/>
      <c r="Z501" s="95"/>
      <c r="AA501" s="95"/>
    </row>
    <row r="502">
      <c r="A502" s="95" t="s">
        <v>5116</v>
      </c>
      <c r="B502" s="95"/>
      <c r="C502" s="95"/>
      <c r="D502" s="95"/>
      <c r="E502" s="95"/>
      <c r="F502" s="95"/>
      <c r="G502" s="95"/>
      <c r="H502" s="95"/>
      <c r="I502" s="95"/>
      <c r="J502" s="95"/>
      <c r="K502" s="95"/>
      <c r="L502" s="95"/>
      <c r="M502" s="95"/>
      <c r="N502" s="95"/>
      <c r="O502" s="95"/>
      <c r="P502" s="95"/>
      <c r="Q502" s="95"/>
      <c r="R502" s="95"/>
      <c r="S502" s="95"/>
      <c r="T502" s="95"/>
      <c r="U502" s="95"/>
      <c r="V502" s="95"/>
      <c r="W502" s="95"/>
      <c r="X502" s="95"/>
      <c r="Y502" s="95"/>
      <c r="Z502" s="95"/>
      <c r="AA502" s="95"/>
    </row>
    <row r="503">
      <c r="A503" s="95" t="s">
        <v>5116</v>
      </c>
      <c r="B503" s="95"/>
      <c r="C503" s="95"/>
      <c r="D503" s="95"/>
      <c r="E503" s="95"/>
      <c r="F503" s="95"/>
      <c r="G503" s="95"/>
      <c r="H503" s="95"/>
      <c r="I503" s="95"/>
      <c r="J503" s="95"/>
      <c r="K503" s="95"/>
      <c r="L503" s="95"/>
      <c r="M503" s="95"/>
      <c r="N503" s="95"/>
      <c r="O503" s="95"/>
      <c r="P503" s="95"/>
      <c r="Q503" s="95"/>
      <c r="R503" s="95"/>
      <c r="S503" s="95"/>
      <c r="T503" s="95"/>
      <c r="U503" s="95"/>
      <c r="V503" s="95"/>
      <c r="W503" s="95"/>
      <c r="X503" s="95"/>
      <c r="Y503" s="95"/>
      <c r="Z503" s="95"/>
      <c r="AA503" s="95"/>
    </row>
    <row r="504">
      <c r="A504" s="95" t="s">
        <v>5116</v>
      </c>
      <c r="B504" s="95"/>
      <c r="C504" s="95"/>
      <c r="D504" s="95"/>
      <c r="E504" s="95"/>
      <c r="F504" s="95"/>
      <c r="G504" s="95"/>
      <c r="H504" s="95"/>
      <c r="I504" s="95"/>
      <c r="J504" s="95"/>
      <c r="K504" s="95"/>
      <c r="L504" s="95"/>
      <c r="M504" s="95"/>
      <c r="N504" s="95"/>
      <c r="O504" s="95"/>
      <c r="P504" s="95"/>
      <c r="Q504" s="95"/>
      <c r="R504" s="95"/>
      <c r="S504" s="95"/>
      <c r="T504" s="95"/>
      <c r="U504" s="95"/>
      <c r="V504" s="95"/>
      <c r="W504" s="95"/>
      <c r="X504" s="95"/>
      <c r="Y504" s="95"/>
      <c r="Z504" s="95"/>
      <c r="AA504" s="95"/>
    </row>
    <row r="505">
      <c r="A505" s="95" t="s">
        <v>5116</v>
      </c>
      <c r="B505" s="95"/>
      <c r="C505" s="95"/>
      <c r="D505" s="95"/>
      <c r="E505" s="95"/>
      <c r="F505" s="95"/>
      <c r="G505" s="95"/>
      <c r="H505" s="95"/>
      <c r="I505" s="95"/>
      <c r="J505" s="95"/>
      <c r="K505" s="95"/>
      <c r="L505" s="95"/>
      <c r="M505" s="95"/>
      <c r="N505" s="95"/>
      <c r="O505" s="95"/>
      <c r="P505" s="95"/>
      <c r="Q505" s="95"/>
      <c r="R505" s="95"/>
      <c r="S505" s="95"/>
      <c r="T505" s="95"/>
      <c r="U505" s="95"/>
      <c r="V505" s="95"/>
      <c r="W505" s="95"/>
      <c r="X505" s="95"/>
      <c r="Y505" s="95"/>
      <c r="Z505" s="95"/>
      <c r="AA505" s="95"/>
    </row>
    <row r="506">
      <c r="A506" s="95" t="s">
        <v>5116</v>
      </c>
      <c r="B506" s="95"/>
      <c r="C506" s="95"/>
      <c r="D506" s="95"/>
      <c r="E506" s="95"/>
      <c r="F506" s="95"/>
      <c r="G506" s="95"/>
      <c r="H506" s="95"/>
      <c r="I506" s="95"/>
      <c r="J506" s="95"/>
      <c r="K506" s="95"/>
      <c r="L506" s="95"/>
      <c r="M506" s="95"/>
      <c r="N506" s="95"/>
      <c r="O506" s="95"/>
      <c r="P506" s="95"/>
      <c r="Q506" s="95"/>
      <c r="R506" s="95"/>
      <c r="S506" s="95"/>
      <c r="T506" s="95"/>
      <c r="U506" s="95"/>
      <c r="V506" s="95"/>
      <c r="W506" s="95"/>
      <c r="X506" s="95"/>
      <c r="Y506" s="95"/>
      <c r="Z506" s="95"/>
      <c r="AA506" s="95"/>
    </row>
    <row r="507">
      <c r="A507" s="95" t="s">
        <v>5116</v>
      </c>
      <c r="B507" s="95"/>
      <c r="C507" s="95"/>
      <c r="D507" s="95"/>
      <c r="E507" s="95"/>
      <c r="F507" s="95"/>
      <c r="G507" s="95"/>
      <c r="H507" s="95"/>
      <c r="I507" s="95"/>
      <c r="J507" s="95"/>
      <c r="K507" s="95"/>
      <c r="L507" s="95"/>
      <c r="M507" s="95"/>
      <c r="N507" s="95"/>
      <c r="O507" s="95"/>
      <c r="P507" s="95"/>
      <c r="Q507" s="95"/>
      <c r="R507" s="95"/>
      <c r="S507" s="95"/>
      <c r="T507" s="95"/>
      <c r="U507" s="95"/>
      <c r="V507" s="95"/>
      <c r="W507" s="95"/>
      <c r="X507" s="95"/>
      <c r="Y507" s="95"/>
      <c r="Z507" s="95"/>
      <c r="AA507" s="95"/>
    </row>
    <row r="508">
      <c r="A508" s="95" t="s">
        <v>5116</v>
      </c>
      <c r="B508" s="95"/>
      <c r="C508" s="95"/>
      <c r="D508" s="95"/>
      <c r="E508" s="95"/>
      <c r="F508" s="95"/>
      <c r="G508" s="95"/>
      <c r="H508" s="95"/>
      <c r="I508" s="95"/>
      <c r="J508" s="95"/>
      <c r="K508" s="95"/>
      <c r="L508" s="95"/>
      <c r="M508" s="95"/>
      <c r="N508" s="95"/>
      <c r="O508" s="95"/>
      <c r="P508" s="95"/>
      <c r="Q508" s="95"/>
      <c r="R508" s="95"/>
      <c r="S508" s="95"/>
      <c r="T508" s="95"/>
      <c r="U508" s="95"/>
      <c r="V508" s="95"/>
      <c r="W508" s="95"/>
      <c r="X508" s="95"/>
      <c r="Y508" s="95"/>
      <c r="Z508" s="95"/>
      <c r="AA508" s="95"/>
    </row>
    <row r="509">
      <c r="A509" s="95" t="s">
        <v>5116</v>
      </c>
      <c r="B509" s="95"/>
      <c r="C509" s="95"/>
      <c r="D509" s="95"/>
      <c r="E509" s="95"/>
      <c r="F509" s="95"/>
      <c r="G509" s="95"/>
      <c r="H509" s="95"/>
      <c r="I509" s="95"/>
      <c r="J509" s="95"/>
      <c r="K509" s="95"/>
      <c r="L509" s="95"/>
      <c r="M509" s="95"/>
      <c r="N509" s="95"/>
      <c r="O509" s="95"/>
      <c r="P509" s="95"/>
      <c r="Q509" s="95"/>
      <c r="R509" s="95"/>
      <c r="S509" s="95"/>
      <c r="T509" s="95"/>
      <c r="U509" s="95"/>
      <c r="V509" s="95"/>
      <c r="W509" s="95"/>
      <c r="X509" s="95"/>
      <c r="Y509" s="95"/>
      <c r="Z509" s="95"/>
      <c r="AA509" s="95"/>
    </row>
    <row r="510">
      <c r="A510" s="95" t="s">
        <v>5116</v>
      </c>
      <c r="B510" s="95"/>
      <c r="C510" s="95"/>
      <c r="D510" s="95"/>
      <c r="E510" s="95"/>
      <c r="F510" s="95"/>
      <c r="G510" s="95"/>
      <c r="H510" s="95"/>
      <c r="I510" s="95"/>
      <c r="J510" s="95"/>
      <c r="K510" s="95"/>
      <c r="L510" s="95"/>
      <c r="M510" s="95"/>
      <c r="N510" s="95"/>
      <c r="O510" s="95"/>
      <c r="P510" s="95"/>
      <c r="Q510" s="95"/>
      <c r="R510" s="95"/>
      <c r="S510" s="95"/>
      <c r="T510" s="95"/>
      <c r="U510" s="95"/>
      <c r="V510" s="95"/>
      <c r="W510" s="95"/>
      <c r="X510" s="95"/>
      <c r="Y510" s="95"/>
      <c r="Z510" s="95"/>
      <c r="AA510" s="95"/>
    </row>
    <row r="511">
      <c r="A511" s="95" t="s">
        <v>5116</v>
      </c>
      <c r="B511" s="95"/>
      <c r="C511" s="95"/>
      <c r="D511" s="95"/>
      <c r="E511" s="95"/>
      <c r="F511" s="95"/>
      <c r="G511" s="95"/>
      <c r="H511" s="95"/>
      <c r="I511" s="95"/>
      <c r="J511" s="95"/>
      <c r="K511" s="95"/>
      <c r="L511" s="95"/>
      <c r="M511" s="95"/>
      <c r="N511" s="95"/>
      <c r="O511" s="95"/>
      <c r="P511" s="95"/>
      <c r="Q511" s="95"/>
      <c r="R511" s="95"/>
      <c r="S511" s="95"/>
      <c r="T511" s="95"/>
      <c r="U511" s="95"/>
      <c r="V511" s="95"/>
      <c r="W511" s="95"/>
      <c r="X511" s="95"/>
      <c r="Y511" s="95"/>
      <c r="Z511" s="95"/>
      <c r="AA511" s="95"/>
    </row>
    <row r="512">
      <c r="A512" s="95" t="s">
        <v>5116</v>
      </c>
      <c r="B512" s="95"/>
      <c r="C512" s="95"/>
      <c r="D512" s="95"/>
      <c r="E512" s="95"/>
      <c r="F512" s="95"/>
      <c r="G512" s="95"/>
      <c r="H512" s="95"/>
      <c r="I512" s="95"/>
      <c r="J512" s="95"/>
      <c r="K512" s="95"/>
      <c r="L512" s="95"/>
      <c r="M512" s="95"/>
      <c r="N512" s="95"/>
      <c r="O512" s="95"/>
      <c r="P512" s="95"/>
      <c r="Q512" s="95"/>
      <c r="R512" s="95"/>
      <c r="S512" s="95"/>
      <c r="T512" s="95"/>
      <c r="U512" s="95"/>
      <c r="V512" s="95"/>
      <c r="W512" s="95"/>
      <c r="X512" s="95"/>
      <c r="Y512" s="95"/>
      <c r="Z512" s="95"/>
      <c r="AA512" s="95"/>
    </row>
    <row r="513">
      <c r="A513" s="95" t="s">
        <v>5116</v>
      </c>
      <c r="B513" s="95"/>
      <c r="C513" s="95"/>
      <c r="D513" s="95"/>
      <c r="E513" s="95"/>
      <c r="F513" s="95"/>
      <c r="G513" s="95"/>
      <c r="H513" s="95"/>
      <c r="I513" s="95"/>
      <c r="J513" s="95"/>
      <c r="K513" s="95"/>
      <c r="L513" s="95"/>
      <c r="M513" s="95"/>
      <c r="N513" s="95"/>
      <c r="O513" s="95"/>
      <c r="P513" s="95"/>
      <c r="Q513" s="95"/>
      <c r="R513" s="95"/>
      <c r="S513" s="95"/>
      <c r="T513" s="95"/>
      <c r="U513" s="95"/>
      <c r="V513" s="95"/>
      <c r="W513" s="95"/>
      <c r="X513" s="95"/>
      <c r="Y513" s="95"/>
      <c r="Z513" s="95"/>
      <c r="AA513" s="95"/>
    </row>
    <row r="514">
      <c r="A514" s="95" t="s">
        <v>5116</v>
      </c>
      <c r="B514" s="95"/>
      <c r="C514" s="95"/>
      <c r="D514" s="95"/>
      <c r="E514" s="95"/>
      <c r="F514" s="95"/>
      <c r="G514" s="95"/>
      <c r="H514" s="95"/>
      <c r="I514" s="95"/>
      <c r="J514" s="95"/>
      <c r="K514" s="95"/>
      <c r="L514" s="95"/>
      <c r="M514" s="95"/>
      <c r="N514" s="95"/>
      <c r="O514" s="95"/>
      <c r="P514" s="95"/>
      <c r="Q514" s="95"/>
      <c r="R514" s="95"/>
      <c r="S514" s="95"/>
      <c r="T514" s="95"/>
      <c r="U514" s="95"/>
      <c r="V514" s="95"/>
      <c r="W514" s="95"/>
      <c r="X514" s="95"/>
      <c r="Y514" s="95"/>
      <c r="Z514" s="95"/>
      <c r="AA514" s="95"/>
    </row>
    <row r="515">
      <c r="A515" s="95" t="s">
        <v>5116</v>
      </c>
      <c r="B515" s="95"/>
      <c r="C515" s="95"/>
      <c r="D515" s="95"/>
      <c r="E515" s="95"/>
      <c r="F515" s="95"/>
      <c r="G515" s="95"/>
      <c r="H515" s="95"/>
      <c r="I515" s="95"/>
      <c r="J515" s="95"/>
      <c r="K515" s="95"/>
      <c r="L515" s="95"/>
      <c r="M515" s="95"/>
      <c r="N515" s="95"/>
      <c r="O515" s="95"/>
      <c r="P515" s="95"/>
      <c r="Q515" s="95"/>
      <c r="R515" s="95"/>
      <c r="S515" s="95"/>
      <c r="T515" s="95"/>
      <c r="U515" s="95"/>
      <c r="V515" s="95"/>
      <c r="W515" s="95"/>
      <c r="X515" s="95"/>
      <c r="Y515" s="95"/>
      <c r="Z515" s="95"/>
      <c r="AA515" s="95"/>
    </row>
    <row r="516">
      <c r="A516" s="95" t="s">
        <v>5116</v>
      </c>
      <c r="B516" s="95"/>
      <c r="C516" s="95"/>
      <c r="D516" s="95"/>
      <c r="E516" s="95"/>
      <c r="F516" s="95"/>
      <c r="G516" s="95"/>
      <c r="H516" s="95"/>
      <c r="I516" s="95"/>
      <c r="J516" s="95"/>
      <c r="K516" s="95"/>
      <c r="L516" s="95"/>
      <c r="M516" s="95"/>
      <c r="N516" s="95"/>
      <c r="O516" s="95"/>
      <c r="P516" s="95"/>
      <c r="Q516" s="95"/>
      <c r="R516" s="95"/>
      <c r="S516" s="95"/>
      <c r="T516" s="95"/>
      <c r="U516" s="95"/>
      <c r="V516" s="95"/>
      <c r="W516" s="95"/>
      <c r="X516" s="95"/>
      <c r="Y516" s="95"/>
      <c r="Z516" s="95"/>
      <c r="AA516" s="95"/>
    </row>
    <row r="517">
      <c r="A517" s="95" t="s">
        <v>5116</v>
      </c>
      <c r="B517" s="95"/>
      <c r="C517" s="95"/>
      <c r="D517" s="95"/>
      <c r="E517" s="95"/>
      <c r="F517" s="95"/>
      <c r="G517" s="95"/>
      <c r="H517" s="95"/>
      <c r="I517" s="95"/>
      <c r="J517" s="95"/>
      <c r="K517" s="95"/>
      <c r="L517" s="95"/>
      <c r="M517" s="95"/>
      <c r="N517" s="95"/>
      <c r="O517" s="95"/>
      <c r="P517" s="95"/>
      <c r="Q517" s="95"/>
      <c r="R517" s="95"/>
      <c r="S517" s="95"/>
      <c r="T517" s="95"/>
      <c r="U517" s="95"/>
      <c r="V517" s="95"/>
      <c r="W517" s="95"/>
      <c r="X517" s="95"/>
      <c r="Y517" s="95"/>
      <c r="Z517" s="95"/>
      <c r="AA517" s="95"/>
    </row>
    <row r="518">
      <c r="A518" s="95" t="s">
        <v>5116</v>
      </c>
      <c r="B518" s="95"/>
      <c r="C518" s="95"/>
      <c r="D518" s="95"/>
      <c r="E518" s="95"/>
      <c r="F518" s="95"/>
      <c r="G518" s="95"/>
      <c r="H518" s="95"/>
      <c r="I518" s="95"/>
      <c r="J518" s="95"/>
      <c r="K518" s="95"/>
      <c r="L518" s="95"/>
      <c r="M518" s="95"/>
      <c r="N518" s="95"/>
      <c r="O518" s="95"/>
      <c r="P518" s="95"/>
      <c r="Q518" s="95"/>
      <c r="R518" s="95"/>
      <c r="S518" s="95"/>
      <c r="T518" s="95"/>
      <c r="U518" s="95"/>
      <c r="V518" s="95"/>
      <c r="W518" s="95"/>
      <c r="X518" s="95"/>
      <c r="Y518" s="95"/>
      <c r="Z518" s="95"/>
      <c r="AA518" s="95"/>
    </row>
    <row r="519">
      <c r="A519" s="95" t="s">
        <v>5116</v>
      </c>
      <c r="B519" s="95"/>
      <c r="C519" s="95"/>
      <c r="D519" s="95"/>
      <c r="E519" s="95"/>
      <c r="F519" s="95"/>
      <c r="G519" s="95"/>
      <c r="H519" s="95"/>
      <c r="I519" s="95"/>
      <c r="J519" s="95"/>
      <c r="K519" s="95"/>
      <c r="L519" s="95"/>
      <c r="M519" s="95"/>
      <c r="N519" s="95"/>
      <c r="O519" s="95"/>
      <c r="P519" s="95"/>
      <c r="Q519" s="95"/>
      <c r="R519" s="95"/>
      <c r="S519" s="95"/>
      <c r="T519" s="95"/>
      <c r="U519" s="95"/>
      <c r="V519" s="95"/>
      <c r="W519" s="95"/>
      <c r="X519" s="95"/>
      <c r="Y519" s="95"/>
      <c r="Z519" s="95"/>
      <c r="AA519" s="95"/>
    </row>
    <row r="520">
      <c r="A520" s="95" t="s">
        <v>5116</v>
      </c>
      <c r="B520" s="95"/>
      <c r="C520" s="95"/>
      <c r="D520" s="95"/>
      <c r="E520" s="95"/>
      <c r="F520" s="95"/>
      <c r="G520" s="95"/>
      <c r="H520" s="95"/>
      <c r="I520" s="95"/>
      <c r="J520" s="95"/>
      <c r="K520" s="95"/>
      <c r="L520" s="95"/>
      <c r="M520" s="95"/>
      <c r="N520" s="95"/>
      <c r="O520" s="95"/>
      <c r="P520" s="95"/>
      <c r="Q520" s="95"/>
      <c r="R520" s="95"/>
      <c r="S520" s="95"/>
      <c r="T520" s="95"/>
      <c r="U520" s="95"/>
      <c r="V520" s="95"/>
      <c r="W520" s="95"/>
      <c r="X520" s="95"/>
      <c r="Y520" s="95"/>
      <c r="Z520" s="95"/>
      <c r="AA520" s="95"/>
    </row>
    <row r="521">
      <c r="A521" s="95" t="s">
        <v>5116</v>
      </c>
      <c r="B521" s="95"/>
      <c r="C521" s="95"/>
      <c r="D521" s="95"/>
      <c r="E521" s="95"/>
      <c r="F521" s="95"/>
      <c r="G521" s="95"/>
      <c r="H521" s="95"/>
      <c r="I521" s="95"/>
      <c r="J521" s="95"/>
      <c r="K521" s="95"/>
      <c r="L521" s="95"/>
      <c r="M521" s="95"/>
      <c r="N521" s="95"/>
      <c r="O521" s="95"/>
      <c r="P521" s="95"/>
      <c r="Q521" s="95"/>
      <c r="R521" s="95"/>
      <c r="S521" s="95"/>
      <c r="T521" s="95"/>
      <c r="U521" s="95"/>
      <c r="V521" s="95"/>
      <c r="W521" s="95"/>
      <c r="X521" s="95"/>
      <c r="Y521" s="95"/>
      <c r="Z521" s="95"/>
      <c r="AA521" s="95"/>
    </row>
    <row r="522">
      <c r="A522" s="95" t="s">
        <v>5116</v>
      </c>
      <c r="B522" s="95"/>
      <c r="C522" s="95"/>
      <c r="D522" s="95"/>
      <c r="E522" s="95"/>
      <c r="F522" s="95"/>
      <c r="G522" s="95"/>
      <c r="H522" s="95"/>
      <c r="I522" s="95"/>
      <c r="J522" s="95"/>
      <c r="K522" s="95"/>
      <c r="L522" s="95"/>
      <c r="M522" s="95"/>
      <c r="N522" s="95"/>
      <c r="O522" s="95"/>
      <c r="P522" s="95"/>
      <c r="Q522" s="95"/>
      <c r="R522" s="95"/>
      <c r="S522" s="95"/>
      <c r="T522" s="95"/>
      <c r="U522" s="95"/>
      <c r="V522" s="95"/>
      <c r="W522" s="95"/>
      <c r="X522" s="95"/>
      <c r="Y522" s="95"/>
      <c r="Z522" s="95"/>
      <c r="AA522" s="95"/>
    </row>
    <row r="523">
      <c r="A523" s="95" t="s">
        <v>5116</v>
      </c>
      <c r="B523" s="95"/>
      <c r="C523" s="95"/>
      <c r="D523" s="95"/>
      <c r="E523" s="95"/>
      <c r="F523" s="95"/>
      <c r="G523" s="95"/>
      <c r="H523" s="95"/>
      <c r="I523" s="95"/>
      <c r="J523" s="95"/>
      <c r="K523" s="95"/>
      <c r="L523" s="95"/>
      <c r="M523" s="95"/>
      <c r="N523" s="95"/>
      <c r="O523" s="95"/>
      <c r="P523" s="95"/>
      <c r="Q523" s="95"/>
      <c r="R523" s="95"/>
      <c r="S523" s="95"/>
      <c r="T523" s="95"/>
      <c r="U523" s="95"/>
      <c r="V523" s="95"/>
      <c r="W523" s="95"/>
      <c r="X523" s="95"/>
      <c r="Y523" s="95"/>
      <c r="Z523" s="95"/>
      <c r="AA523" s="95"/>
    </row>
    <row r="524">
      <c r="A524" s="95" t="s">
        <v>5116</v>
      </c>
      <c r="B524" s="95"/>
      <c r="C524" s="95"/>
      <c r="D524" s="95"/>
      <c r="E524" s="95"/>
      <c r="F524" s="95"/>
      <c r="G524" s="95"/>
      <c r="H524" s="95"/>
      <c r="I524" s="95"/>
      <c r="J524" s="95"/>
      <c r="K524" s="95"/>
      <c r="L524" s="95"/>
      <c r="M524" s="95"/>
      <c r="N524" s="95"/>
      <c r="O524" s="95"/>
      <c r="P524" s="95"/>
      <c r="Q524" s="95"/>
      <c r="R524" s="95"/>
      <c r="S524" s="95"/>
      <c r="T524" s="95"/>
      <c r="U524" s="95"/>
      <c r="V524" s="95"/>
      <c r="W524" s="95"/>
      <c r="X524" s="95"/>
      <c r="Y524" s="95"/>
      <c r="Z524" s="95"/>
      <c r="AA524" s="95"/>
    </row>
    <row r="525">
      <c r="A525" s="95" t="s">
        <v>5116</v>
      </c>
      <c r="B525" s="95"/>
      <c r="C525" s="95"/>
      <c r="D525" s="95"/>
      <c r="E525" s="95"/>
      <c r="F525" s="95"/>
      <c r="G525" s="95"/>
      <c r="H525" s="95"/>
      <c r="I525" s="95"/>
      <c r="J525" s="95"/>
      <c r="K525" s="95"/>
      <c r="L525" s="95"/>
      <c r="M525" s="95"/>
      <c r="N525" s="95"/>
      <c r="O525" s="95"/>
      <c r="P525" s="95"/>
      <c r="Q525" s="95"/>
      <c r="R525" s="95"/>
      <c r="S525" s="95"/>
      <c r="T525" s="95"/>
      <c r="U525" s="95"/>
      <c r="V525" s="95"/>
      <c r="W525" s="95"/>
      <c r="X525" s="95"/>
      <c r="Y525" s="95"/>
      <c r="Z525" s="95"/>
      <c r="AA525" s="95"/>
    </row>
    <row r="526">
      <c r="A526" s="95" t="s">
        <v>5116</v>
      </c>
      <c r="B526" s="95"/>
      <c r="C526" s="95"/>
      <c r="D526" s="95"/>
      <c r="E526" s="95"/>
      <c r="F526" s="95"/>
      <c r="G526" s="95"/>
      <c r="H526" s="95"/>
      <c r="I526" s="95"/>
      <c r="J526" s="95"/>
      <c r="K526" s="95"/>
      <c r="L526" s="95"/>
      <c r="M526" s="95"/>
      <c r="N526" s="95"/>
      <c r="O526" s="95"/>
      <c r="P526" s="95"/>
      <c r="Q526" s="95"/>
      <c r="R526" s="95"/>
      <c r="S526" s="95"/>
      <c r="T526" s="95"/>
      <c r="U526" s="95"/>
      <c r="V526" s="95"/>
      <c r="W526" s="95"/>
      <c r="X526" s="95"/>
      <c r="Y526" s="95"/>
      <c r="Z526" s="95"/>
      <c r="AA526" s="95"/>
    </row>
    <row r="527">
      <c r="A527" s="95" t="s">
        <v>5116</v>
      </c>
      <c r="B527" s="95"/>
      <c r="C527" s="95"/>
      <c r="D527" s="95"/>
      <c r="E527" s="95"/>
      <c r="F527" s="95"/>
      <c r="G527" s="95"/>
      <c r="H527" s="95"/>
      <c r="I527" s="95"/>
      <c r="J527" s="95"/>
      <c r="K527" s="95"/>
      <c r="L527" s="95"/>
      <c r="M527" s="95"/>
      <c r="N527" s="95"/>
      <c r="O527" s="95"/>
      <c r="P527" s="95"/>
      <c r="Q527" s="95"/>
      <c r="R527" s="95"/>
      <c r="S527" s="95"/>
      <c r="T527" s="95"/>
      <c r="U527" s="95"/>
      <c r="V527" s="95"/>
      <c r="W527" s="95"/>
      <c r="X527" s="95"/>
      <c r="Y527" s="95"/>
      <c r="Z527" s="95"/>
      <c r="AA527" s="95"/>
    </row>
    <row r="528">
      <c r="A528" s="95" t="s">
        <v>5116</v>
      </c>
      <c r="B528" s="95"/>
      <c r="C528" s="95"/>
      <c r="D528" s="95"/>
      <c r="E528" s="95"/>
      <c r="F528" s="95"/>
      <c r="G528" s="95"/>
      <c r="H528" s="95"/>
      <c r="I528" s="95"/>
      <c r="J528" s="95"/>
      <c r="K528" s="95"/>
      <c r="L528" s="95"/>
      <c r="M528" s="95"/>
      <c r="N528" s="95"/>
      <c r="O528" s="95"/>
      <c r="P528" s="95"/>
      <c r="Q528" s="95"/>
      <c r="R528" s="95"/>
      <c r="S528" s="95"/>
      <c r="T528" s="95"/>
      <c r="U528" s="95"/>
      <c r="V528" s="95"/>
      <c r="W528" s="95"/>
      <c r="X528" s="95"/>
      <c r="Y528" s="95"/>
      <c r="Z528" s="95"/>
      <c r="AA528" s="95"/>
    </row>
    <row r="529">
      <c r="A529" s="95" t="s">
        <v>5116</v>
      </c>
      <c r="B529" s="95"/>
      <c r="C529" s="95"/>
      <c r="D529" s="95"/>
      <c r="E529" s="95"/>
      <c r="F529" s="95"/>
      <c r="G529" s="95"/>
      <c r="H529" s="95"/>
      <c r="I529" s="95"/>
      <c r="J529" s="95"/>
      <c r="K529" s="95"/>
      <c r="L529" s="95"/>
      <c r="M529" s="95"/>
      <c r="N529" s="95"/>
      <c r="O529" s="95"/>
      <c r="P529" s="95"/>
      <c r="Q529" s="95"/>
      <c r="R529" s="95"/>
      <c r="S529" s="95"/>
      <c r="T529" s="95"/>
      <c r="U529" s="95"/>
      <c r="V529" s="95"/>
      <c r="W529" s="95"/>
      <c r="X529" s="95"/>
      <c r="Y529" s="95"/>
      <c r="Z529" s="95"/>
      <c r="AA529" s="95"/>
    </row>
    <row r="530">
      <c r="A530" s="95" t="s">
        <v>5116</v>
      </c>
      <c r="B530" s="95"/>
      <c r="C530" s="95"/>
      <c r="D530" s="95"/>
      <c r="E530" s="95"/>
      <c r="F530" s="95"/>
      <c r="G530" s="95"/>
      <c r="H530" s="95"/>
      <c r="I530" s="95"/>
      <c r="J530" s="95"/>
      <c r="K530" s="95"/>
      <c r="L530" s="95"/>
      <c r="M530" s="95"/>
      <c r="N530" s="95"/>
      <c r="O530" s="95"/>
      <c r="P530" s="95"/>
      <c r="Q530" s="95"/>
      <c r="R530" s="95"/>
      <c r="S530" s="95"/>
      <c r="T530" s="95"/>
      <c r="U530" s="95"/>
      <c r="V530" s="95"/>
      <c r="W530" s="95"/>
      <c r="X530" s="95"/>
      <c r="Y530" s="95"/>
      <c r="Z530" s="95"/>
      <c r="AA530" s="95"/>
    </row>
    <row r="531">
      <c r="A531" s="95" t="s">
        <v>5116</v>
      </c>
      <c r="B531" s="95"/>
      <c r="C531" s="95"/>
      <c r="D531" s="95"/>
      <c r="E531" s="95"/>
      <c r="F531" s="95"/>
      <c r="G531" s="95"/>
      <c r="H531" s="95"/>
      <c r="I531" s="95"/>
      <c r="J531" s="95"/>
      <c r="K531" s="95"/>
      <c r="L531" s="95"/>
      <c r="M531" s="95"/>
      <c r="N531" s="95"/>
      <c r="O531" s="95"/>
      <c r="P531" s="95"/>
      <c r="Q531" s="95"/>
      <c r="R531" s="95"/>
      <c r="S531" s="95"/>
      <c r="T531" s="95"/>
      <c r="U531" s="95"/>
      <c r="V531" s="95"/>
      <c r="W531" s="95"/>
      <c r="X531" s="95"/>
      <c r="Y531" s="95"/>
      <c r="Z531" s="95"/>
      <c r="AA531" s="95"/>
    </row>
    <row r="532">
      <c r="A532" s="95" t="s">
        <v>5116</v>
      </c>
      <c r="B532" s="95"/>
      <c r="C532" s="95"/>
      <c r="D532" s="95"/>
      <c r="E532" s="95"/>
      <c r="F532" s="95"/>
      <c r="G532" s="95"/>
      <c r="H532" s="95"/>
      <c r="I532" s="95"/>
      <c r="J532" s="95"/>
      <c r="K532" s="95"/>
      <c r="L532" s="95"/>
      <c r="M532" s="95"/>
      <c r="N532" s="95"/>
      <c r="O532" s="95"/>
      <c r="P532" s="95"/>
      <c r="Q532" s="95"/>
      <c r="R532" s="95"/>
      <c r="S532" s="95"/>
      <c r="T532" s="95"/>
      <c r="U532" s="95"/>
      <c r="V532" s="95"/>
      <c r="W532" s="95"/>
      <c r="X532" s="95"/>
      <c r="Y532" s="95"/>
      <c r="Z532" s="95"/>
      <c r="AA532" s="95"/>
    </row>
    <row r="533">
      <c r="A533" s="95" t="s">
        <v>5116</v>
      </c>
      <c r="B533" s="95"/>
      <c r="C533" s="95"/>
      <c r="D533" s="95"/>
      <c r="E533" s="95"/>
      <c r="F533" s="95"/>
      <c r="G533" s="95"/>
      <c r="H533" s="95"/>
      <c r="I533" s="95"/>
      <c r="J533" s="95"/>
      <c r="K533" s="95"/>
      <c r="L533" s="95"/>
      <c r="M533" s="95"/>
      <c r="N533" s="95"/>
      <c r="O533" s="95"/>
      <c r="P533" s="95"/>
      <c r="Q533" s="95"/>
      <c r="R533" s="95"/>
      <c r="S533" s="95"/>
      <c r="T533" s="95"/>
      <c r="U533" s="95"/>
      <c r="V533" s="95"/>
      <c r="W533" s="95"/>
      <c r="X533" s="95"/>
      <c r="Y533" s="95"/>
      <c r="Z533" s="95"/>
      <c r="AA533" s="95"/>
    </row>
    <row r="534">
      <c r="A534" s="95" t="s">
        <v>5116</v>
      </c>
      <c r="B534" s="95"/>
      <c r="C534" s="95"/>
      <c r="D534" s="95"/>
      <c r="E534" s="95"/>
      <c r="F534" s="95"/>
      <c r="G534" s="95"/>
      <c r="H534" s="95"/>
      <c r="I534" s="95"/>
      <c r="J534" s="95"/>
      <c r="K534" s="95"/>
      <c r="L534" s="95"/>
      <c r="M534" s="95"/>
      <c r="N534" s="95"/>
      <c r="O534" s="95"/>
      <c r="P534" s="95"/>
      <c r="Q534" s="95"/>
      <c r="R534" s="95"/>
      <c r="S534" s="95"/>
      <c r="T534" s="95"/>
      <c r="U534" s="95"/>
      <c r="V534" s="95"/>
      <c r="W534" s="95"/>
      <c r="X534" s="95"/>
      <c r="Y534" s="95"/>
      <c r="Z534" s="95"/>
      <c r="AA534" s="95"/>
    </row>
    <row r="535">
      <c r="A535" s="95" t="s">
        <v>5116</v>
      </c>
      <c r="B535" s="95"/>
      <c r="C535" s="95"/>
      <c r="D535" s="95"/>
      <c r="E535" s="95"/>
      <c r="F535" s="95"/>
      <c r="G535" s="95"/>
      <c r="H535" s="95"/>
      <c r="I535" s="95"/>
      <c r="J535" s="95"/>
      <c r="K535" s="95"/>
      <c r="L535" s="95"/>
      <c r="M535" s="95"/>
      <c r="N535" s="95"/>
      <c r="O535" s="95"/>
      <c r="P535" s="95"/>
      <c r="Q535" s="95"/>
      <c r="R535" s="95"/>
      <c r="S535" s="95"/>
      <c r="T535" s="95"/>
      <c r="U535" s="95"/>
      <c r="V535" s="95"/>
      <c r="W535" s="95"/>
      <c r="X535" s="95"/>
      <c r="Y535" s="95"/>
      <c r="Z535" s="95"/>
      <c r="AA535" s="95"/>
    </row>
    <row r="536">
      <c r="A536" s="95" t="s">
        <v>5116</v>
      </c>
      <c r="B536" s="95"/>
      <c r="C536" s="95"/>
      <c r="D536" s="95"/>
      <c r="E536" s="95"/>
      <c r="F536" s="95"/>
      <c r="G536" s="95"/>
      <c r="H536" s="95"/>
      <c r="I536" s="95"/>
      <c r="J536" s="95"/>
      <c r="K536" s="95"/>
      <c r="L536" s="95"/>
      <c r="M536" s="95"/>
      <c r="N536" s="95"/>
      <c r="O536" s="95"/>
      <c r="P536" s="95"/>
      <c r="Q536" s="95"/>
      <c r="R536" s="95"/>
      <c r="S536" s="95"/>
      <c r="T536" s="95"/>
      <c r="U536" s="95"/>
      <c r="V536" s="95"/>
      <c r="W536" s="95"/>
      <c r="X536" s="95"/>
      <c r="Y536" s="95"/>
      <c r="Z536" s="95"/>
      <c r="AA536" s="95"/>
    </row>
    <row r="537">
      <c r="A537" s="95" t="s">
        <v>5116</v>
      </c>
      <c r="B537" s="95"/>
      <c r="C537" s="95"/>
      <c r="D537" s="95"/>
      <c r="E537" s="95"/>
      <c r="F537" s="95"/>
      <c r="G537" s="95"/>
      <c r="H537" s="95"/>
      <c r="I537" s="95"/>
      <c r="J537" s="95"/>
      <c r="K537" s="95"/>
      <c r="L537" s="95"/>
      <c r="M537" s="95"/>
      <c r="N537" s="95"/>
      <c r="O537" s="95"/>
      <c r="P537" s="95"/>
      <c r="Q537" s="95"/>
      <c r="R537" s="95"/>
      <c r="S537" s="95"/>
      <c r="T537" s="95"/>
      <c r="U537" s="95"/>
      <c r="V537" s="95"/>
      <c r="W537" s="95"/>
      <c r="X537" s="95"/>
      <c r="Y537" s="95"/>
      <c r="Z537" s="95"/>
      <c r="AA537" s="95"/>
    </row>
    <row r="538">
      <c r="A538" s="95" t="s">
        <v>5116</v>
      </c>
      <c r="B538" s="95"/>
      <c r="C538" s="95"/>
      <c r="D538" s="95"/>
      <c r="E538" s="95"/>
      <c r="F538" s="95"/>
      <c r="G538" s="95"/>
      <c r="H538" s="95"/>
      <c r="I538" s="95"/>
      <c r="J538" s="95"/>
      <c r="K538" s="95"/>
      <c r="L538" s="95"/>
      <c r="M538" s="95"/>
      <c r="N538" s="95"/>
      <c r="O538" s="95"/>
      <c r="P538" s="95"/>
      <c r="Q538" s="95"/>
      <c r="R538" s="95"/>
      <c r="S538" s="95"/>
      <c r="T538" s="95"/>
      <c r="U538" s="95"/>
      <c r="V538" s="95"/>
      <c r="W538" s="95"/>
      <c r="X538" s="95"/>
      <c r="Y538" s="95"/>
      <c r="Z538" s="95"/>
      <c r="AA538" s="95"/>
    </row>
    <row r="539">
      <c r="A539" s="95" t="s">
        <v>5116</v>
      </c>
      <c r="B539" s="95"/>
      <c r="C539" s="95"/>
      <c r="D539" s="95"/>
      <c r="E539" s="95"/>
      <c r="F539" s="95"/>
      <c r="G539" s="95"/>
      <c r="H539" s="95"/>
      <c r="I539" s="95"/>
      <c r="J539" s="95"/>
      <c r="K539" s="95"/>
      <c r="L539" s="95"/>
      <c r="M539" s="95"/>
      <c r="N539" s="95"/>
      <c r="O539" s="95"/>
      <c r="P539" s="95"/>
      <c r="Q539" s="95"/>
      <c r="R539" s="95"/>
      <c r="S539" s="95"/>
      <c r="T539" s="95"/>
      <c r="U539" s="95"/>
      <c r="V539" s="95"/>
      <c r="W539" s="95"/>
      <c r="X539" s="95"/>
      <c r="Y539" s="95"/>
      <c r="Z539" s="95"/>
      <c r="AA539" s="95"/>
    </row>
    <row r="540">
      <c r="A540" s="95" t="s">
        <v>5116</v>
      </c>
      <c r="B540" s="95"/>
      <c r="C540" s="95"/>
      <c r="D540" s="95"/>
      <c r="E540" s="95"/>
      <c r="F540" s="95"/>
      <c r="G540" s="95"/>
      <c r="H540" s="95"/>
      <c r="I540" s="95"/>
      <c r="J540" s="95"/>
      <c r="K540" s="95"/>
      <c r="L540" s="95"/>
      <c r="M540" s="95"/>
      <c r="N540" s="95"/>
      <c r="O540" s="95"/>
      <c r="P540" s="95"/>
      <c r="Q540" s="95"/>
      <c r="R540" s="95"/>
      <c r="S540" s="95"/>
      <c r="T540" s="95"/>
      <c r="U540" s="95"/>
      <c r="V540" s="95"/>
      <c r="W540" s="95"/>
      <c r="X540" s="95"/>
      <c r="Y540" s="95"/>
      <c r="Z540" s="95"/>
      <c r="AA540" s="95"/>
    </row>
    <row r="541">
      <c r="A541" s="95" t="s">
        <v>5116</v>
      </c>
      <c r="B541" s="95"/>
      <c r="C541" s="95"/>
      <c r="D541" s="95"/>
      <c r="E541" s="95"/>
      <c r="F541" s="95"/>
      <c r="G541" s="95"/>
      <c r="H541" s="95"/>
      <c r="I541" s="95"/>
      <c r="J541" s="95"/>
      <c r="K541" s="95"/>
      <c r="L541" s="95"/>
      <c r="M541" s="95"/>
      <c r="N541" s="95"/>
      <c r="O541" s="95"/>
      <c r="P541" s="95"/>
      <c r="Q541" s="95"/>
      <c r="R541" s="95"/>
      <c r="S541" s="95"/>
      <c r="T541" s="95"/>
      <c r="U541" s="95"/>
      <c r="V541" s="95"/>
      <c r="W541" s="95"/>
      <c r="X541" s="95"/>
      <c r="Y541" s="95"/>
      <c r="Z541" s="95"/>
      <c r="AA541" s="95"/>
    </row>
    <row r="542">
      <c r="A542" s="95" t="s">
        <v>5116</v>
      </c>
      <c r="B542" s="95"/>
      <c r="C542" s="95"/>
      <c r="D542" s="95"/>
      <c r="E542" s="95"/>
      <c r="F542" s="95"/>
      <c r="G542" s="95"/>
      <c r="H542" s="95"/>
      <c r="I542" s="95"/>
      <c r="J542" s="95"/>
      <c r="K542" s="95"/>
      <c r="L542" s="95"/>
      <c r="M542" s="95"/>
      <c r="N542" s="95"/>
      <c r="O542" s="95"/>
      <c r="P542" s="95"/>
      <c r="Q542" s="95"/>
      <c r="R542" s="95"/>
      <c r="S542" s="95"/>
      <c r="T542" s="95"/>
      <c r="U542" s="95"/>
      <c r="V542" s="95"/>
      <c r="W542" s="95"/>
      <c r="X542" s="95"/>
      <c r="Y542" s="95"/>
      <c r="Z542" s="95"/>
      <c r="AA542" s="95"/>
    </row>
    <row r="543">
      <c r="A543" s="95" t="s">
        <v>5116</v>
      </c>
      <c r="B543" s="95"/>
      <c r="C543" s="95"/>
      <c r="D543" s="95"/>
      <c r="E543" s="95"/>
      <c r="F543" s="95"/>
      <c r="G543" s="95"/>
      <c r="H543" s="95"/>
      <c r="I543" s="95"/>
      <c r="J543" s="95"/>
      <c r="K543" s="95"/>
      <c r="L543" s="95"/>
      <c r="M543" s="95"/>
      <c r="N543" s="95"/>
      <c r="O543" s="95"/>
      <c r="P543" s="95"/>
      <c r="Q543" s="95"/>
      <c r="R543" s="95"/>
      <c r="S543" s="95"/>
      <c r="T543" s="95"/>
      <c r="U543" s="95"/>
      <c r="V543" s="95"/>
      <c r="W543" s="95"/>
      <c r="X543" s="95"/>
      <c r="Y543" s="95"/>
      <c r="Z543" s="95"/>
      <c r="AA543" s="95"/>
    </row>
    <row r="544">
      <c r="A544" s="95" t="s">
        <v>5116</v>
      </c>
      <c r="B544" s="95"/>
      <c r="C544" s="95"/>
      <c r="D544" s="95"/>
      <c r="E544" s="95"/>
      <c r="F544" s="95"/>
      <c r="G544" s="95"/>
      <c r="H544" s="95"/>
      <c r="I544" s="95"/>
      <c r="J544" s="95"/>
      <c r="K544" s="95"/>
      <c r="L544" s="95"/>
      <c r="M544" s="95"/>
      <c r="N544" s="95"/>
      <c r="O544" s="95"/>
      <c r="P544" s="95"/>
      <c r="Q544" s="95"/>
      <c r="R544" s="95"/>
      <c r="S544" s="95"/>
      <c r="T544" s="95"/>
      <c r="U544" s="95"/>
      <c r="V544" s="95"/>
      <c r="W544" s="95"/>
      <c r="X544" s="95"/>
      <c r="Y544" s="95"/>
      <c r="Z544" s="95"/>
      <c r="AA544" s="95"/>
    </row>
    <row r="545">
      <c r="A545" s="95" t="s">
        <v>5116</v>
      </c>
      <c r="B545" s="95"/>
      <c r="C545" s="95"/>
      <c r="D545" s="95"/>
      <c r="E545" s="95"/>
      <c r="F545" s="95"/>
      <c r="G545" s="95"/>
      <c r="H545" s="95"/>
      <c r="I545" s="95"/>
      <c r="J545" s="95"/>
      <c r="K545" s="95"/>
      <c r="L545" s="95"/>
      <c r="M545" s="95"/>
      <c r="N545" s="95"/>
      <c r="O545" s="95"/>
      <c r="P545" s="95"/>
      <c r="Q545" s="95"/>
      <c r="R545" s="95"/>
      <c r="S545" s="95"/>
      <c r="T545" s="95"/>
      <c r="U545" s="95"/>
      <c r="V545" s="95"/>
      <c r="W545" s="95"/>
      <c r="X545" s="95"/>
      <c r="Y545" s="95"/>
      <c r="Z545" s="95"/>
      <c r="AA545" s="95"/>
    </row>
    <row r="546">
      <c r="A546" s="95" t="s">
        <v>5116</v>
      </c>
      <c r="B546" s="95"/>
      <c r="C546" s="95"/>
      <c r="D546" s="95"/>
      <c r="E546" s="95"/>
      <c r="F546" s="95"/>
      <c r="G546" s="95"/>
      <c r="H546" s="95"/>
      <c r="I546" s="95"/>
      <c r="J546" s="95"/>
      <c r="K546" s="95"/>
      <c r="L546" s="95"/>
      <c r="M546" s="95"/>
      <c r="N546" s="95"/>
      <c r="O546" s="95"/>
      <c r="P546" s="95"/>
      <c r="Q546" s="95"/>
      <c r="R546" s="95"/>
      <c r="S546" s="95"/>
      <c r="T546" s="95"/>
      <c r="U546" s="95"/>
      <c r="V546" s="95"/>
      <c r="W546" s="95"/>
      <c r="X546" s="95"/>
      <c r="Y546" s="95"/>
      <c r="Z546" s="95"/>
      <c r="AA546" s="95"/>
    </row>
    <row r="547">
      <c r="A547" s="95" t="s">
        <v>5116</v>
      </c>
      <c r="B547" s="95"/>
      <c r="C547" s="95"/>
      <c r="D547" s="95"/>
      <c r="E547" s="95"/>
      <c r="F547" s="95"/>
      <c r="G547" s="95"/>
      <c r="H547" s="95"/>
      <c r="I547" s="95"/>
      <c r="J547" s="95"/>
      <c r="K547" s="95"/>
      <c r="L547" s="95"/>
      <c r="M547" s="95"/>
      <c r="N547" s="95"/>
      <c r="O547" s="95"/>
      <c r="P547" s="95"/>
      <c r="Q547" s="95"/>
      <c r="R547" s="95"/>
      <c r="S547" s="95"/>
      <c r="T547" s="95"/>
      <c r="U547" s="95"/>
      <c r="V547" s="95"/>
      <c r="W547" s="95"/>
      <c r="X547" s="95"/>
      <c r="Y547" s="95"/>
      <c r="Z547" s="95"/>
      <c r="AA547" s="95"/>
    </row>
    <row r="548">
      <c r="A548" s="95" t="s">
        <v>5116</v>
      </c>
      <c r="B548" s="95"/>
      <c r="C548" s="95"/>
      <c r="D548" s="95"/>
      <c r="E548" s="95"/>
      <c r="F548" s="95"/>
      <c r="G548" s="95"/>
      <c r="H548" s="95"/>
      <c r="I548" s="95"/>
      <c r="J548" s="95"/>
      <c r="K548" s="95"/>
      <c r="L548" s="95"/>
      <c r="M548" s="95"/>
      <c r="N548" s="95"/>
      <c r="O548" s="95"/>
      <c r="P548" s="95"/>
      <c r="Q548" s="95"/>
      <c r="R548" s="95"/>
      <c r="S548" s="95"/>
      <c r="T548" s="95"/>
      <c r="U548" s="95"/>
      <c r="V548" s="95"/>
      <c r="W548" s="95"/>
      <c r="X548" s="95"/>
      <c r="Y548" s="95"/>
      <c r="Z548" s="95"/>
      <c r="AA548" s="95"/>
    </row>
    <row r="549">
      <c r="A549" s="95" t="s">
        <v>5116</v>
      </c>
      <c r="B549" s="95"/>
      <c r="C549" s="95"/>
      <c r="D549" s="95"/>
      <c r="E549" s="95"/>
      <c r="F549" s="95"/>
      <c r="G549" s="95"/>
      <c r="H549" s="95"/>
      <c r="I549" s="95"/>
      <c r="J549" s="95"/>
      <c r="K549" s="95"/>
      <c r="L549" s="95"/>
      <c r="M549" s="95"/>
      <c r="N549" s="95"/>
      <c r="O549" s="95"/>
      <c r="P549" s="95"/>
      <c r="Q549" s="95"/>
      <c r="R549" s="95"/>
      <c r="S549" s="95"/>
      <c r="T549" s="95"/>
      <c r="U549" s="95"/>
      <c r="V549" s="95"/>
      <c r="W549" s="95"/>
      <c r="X549" s="95"/>
      <c r="Y549" s="95"/>
      <c r="Z549" s="95"/>
      <c r="AA549" s="95"/>
    </row>
    <row r="550">
      <c r="A550" s="95" t="s">
        <v>5116</v>
      </c>
      <c r="B550" s="95"/>
      <c r="C550" s="95"/>
      <c r="D550" s="95"/>
      <c r="E550" s="95"/>
      <c r="F550" s="95"/>
      <c r="G550" s="95"/>
      <c r="H550" s="95"/>
      <c r="I550" s="95"/>
      <c r="J550" s="95"/>
      <c r="K550" s="95"/>
      <c r="L550" s="95"/>
      <c r="M550" s="95"/>
      <c r="N550" s="95"/>
      <c r="O550" s="95"/>
      <c r="P550" s="95"/>
      <c r="Q550" s="95"/>
      <c r="R550" s="95"/>
      <c r="S550" s="95"/>
      <c r="T550" s="95"/>
      <c r="U550" s="95"/>
      <c r="V550" s="95"/>
      <c r="W550" s="95"/>
      <c r="X550" s="95"/>
      <c r="Y550" s="95"/>
      <c r="Z550" s="95"/>
      <c r="AA550" s="95"/>
    </row>
    <row r="551">
      <c r="A551" s="95" t="s">
        <v>5116</v>
      </c>
      <c r="B551" s="95"/>
      <c r="C551" s="95"/>
      <c r="D551" s="95"/>
      <c r="E551" s="95"/>
      <c r="F551" s="95"/>
      <c r="G551" s="95"/>
      <c r="H551" s="95"/>
      <c r="I551" s="95"/>
      <c r="J551" s="95"/>
      <c r="K551" s="95"/>
      <c r="L551" s="95"/>
      <c r="M551" s="95"/>
      <c r="N551" s="95"/>
      <c r="O551" s="95"/>
      <c r="P551" s="95"/>
      <c r="Q551" s="95"/>
      <c r="R551" s="95"/>
      <c r="S551" s="95"/>
      <c r="T551" s="95"/>
      <c r="U551" s="95"/>
      <c r="V551" s="95"/>
      <c r="W551" s="95"/>
      <c r="X551" s="95"/>
      <c r="Y551" s="95"/>
      <c r="Z551" s="95"/>
      <c r="AA551" s="95"/>
    </row>
    <row r="552">
      <c r="A552" s="95" t="s">
        <v>5116</v>
      </c>
      <c r="B552" s="95"/>
      <c r="C552" s="95"/>
      <c r="D552" s="95"/>
      <c r="E552" s="95"/>
      <c r="F552" s="95"/>
      <c r="G552" s="95"/>
      <c r="H552" s="95"/>
      <c r="I552" s="95"/>
      <c r="J552" s="95"/>
      <c r="K552" s="95"/>
      <c r="L552" s="95"/>
      <c r="M552" s="95"/>
      <c r="N552" s="95"/>
      <c r="O552" s="95"/>
      <c r="P552" s="95"/>
      <c r="Q552" s="95"/>
      <c r="R552" s="95"/>
      <c r="S552" s="95"/>
      <c r="T552" s="95"/>
      <c r="U552" s="95"/>
      <c r="V552" s="95"/>
      <c r="W552" s="95"/>
      <c r="X552" s="95"/>
      <c r="Y552" s="95"/>
      <c r="Z552" s="95"/>
      <c r="AA552" s="95"/>
    </row>
    <row r="553">
      <c r="A553" s="95" t="s">
        <v>5116</v>
      </c>
      <c r="B553" s="95"/>
      <c r="C553" s="95"/>
      <c r="D553" s="95"/>
      <c r="E553" s="95"/>
      <c r="F553" s="95"/>
      <c r="G553" s="95"/>
      <c r="H553" s="95"/>
      <c r="I553" s="95"/>
      <c r="J553" s="95"/>
      <c r="K553" s="95"/>
      <c r="L553" s="95"/>
      <c r="M553" s="95"/>
      <c r="N553" s="95"/>
      <c r="O553" s="95"/>
      <c r="P553" s="95"/>
      <c r="Q553" s="95"/>
      <c r="R553" s="95"/>
      <c r="S553" s="95"/>
      <c r="T553" s="95"/>
      <c r="U553" s="95"/>
      <c r="V553" s="95"/>
      <c r="W553" s="95"/>
      <c r="X553" s="95"/>
      <c r="Y553" s="95"/>
      <c r="Z553" s="95"/>
      <c r="AA553" s="95"/>
    </row>
    <row r="554">
      <c r="A554" s="95" t="s">
        <v>5116</v>
      </c>
      <c r="B554" s="95"/>
      <c r="C554" s="95"/>
      <c r="D554" s="95"/>
      <c r="E554" s="95"/>
      <c r="F554" s="95"/>
      <c r="G554" s="95"/>
      <c r="H554" s="95"/>
      <c r="I554" s="95"/>
      <c r="J554" s="95"/>
      <c r="K554" s="95"/>
      <c r="L554" s="95"/>
      <c r="M554" s="95"/>
      <c r="N554" s="95"/>
      <c r="O554" s="95"/>
      <c r="P554" s="95"/>
      <c r="Q554" s="95"/>
      <c r="R554" s="95"/>
      <c r="S554" s="95"/>
      <c r="T554" s="95"/>
      <c r="U554" s="95"/>
      <c r="V554" s="95"/>
      <c r="W554" s="95"/>
      <c r="X554" s="95"/>
      <c r="Y554" s="95"/>
      <c r="Z554" s="95"/>
      <c r="AA554" s="95"/>
    </row>
    <row r="555">
      <c r="A555" s="95" t="s">
        <v>5116</v>
      </c>
      <c r="B555" s="95"/>
      <c r="C555" s="95"/>
      <c r="D555" s="95"/>
      <c r="E555" s="95"/>
      <c r="F555" s="95"/>
      <c r="G555" s="95"/>
      <c r="H555" s="95"/>
      <c r="I555" s="95"/>
      <c r="J555" s="95"/>
      <c r="K555" s="95"/>
      <c r="L555" s="95"/>
      <c r="M555" s="95"/>
      <c r="N555" s="95"/>
      <c r="O555" s="95"/>
      <c r="P555" s="95"/>
      <c r="Q555" s="95"/>
      <c r="R555" s="95"/>
      <c r="S555" s="95"/>
      <c r="T555" s="95"/>
      <c r="U555" s="95"/>
      <c r="V555" s="95"/>
      <c r="W555" s="95"/>
      <c r="X555" s="95"/>
      <c r="Y555" s="95"/>
      <c r="Z555" s="95"/>
      <c r="AA555" s="95"/>
    </row>
    <row r="556">
      <c r="A556" s="95" t="s">
        <v>5116</v>
      </c>
      <c r="B556" s="95"/>
      <c r="C556" s="95"/>
      <c r="D556" s="95"/>
      <c r="E556" s="95"/>
      <c r="F556" s="95"/>
      <c r="G556" s="95"/>
      <c r="H556" s="95"/>
      <c r="I556" s="95"/>
      <c r="J556" s="95"/>
      <c r="K556" s="95"/>
      <c r="L556" s="95"/>
      <c r="M556" s="95"/>
      <c r="N556" s="95"/>
      <c r="O556" s="95"/>
      <c r="P556" s="95"/>
      <c r="Q556" s="95"/>
      <c r="R556" s="95"/>
      <c r="S556" s="95"/>
      <c r="T556" s="95"/>
      <c r="U556" s="95"/>
      <c r="V556" s="95"/>
      <c r="W556" s="95"/>
      <c r="X556" s="95"/>
      <c r="Y556" s="95"/>
      <c r="Z556" s="95"/>
      <c r="AA556" s="95"/>
    </row>
    <row r="557">
      <c r="A557" s="95" t="s">
        <v>5116</v>
      </c>
      <c r="B557" s="95"/>
      <c r="C557" s="95"/>
      <c r="D557" s="95"/>
      <c r="E557" s="95"/>
      <c r="F557" s="95"/>
      <c r="G557" s="95"/>
      <c r="H557" s="95"/>
      <c r="I557" s="95"/>
      <c r="J557" s="95"/>
      <c r="K557" s="95"/>
      <c r="L557" s="95"/>
      <c r="M557" s="95"/>
      <c r="N557" s="95"/>
      <c r="O557" s="95"/>
      <c r="P557" s="95"/>
      <c r="Q557" s="95"/>
      <c r="R557" s="95"/>
      <c r="S557" s="95"/>
      <c r="T557" s="95"/>
      <c r="U557" s="95"/>
      <c r="V557" s="95"/>
      <c r="W557" s="95"/>
      <c r="X557" s="95"/>
      <c r="Y557" s="95"/>
      <c r="Z557" s="95"/>
      <c r="AA557" s="95"/>
    </row>
    <row r="558">
      <c r="A558" s="95" t="s">
        <v>5116</v>
      </c>
      <c r="B558" s="95"/>
      <c r="C558" s="95"/>
      <c r="D558" s="95"/>
      <c r="E558" s="95"/>
      <c r="F558" s="95"/>
      <c r="G558" s="95"/>
      <c r="H558" s="95"/>
      <c r="I558" s="95"/>
      <c r="J558" s="95"/>
      <c r="K558" s="95"/>
      <c r="L558" s="95"/>
      <c r="M558" s="95"/>
      <c r="N558" s="95"/>
      <c r="O558" s="95"/>
      <c r="P558" s="95"/>
      <c r="Q558" s="95"/>
      <c r="R558" s="95"/>
      <c r="S558" s="95"/>
      <c r="T558" s="95"/>
      <c r="U558" s="95"/>
      <c r="V558" s="95"/>
      <c r="W558" s="95"/>
      <c r="X558" s="95"/>
      <c r="Y558" s="95"/>
      <c r="Z558" s="95"/>
      <c r="AA558" s="95"/>
    </row>
    <row r="559">
      <c r="A559" s="95" t="s">
        <v>5116</v>
      </c>
      <c r="B559" s="95"/>
      <c r="C559" s="95"/>
      <c r="D559" s="95"/>
      <c r="E559" s="95"/>
      <c r="F559" s="95"/>
      <c r="G559" s="95"/>
      <c r="H559" s="95"/>
      <c r="I559" s="95"/>
      <c r="J559" s="95"/>
      <c r="K559" s="95"/>
      <c r="L559" s="95"/>
      <c r="M559" s="95"/>
      <c r="N559" s="95"/>
      <c r="O559" s="95"/>
      <c r="P559" s="95"/>
      <c r="Q559" s="95"/>
      <c r="R559" s="95"/>
      <c r="S559" s="95"/>
      <c r="T559" s="95"/>
      <c r="U559" s="95"/>
      <c r="V559" s="95"/>
      <c r="W559" s="95"/>
      <c r="X559" s="95"/>
      <c r="Y559" s="95"/>
      <c r="Z559" s="95"/>
      <c r="AA559" s="95"/>
    </row>
    <row r="560">
      <c r="A560" s="95" t="s">
        <v>5116</v>
      </c>
      <c r="B560" s="95"/>
      <c r="C560" s="95"/>
      <c r="D560" s="95"/>
      <c r="E560" s="95"/>
      <c r="F560" s="95"/>
      <c r="G560" s="95"/>
      <c r="H560" s="95"/>
      <c r="I560" s="95"/>
      <c r="J560" s="95"/>
      <c r="K560" s="95"/>
      <c r="L560" s="95"/>
      <c r="M560" s="95"/>
      <c r="N560" s="95"/>
      <c r="O560" s="95"/>
      <c r="P560" s="95"/>
      <c r="Q560" s="95"/>
      <c r="R560" s="95"/>
      <c r="S560" s="95"/>
      <c r="T560" s="95"/>
      <c r="U560" s="95"/>
      <c r="V560" s="95"/>
      <c r="W560" s="95"/>
      <c r="X560" s="95"/>
      <c r="Y560" s="95"/>
      <c r="Z560" s="95"/>
      <c r="AA560" s="95"/>
    </row>
    <row r="561">
      <c r="A561" s="95" t="s">
        <v>5116</v>
      </c>
      <c r="B561" s="95"/>
      <c r="C561" s="95"/>
      <c r="D561" s="95"/>
      <c r="E561" s="95"/>
      <c r="F561" s="95"/>
      <c r="G561" s="95"/>
      <c r="H561" s="95"/>
      <c r="I561" s="95"/>
      <c r="J561" s="95"/>
      <c r="K561" s="95"/>
      <c r="L561" s="95"/>
      <c r="M561" s="95"/>
      <c r="N561" s="95"/>
      <c r="O561" s="95"/>
      <c r="P561" s="95"/>
      <c r="Q561" s="95"/>
      <c r="R561" s="95"/>
      <c r="S561" s="95"/>
      <c r="T561" s="95"/>
      <c r="U561" s="95"/>
      <c r="V561" s="95"/>
      <c r="W561" s="95"/>
      <c r="X561" s="95"/>
      <c r="Y561" s="95"/>
      <c r="Z561" s="95"/>
      <c r="AA561" s="95"/>
    </row>
    <row r="562">
      <c r="A562" s="95" t="s">
        <v>5116</v>
      </c>
      <c r="B562" s="95"/>
      <c r="C562" s="95"/>
      <c r="D562" s="95"/>
      <c r="E562" s="95"/>
      <c r="F562" s="95"/>
      <c r="G562" s="95"/>
      <c r="H562" s="95"/>
      <c r="I562" s="95"/>
      <c r="J562" s="95"/>
      <c r="K562" s="95"/>
      <c r="L562" s="95"/>
      <c r="M562" s="95"/>
      <c r="N562" s="95"/>
      <c r="O562" s="95"/>
      <c r="P562" s="95"/>
      <c r="Q562" s="95"/>
      <c r="R562" s="95"/>
      <c r="S562" s="95"/>
      <c r="T562" s="95"/>
      <c r="U562" s="95"/>
      <c r="V562" s="95"/>
      <c r="W562" s="95"/>
      <c r="X562" s="95"/>
      <c r="Y562" s="95"/>
      <c r="Z562" s="95"/>
      <c r="AA562" s="95"/>
    </row>
    <row r="563">
      <c r="A563" s="95" t="s">
        <v>5116</v>
      </c>
      <c r="B563" s="95"/>
      <c r="C563" s="95"/>
      <c r="D563" s="95"/>
      <c r="E563" s="95"/>
      <c r="F563" s="95"/>
      <c r="G563" s="95"/>
      <c r="H563" s="95"/>
      <c r="I563" s="95"/>
      <c r="J563" s="95"/>
      <c r="K563" s="95"/>
      <c r="L563" s="95"/>
      <c r="M563" s="95"/>
      <c r="N563" s="95"/>
      <c r="O563" s="95"/>
      <c r="P563" s="95"/>
      <c r="Q563" s="95"/>
      <c r="R563" s="95"/>
      <c r="S563" s="95"/>
      <c r="T563" s="95"/>
      <c r="U563" s="95"/>
      <c r="V563" s="95"/>
      <c r="W563" s="95"/>
      <c r="X563" s="95"/>
      <c r="Y563" s="95"/>
      <c r="Z563" s="95"/>
      <c r="AA563" s="95"/>
    </row>
    <row r="564">
      <c r="A564" s="95" t="s">
        <v>5116</v>
      </c>
      <c r="B564" s="95"/>
      <c r="C564" s="95"/>
      <c r="D564" s="95"/>
      <c r="E564" s="95"/>
      <c r="F564" s="95"/>
      <c r="G564" s="95"/>
      <c r="H564" s="95"/>
      <c r="I564" s="95"/>
      <c r="J564" s="95"/>
      <c r="K564" s="95"/>
      <c r="L564" s="95"/>
      <c r="M564" s="95"/>
      <c r="N564" s="95"/>
      <c r="O564" s="95"/>
      <c r="P564" s="95"/>
      <c r="Q564" s="95"/>
      <c r="R564" s="95"/>
      <c r="S564" s="95"/>
      <c r="T564" s="95"/>
      <c r="U564" s="95"/>
      <c r="V564" s="95"/>
      <c r="W564" s="95"/>
      <c r="X564" s="95"/>
      <c r="Y564" s="95"/>
      <c r="Z564" s="95"/>
      <c r="AA564" s="95"/>
    </row>
    <row r="565">
      <c r="A565" s="95" t="s">
        <v>5116</v>
      </c>
      <c r="B565" s="95"/>
      <c r="C565" s="95"/>
      <c r="D565" s="95"/>
      <c r="E565" s="95"/>
      <c r="F565" s="95"/>
      <c r="G565" s="95"/>
      <c r="H565" s="95"/>
      <c r="I565" s="95"/>
      <c r="J565" s="95"/>
      <c r="K565" s="95"/>
      <c r="L565" s="95"/>
      <c r="M565" s="95"/>
      <c r="N565" s="95"/>
      <c r="O565" s="95"/>
      <c r="P565" s="95"/>
      <c r="Q565" s="95"/>
      <c r="R565" s="95"/>
      <c r="S565" s="95"/>
      <c r="T565" s="95"/>
      <c r="U565" s="95"/>
      <c r="V565" s="95"/>
      <c r="W565" s="95"/>
      <c r="X565" s="95"/>
      <c r="Y565" s="95"/>
      <c r="Z565" s="95"/>
      <c r="AA565" s="95"/>
    </row>
    <row r="566">
      <c r="A566" s="95" t="s">
        <v>5116</v>
      </c>
      <c r="B566" s="95"/>
      <c r="C566" s="95"/>
      <c r="D566" s="95"/>
      <c r="E566" s="95"/>
      <c r="F566" s="95"/>
      <c r="G566" s="95"/>
      <c r="H566" s="95"/>
      <c r="I566" s="95"/>
      <c r="J566" s="95"/>
      <c r="K566" s="95"/>
      <c r="L566" s="95"/>
      <c r="M566" s="95"/>
      <c r="N566" s="95"/>
      <c r="O566" s="95"/>
      <c r="P566" s="95"/>
      <c r="Q566" s="95"/>
      <c r="R566" s="95"/>
      <c r="S566" s="95"/>
      <c r="T566" s="95"/>
      <c r="U566" s="95"/>
      <c r="V566" s="95"/>
      <c r="W566" s="95"/>
      <c r="X566" s="95"/>
      <c r="Y566" s="95"/>
      <c r="Z566" s="95"/>
      <c r="AA566" s="95"/>
    </row>
    <row r="567">
      <c r="A567" s="95" t="s">
        <v>5116</v>
      </c>
      <c r="B567" s="95"/>
      <c r="C567" s="95"/>
      <c r="D567" s="95"/>
      <c r="E567" s="95"/>
      <c r="F567" s="95"/>
      <c r="G567" s="95"/>
      <c r="H567" s="95"/>
      <c r="I567" s="95"/>
      <c r="J567" s="95"/>
      <c r="K567" s="95"/>
      <c r="L567" s="95"/>
      <c r="M567" s="95"/>
      <c r="N567" s="95"/>
      <c r="O567" s="95"/>
      <c r="P567" s="95"/>
      <c r="Q567" s="95"/>
      <c r="R567" s="95"/>
      <c r="S567" s="95"/>
      <c r="T567" s="95"/>
      <c r="U567" s="95"/>
      <c r="V567" s="95"/>
      <c r="W567" s="95"/>
      <c r="X567" s="95"/>
      <c r="Y567" s="95"/>
      <c r="Z567" s="95"/>
      <c r="AA567" s="95"/>
    </row>
    <row r="568">
      <c r="A568" s="95" t="s">
        <v>5116</v>
      </c>
      <c r="B568" s="95"/>
      <c r="C568" s="95"/>
      <c r="D568" s="95"/>
      <c r="E568" s="95"/>
      <c r="F568" s="95"/>
      <c r="G568" s="95"/>
      <c r="H568" s="95"/>
      <c r="I568" s="95"/>
      <c r="J568" s="95"/>
      <c r="K568" s="95"/>
      <c r="L568" s="95"/>
      <c r="M568" s="95"/>
      <c r="N568" s="95"/>
      <c r="O568" s="95"/>
      <c r="P568" s="95"/>
      <c r="Q568" s="95"/>
      <c r="R568" s="95"/>
      <c r="S568" s="95"/>
      <c r="T568" s="95"/>
      <c r="U568" s="95"/>
      <c r="V568" s="95"/>
      <c r="W568" s="95"/>
      <c r="X568" s="95"/>
      <c r="Y568" s="95"/>
      <c r="Z568" s="95"/>
      <c r="AA568" s="95"/>
    </row>
    <row r="569">
      <c r="A569" s="95" t="s">
        <v>5116</v>
      </c>
      <c r="B569" s="95"/>
      <c r="C569" s="95"/>
      <c r="D569" s="95"/>
      <c r="E569" s="95"/>
      <c r="F569" s="95"/>
      <c r="G569" s="95"/>
      <c r="H569" s="95"/>
      <c r="I569" s="95"/>
      <c r="J569" s="95"/>
      <c r="K569" s="95"/>
      <c r="L569" s="95"/>
      <c r="M569" s="95"/>
      <c r="N569" s="95"/>
      <c r="O569" s="95"/>
      <c r="P569" s="95"/>
      <c r="Q569" s="95"/>
      <c r="R569" s="95"/>
      <c r="S569" s="95"/>
      <c r="T569" s="95"/>
      <c r="U569" s="95"/>
      <c r="V569" s="95"/>
      <c r="W569" s="95"/>
      <c r="X569" s="95"/>
      <c r="Y569" s="95"/>
      <c r="Z569" s="95"/>
      <c r="AA569" s="95"/>
    </row>
    <row r="570">
      <c r="A570" s="95" t="s">
        <v>5116</v>
      </c>
      <c r="B570" s="95"/>
      <c r="C570" s="95"/>
      <c r="D570" s="95"/>
      <c r="E570" s="95"/>
      <c r="F570" s="95"/>
      <c r="G570" s="95"/>
      <c r="H570" s="95"/>
      <c r="I570" s="95"/>
      <c r="J570" s="95"/>
      <c r="K570" s="95"/>
      <c r="L570" s="95"/>
      <c r="M570" s="95"/>
      <c r="N570" s="95"/>
      <c r="O570" s="95"/>
      <c r="P570" s="95"/>
      <c r="Q570" s="95"/>
      <c r="R570" s="95"/>
      <c r="S570" s="95"/>
      <c r="T570" s="95"/>
      <c r="U570" s="95"/>
      <c r="V570" s="95"/>
      <c r="W570" s="95"/>
      <c r="X570" s="95"/>
      <c r="Y570" s="95"/>
      <c r="Z570" s="95"/>
      <c r="AA570" s="95"/>
    </row>
    <row r="571">
      <c r="A571" s="95" t="s">
        <v>5116</v>
      </c>
      <c r="B571" s="95"/>
      <c r="C571" s="95"/>
      <c r="D571" s="95"/>
      <c r="E571" s="95"/>
      <c r="F571" s="95"/>
      <c r="G571" s="95"/>
      <c r="H571" s="95"/>
      <c r="I571" s="95"/>
      <c r="J571" s="95"/>
      <c r="K571" s="95"/>
      <c r="L571" s="95"/>
      <c r="M571" s="95"/>
      <c r="N571" s="95"/>
      <c r="O571" s="95"/>
      <c r="P571" s="95"/>
      <c r="Q571" s="95"/>
      <c r="R571" s="95"/>
      <c r="S571" s="95"/>
      <c r="T571" s="95"/>
      <c r="U571" s="95"/>
      <c r="V571" s="95"/>
      <c r="W571" s="95"/>
      <c r="X571" s="95"/>
      <c r="Y571" s="95"/>
      <c r="Z571" s="95"/>
      <c r="AA571" s="95"/>
    </row>
    <row r="572">
      <c r="A572" s="95" t="s">
        <v>5116</v>
      </c>
      <c r="B572" s="95"/>
      <c r="C572" s="95"/>
      <c r="D572" s="95"/>
      <c r="E572" s="95"/>
      <c r="F572" s="95"/>
      <c r="G572" s="95"/>
      <c r="H572" s="95"/>
      <c r="I572" s="95"/>
      <c r="J572" s="95"/>
      <c r="K572" s="95"/>
      <c r="L572" s="95"/>
      <c r="M572" s="95"/>
      <c r="N572" s="95"/>
      <c r="O572" s="95"/>
      <c r="P572" s="95"/>
      <c r="Q572" s="95"/>
      <c r="R572" s="95"/>
      <c r="S572" s="95"/>
      <c r="T572" s="95"/>
      <c r="U572" s="95"/>
      <c r="V572" s="95"/>
      <c r="W572" s="95"/>
      <c r="X572" s="95"/>
      <c r="Y572" s="95"/>
      <c r="Z572" s="95"/>
      <c r="AA572" s="95"/>
    </row>
    <row r="573">
      <c r="A573" s="95" t="s">
        <v>5116</v>
      </c>
      <c r="B573" s="95"/>
      <c r="C573" s="95"/>
      <c r="D573" s="95"/>
      <c r="E573" s="95"/>
      <c r="F573" s="95"/>
      <c r="G573" s="95"/>
      <c r="H573" s="95"/>
      <c r="I573" s="95"/>
      <c r="J573" s="95"/>
      <c r="K573" s="95"/>
      <c r="L573" s="95"/>
      <c r="M573" s="95"/>
      <c r="N573" s="95"/>
      <c r="O573" s="95"/>
      <c r="P573" s="95"/>
      <c r="Q573" s="95"/>
      <c r="R573" s="95"/>
      <c r="S573" s="95"/>
      <c r="T573" s="95"/>
      <c r="U573" s="95"/>
      <c r="V573" s="95"/>
      <c r="W573" s="95"/>
      <c r="X573" s="95"/>
      <c r="Y573" s="95"/>
      <c r="Z573" s="95"/>
      <c r="AA573" s="95"/>
    </row>
    <row r="574">
      <c r="A574" s="95" t="s">
        <v>5116</v>
      </c>
      <c r="B574" s="95"/>
      <c r="C574" s="95"/>
      <c r="D574" s="95"/>
      <c r="E574" s="95"/>
      <c r="F574" s="95"/>
      <c r="G574" s="95"/>
      <c r="H574" s="95"/>
      <c r="I574" s="95"/>
      <c r="J574" s="95"/>
      <c r="K574" s="95"/>
      <c r="L574" s="95"/>
      <c r="M574" s="95"/>
      <c r="N574" s="95"/>
      <c r="O574" s="95"/>
      <c r="P574" s="95"/>
      <c r="Q574" s="95"/>
      <c r="R574" s="95"/>
      <c r="S574" s="95"/>
      <c r="T574" s="95"/>
      <c r="U574" s="95"/>
      <c r="V574" s="95"/>
      <c r="W574" s="95"/>
      <c r="X574" s="95"/>
      <c r="Y574" s="95"/>
      <c r="Z574" s="95"/>
      <c r="AA574" s="95"/>
    </row>
    <row r="575">
      <c r="A575" s="95" t="s">
        <v>5116</v>
      </c>
      <c r="B575" s="95"/>
      <c r="C575" s="95"/>
      <c r="D575" s="95"/>
      <c r="E575" s="95"/>
      <c r="F575" s="95"/>
      <c r="G575" s="95"/>
      <c r="H575" s="95"/>
      <c r="I575" s="95"/>
      <c r="J575" s="95"/>
      <c r="K575" s="95"/>
      <c r="L575" s="95"/>
      <c r="M575" s="95"/>
      <c r="N575" s="95"/>
      <c r="O575" s="95"/>
      <c r="P575" s="95"/>
      <c r="Q575" s="95"/>
      <c r="R575" s="95"/>
      <c r="S575" s="95"/>
      <c r="T575" s="95"/>
      <c r="U575" s="95"/>
      <c r="V575" s="95"/>
      <c r="W575" s="95"/>
      <c r="X575" s="95"/>
      <c r="Y575" s="95"/>
      <c r="Z575" s="95"/>
      <c r="AA575" s="95"/>
    </row>
    <row r="576">
      <c r="A576" s="95" t="s">
        <v>5116</v>
      </c>
      <c r="B576" s="95"/>
      <c r="C576" s="95"/>
      <c r="D576" s="95"/>
      <c r="E576" s="95"/>
      <c r="F576" s="95"/>
      <c r="G576" s="95"/>
      <c r="H576" s="95"/>
      <c r="I576" s="95"/>
      <c r="J576" s="95"/>
      <c r="K576" s="95"/>
      <c r="L576" s="95"/>
      <c r="M576" s="95"/>
      <c r="N576" s="95"/>
      <c r="O576" s="95"/>
      <c r="P576" s="95"/>
      <c r="Q576" s="95"/>
      <c r="R576" s="95"/>
      <c r="S576" s="95"/>
      <c r="T576" s="95"/>
      <c r="U576" s="95"/>
      <c r="V576" s="95"/>
      <c r="W576" s="95"/>
      <c r="X576" s="95"/>
      <c r="Y576" s="95"/>
      <c r="Z576" s="95"/>
      <c r="AA576" s="95"/>
    </row>
    <row r="577">
      <c r="A577" s="95" t="s">
        <v>5116</v>
      </c>
      <c r="B577" s="95"/>
      <c r="C577" s="95"/>
      <c r="D577" s="95"/>
      <c r="E577" s="95"/>
      <c r="F577" s="95"/>
      <c r="G577" s="95"/>
      <c r="H577" s="95"/>
      <c r="I577" s="95"/>
      <c r="J577" s="95"/>
      <c r="K577" s="95"/>
      <c r="L577" s="95"/>
      <c r="M577" s="95"/>
      <c r="N577" s="95"/>
      <c r="O577" s="95"/>
      <c r="P577" s="95"/>
      <c r="Q577" s="95"/>
      <c r="R577" s="95"/>
      <c r="S577" s="95"/>
      <c r="T577" s="95"/>
      <c r="U577" s="95"/>
      <c r="V577" s="95"/>
      <c r="W577" s="95"/>
      <c r="X577" s="95"/>
      <c r="Y577" s="95"/>
      <c r="Z577" s="95"/>
      <c r="AA577" s="95"/>
    </row>
    <row r="578">
      <c r="A578" s="95" t="s">
        <v>5116</v>
      </c>
      <c r="B578" s="95"/>
      <c r="C578" s="95"/>
      <c r="D578" s="95"/>
      <c r="E578" s="95"/>
      <c r="F578" s="95"/>
      <c r="G578" s="95"/>
      <c r="H578" s="95"/>
      <c r="I578" s="95"/>
      <c r="J578" s="95"/>
      <c r="K578" s="95"/>
      <c r="L578" s="95"/>
      <c r="M578" s="95"/>
      <c r="N578" s="95"/>
      <c r="O578" s="95"/>
      <c r="P578" s="95"/>
      <c r="Q578" s="95"/>
      <c r="R578" s="95"/>
      <c r="S578" s="95"/>
      <c r="T578" s="95"/>
      <c r="U578" s="95"/>
      <c r="V578" s="95"/>
      <c r="W578" s="95"/>
      <c r="X578" s="95"/>
      <c r="Y578" s="95"/>
      <c r="Z578" s="95"/>
      <c r="AA578" s="95"/>
    </row>
    <row r="579">
      <c r="A579" s="95" t="s">
        <v>5116</v>
      </c>
      <c r="B579" s="95"/>
      <c r="C579" s="95"/>
      <c r="D579" s="95"/>
      <c r="E579" s="95"/>
      <c r="F579" s="95"/>
      <c r="G579" s="95"/>
      <c r="H579" s="95"/>
      <c r="I579" s="95"/>
      <c r="J579" s="95"/>
      <c r="K579" s="95"/>
      <c r="L579" s="95"/>
      <c r="M579" s="95"/>
      <c r="N579" s="95"/>
      <c r="O579" s="95"/>
      <c r="P579" s="95"/>
      <c r="Q579" s="95"/>
      <c r="R579" s="95"/>
      <c r="S579" s="95"/>
      <c r="T579" s="95"/>
      <c r="U579" s="95"/>
      <c r="V579" s="95"/>
      <c r="W579" s="95"/>
      <c r="X579" s="95"/>
      <c r="Y579" s="95"/>
      <c r="Z579" s="95"/>
      <c r="AA579" s="95"/>
    </row>
    <row r="580">
      <c r="A580" s="95" t="s">
        <v>5116</v>
      </c>
      <c r="B580" s="95"/>
      <c r="C580" s="95"/>
      <c r="D580" s="95"/>
      <c r="E580" s="95"/>
      <c r="F580" s="95"/>
      <c r="G580" s="95"/>
      <c r="H580" s="95"/>
      <c r="I580" s="95"/>
      <c r="J580" s="95"/>
      <c r="K580" s="95"/>
      <c r="L580" s="95"/>
      <c r="M580" s="95"/>
      <c r="N580" s="95"/>
      <c r="O580" s="95"/>
      <c r="P580" s="95"/>
      <c r="Q580" s="95"/>
      <c r="R580" s="95"/>
      <c r="S580" s="95"/>
      <c r="T580" s="95"/>
      <c r="U580" s="95"/>
      <c r="V580" s="95"/>
      <c r="W580" s="95"/>
      <c r="X580" s="95"/>
      <c r="Y580" s="95"/>
      <c r="Z580" s="95"/>
      <c r="AA580" s="95"/>
    </row>
    <row r="581">
      <c r="A581" s="95" t="s">
        <v>5116</v>
      </c>
      <c r="B581" s="95"/>
      <c r="C581" s="95"/>
      <c r="D581" s="95"/>
      <c r="E581" s="95"/>
      <c r="F581" s="95"/>
      <c r="G581" s="95"/>
      <c r="H581" s="95"/>
      <c r="I581" s="95"/>
      <c r="J581" s="95"/>
      <c r="K581" s="95"/>
      <c r="L581" s="95"/>
      <c r="M581" s="95"/>
      <c r="N581" s="95"/>
      <c r="O581" s="95"/>
      <c r="P581" s="95"/>
      <c r="Q581" s="95"/>
      <c r="R581" s="95"/>
      <c r="S581" s="95"/>
      <c r="T581" s="95"/>
      <c r="U581" s="95"/>
      <c r="V581" s="95"/>
      <c r="W581" s="95"/>
      <c r="X581" s="95"/>
      <c r="Y581" s="95"/>
      <c r="Z581" s="95"/>
      <c r="AA581" s="95"/>
    </row>
    <row r="582">
      <c r="A582" s="95" t="s">
        <v>5116</v>
      </c>
      <c r="B582" s="95"/>
      <c r="C582" s="95"/>
      <c r="D582" s="95"/>
      <c r="E582" s="95"/>
      <c r="F582" s="95"/>
      <c r="G582" s="95"/>
      <c r="H582" s="95"/>
      <c r="I582" s="95"/>
      <c r="J582" s="95"/>
      <c r="K582" s="95"/>
      <c r="L582" s="95"/>
      <c r="M582" s="95"/>
      <c r="N582" s="95"/>
      <c r="O582" s="95"/>
      <c r="P582" s="95"/>
      <c r="Q582" s="95"/>
      <c r="R582" s="95"/>
      <c r="S582" s="95"/>
      <c r="T582" s="95"/>
      <c r="U582" s="95"/>
      <c r="V582" s="95"/>
      <c r="W582" s="95"/>
      <c r="X582" s="95"/>
      <c r="Y582" s="95"/>
      <c r="Z582" s="95"/>
      <c r="AA582" s="95"/>
    </row>
    <row r="583">
      <c r="A583" s="95" t="s">
        <v>5116</v>
      </c>
      <c r="B583" s="95"/>
      <c r="C583" s="95"/>
      <c r="D583" s="95"/>
      <c r="E583" s="95"/>
      <c r="F583" s="95"/>
      <c r="G583" s="95"/>
      <c r="H583" s="95"/>
      <c r="I583" s="95"/>
      <c r="J583" s="95"/>
      <c r="K583" s="95"/>
      <c r="L583" s="95"/>
      <c r="M583" s="95"/>
      <c r="N583" s="95"/>
      <c r="O583" s="95"/>
      <c r="P583" s="95"/>
      <c r="Q583" s="95"/>
      <c r="R583" s="95"/>
      <c r="S583" s="95"/>
      <c r="T583" s="95"/>
      <c r="U583" s="95"/>
      <c r="V583" s="95"/>
      <c r="W583" s="95"/>
      <c r="X583" s="95"/>
      <c r="Y583" s="95"/>
      <c r="Z583" s="95"/>
      <c r="AA583" s="95"/>
    </row>
    <row r="584">
      <c r="A584" s="95" t="s">
        <v>5116</v>
      </c>
      <c r="B584" s="95"/>
      <c r="C584" s="95"/>
      <c r="D584" s="95"/>
      <c r="E584" s="95"/>
      <c r="F584" s="95"/>
      <c r="G584" s="95"/>
      <c r="H584" s="95"/>
      <c r="I584" s="95"/>
      <c r="J584" s="95"/>
      <c r="K584" s="95"/>
      <c r="L584" s="95"/>
      <c r="M584" s="95"/>
      <c r="N584" s="95"/>
      <c r="O584" s="95"/>
      <c r="P584" s="95"/>
      <c r="Q584" s="95"/>
      <c r="R584" s="95"/>
      <c r="S584" s="95"/>
      <c r="T584" s="95"/>
      <c r="U584" s="95"/>
      <c r="V584" s="95"/>
      <c r="W584" s="95"/>
      <c r="X584" s="95"/>
      <c r="Y584" s="95"/>
      <c r="Z584" s="95"/>
      <c r="AA584" s="95"/>
    </row>
    <row r="585">
      <c r="A585" s="95" t="s">
        <v>5116</v>
      </c>
      <c r="B585" s="95"/>
      <c r="C585" s="95"/>
      <c r="D585" s="95"/>
      <c r="E585" s="95"/>
      <c r="F585" s="95"/>
      <c r="G585" s="95"/>
      <c r="H585" s="95"/>
      <c r="I585" s="95"/>
      <c r="J585" s="95"/>
      <c r="K585" s="95"/>
      <c r="L585" s="95"/>
      <c r="M585" s="95"/>
      <c r="N585" s="95"/>
      <c r="O585" s="95"/>
      <c r="P585" s="95"/>
      <c r="Q585" s="95"/>
      <c r="R585" s="95"/>
      <c r="S585" s="95"/>
      <c r="T585" s="95"/>
      <c r="U585" s="95"/>
      <c r="V585" s="95"/>
      <c r="W585" s="95"/>
      <c r="X585" s="95"/>
      <c r="Y585" s="95"/>
      <c r="Z585" s="95"/>
      <c r="AA585" s="95"/>
    </row>
    <row r="586">
      <c r="A586" s="95" t="s">
        <v>5116</v>
      </c>
      <c r="B586" s="95"/>
      <c r="C586" s="95"/>
      <c r="D586" s="95"/>
      <c r="E586" s="95"/>
      <c r="F586" s="95"/>
      <c r="G586" s="95"/>
      <c r="H586" s="95"/>
      <c r="I586" s="95"/>
      <c r="J586" s="95"/>
      <c r="K586" s="95"/>
      <c r="L586" s="95"/>
      <c r="M586" s="95"/>
      <c r="N586" s="95"/>
      <c r="O586" s="95"/>
      <c r="P586" s="95"/>
      <c r="Q586" s="95"/>
      <c r="R586" s="95"/>
      <c r="S586" s="95"/>
      <c r="T586" s="95"/>
      <c r="U586" s="95"/>
      <c r="V586" s="95"/>
      <c r="W586" s="95"/>
      <c r="X586" s="95"/>
      <c r="Y586" s="95"/>
      <c r="Z586" s="95"/>
      <c r="AA586" s="95"/>
    </row>
    <row r="587">
      <c r="A587" s="95" t="s">
        <v>5116</v>
      </c>
      <c r="B587" s="95"/>
      <c r="C587" s="95"/>
      <c r="D587" s="95"/>
      <c r="E587" s="95"/>
      <c r="F587" s="95"/>
      <c r="G587" s="95"/>
      <c r="H587" s="95"/>
      <c r="I587" s="95"/>
      <c r="J587" s="95"/>
      <c r="K587" s="95"/>
      <c r="L587" s="95"/>
      <c r="M587" s="95"/>
      <c r="N587" s="95"/>
      <c r="O587" s="95"/>
      <c r="P587" s="95"/>
      <c r="Q587" s="95"/>
      <c r="R587" s="95"/>
      <c r="S587" s="95"/>
      <c r="T587" s="95"/>
      <c r="U587" s="95"/>
      <c r="V587" s="95"/>
      <c r="W587" s="95"/>
      <c r="X587" s="95"/>
      <c r="Y587" s="95"/>
      <c r="Z587" s="95"/>
      <c r="AA587" s="95"/>
    </row>
    <row r="588">
      <c r="A588" s="95" t="s">
        <v>5116</v>
      </c>
      <c r="B588" s="95"/>
      <c r="C588" s="95"/>
      <c r="D588" s="95"/>
      <c r="E588" s="95"/>
      <c r="F588" s="95"/>
      <c r="G588" s="95"/>
      <c r="H588" s="95"/>
      <c r="I588" s="95"/>
      <c r="J588" s="95"/>
      <c r="K588" s="95"/>
      <c r="L588" s="95"/>
      <c r="M588" s="95"/>
      <c r="N588" s="95"/>
      <c r="O588" s="95"/>
      <c r="P588" s="95"/>
      <c r="Q588" s="95"/>
      <c r="R588" s="95"/>
      <c r="S588" s="95"/>
      <c r="T588" s="95"/>
      <c r="U588" s="95"/>
      <c r="V588" s="95"/>
      <c r="W588" s="95"/>
      <c r="X588" s="95"/>
      <c r="Y588" s="95"/>
      <c r="Z588" s="95"/>
      <c r="AA588" s="95"/>
    </row>
    <row r="589">
      <c r="A589" s="95" t="s">
        <v>5116</v>
      </c>
      <c r="B589" s="95"/>
      <c r="C589" s="95"/>
      <c r="D589" s="95"/>
      <c r="E589" s="95"/>
      <c r="F589" s="95"/>
      <c r="G589" s="95"/>
      <c r="H589" s="95"/>
      <c r="I589" s="95"/>
      <c r="J589" s="95"/>
      <c r="K589" s="95"/>
      <c r="L589" s="95"/>
      <c r="M589" s="95"/>
      <c r="N589" s="95"/>
      <c r="O589" s="95"/>
      <c r="P589" s="95"/>
      <c r="Q589" s="95"/>
      <c r="R589" s="95"/>
      <c r="S589" s="95"/>
      <c r="T589" s="95"/>
      <c r="U589" s="95"/>
      <c r="V589" s="95"/>
      <c r="W589" s="95"/>
      <c r="X589" s="95"/>
      <c r="Y589" s="95"/>
      <c r="Z589" s="95"/>
      <c r="AA589" s="95"/>
    </row>
    <row r="590">
      <c r="A590" s="95" t="s">
        <v>5116</v>
      </c>
      <c r="B590" s="95"/>
      <c r="C590" s="95"/>
      <c r="D590" s="95"/>
      <c r="E590" s="95"/>
      <c r="F590" s="95"/>
      <c r="G590" s="95"/>
      <c r="H590" s="95"/>
      <c r="I590" s="95"/>
      <c r="J590" s="95"/>
      <c r="K590" s="95"/>
      <c r="L590" s="95"/>
      <c r="M590" s="95"/>
      <c r="N590" s="95"/>
      <c r="O590" s="95"/>
      <c r="P590" s="95"/>
      <c r="Q590" s="95"/>
      <c r="R590" s="95"/>
      <c r="S590" s="95"/>
      <c r="T590" s="95"/>
      <c r="U590" s="95"/>
      <c r="V590" s="95"/>
      <c r="W590" s="95"/>
      <c r="X590" s="95"/>
      <c r="Y590" s="95"/>
      <c r="Z590" s="95"/>
      <c r="AA590" s="95"/>
    </row>
    <row r="591">
      <c r="A591" s="95" t="s">
        <v>5116</v>
      </c>
      <c r="B591" s="95"/>
      <c r="C591" s="95"/>
      <c r="D591" s="95"/>
      <c r="E591" s="95"/>
      <c r="F591" s="95"/>
      <c r="G591" s="95"/>
      <c r="H591" s="95"/>
      <c r="I591" s="95"/>
      <c r="J591" s="95"/>
      <c r="K591" s="95"/>
      <c r="L591" s="95"/>
      <c r="M591" s="95"/>
      <c r="N591" s="95"/>
      <c r="O591" s="95"/>
      <c r="P591" s="95"/>
      <c r="Q591" s="95"/>
      <c r="R591" s="95"/>
      <c r="S591" s="95"/>
      <c r="T591" s="95"/>
      <c r="U591" s="95"/>
      <c r="V591" s="95"/>
      <c r="W591" s="95"/>
      <c r="X591" s="95"/>
      <c r="Y591" s="95"/>
      <c r="Z591" s="95"/>
      <c r="AA591" s="95"/>
    </row>
    <row r="592">
      <c r="A592" s="95" t="s">
        <v>5116</v>
      </c>
      <c r="B592" s="95"/>
      <c r="C592" s="95"/>
      <c r="D592" s="95"/>
      <c r="E592" s="95"/>
      <c r="F592" s="95"/>
      <c r="G592" s="95"/>
      <c r="H592" s="95"/>
      <c r="I592" s="95"/>
      <c r="J592" s="95"/>
      <c r="K592" s="95"/>
      <c r="L592" s="95"/>
      <c r="M592" s="95"/>
      <c r="N592" s="95"/>
      <c r="O592" s="95"/>
      <c r="P592" s="95"/>
      <c r="Q592" s="95"/>
      <c r="R592" s="95"/>
      <c r="S592" s="95"/>
      <c r="T592" s="95"/>
      <c r="U592" s="95"/>
      <c r="V592" s="95"/>
      <c r="W592" s="95"/>
      <c r="X592" s="95"/>
      <c r="Y592" s="95"/>
      <c r="Z592" s="95"/>
      <c r="AA592" s="95"/>
    </row>
    <row r="593">
      <c r="A593" s="95" t="s">
        <v>5116</v>
      </c>
      <c r="B593" s="95"/>
      <c r="C593" s="95"/>
      <c r="D593" s="95"/>
      <c r="E593" s="95"/>
      <c r="F593" s="95"/>
      <c r="G593" s="95"/>
      <c r="H593" s="95"/>
      <c r="I593" s="95"/>
      <c r="J593" s="95"/>
      <c r="K593" s="95"/>
      <c r="L593" s="95"/>
      <c r="M593" s="95"/>
      <c r="N593" s="95"/>
      <c r="O593" s="95"/>
      <c r="P593" s="95"/>
      <c r="Q593" s="95"/>
      <c r="R593" s="95"/>
      <c r="S593" s="95"/>
      <c r="T593" s="95"/>
      <c r="U593" s="95"/>
      <c r="V593" s="95"/>
      <c r="W593" s="95"/>
      <c r="X593" s="95"/>
      <c r="Y593" s="95"/>
      <c r="Z593" s="95"/>
      <c r="AA593" s="95"/>
    </row>
    <row r="594">
      <c r="A594" s="95" t="s">
        <v>5116</v>
      </c>
      <c r="B594" s="95"/>
      <c r="C594" s="95"/>
      <c r="D594" s="95"/>
      <c r="E594" s="95"/>
      <c r="F594" s="95"/>
      <c r="G594" s="95"/>
      <c r="H594" s="95"/>
      <c r="I594" s="95"/>
      <c r="J594" s="95"/>
      <c r="K594" s="95"/>
      <c r="L594" s="95"/>
      <c r="M594" s="95"/>
      <c r="N594" s="95"/>
      <c r="O594" s="95"/>
      <c r="P594" s="95"/>
      <c r="Q594" s="95"/>
      <c r="R594" s="95"/>
      <c r="S594" s="95"/>
      <c r="T594" s="95"/>
      <c r="U594" s="95"/>
      <c r="V594" s="95"/>
      <c r="W594" s="95"/>
      <c r="X594" s="95"/>
      <c r="Y594" s="95"/>
      <c r="Z594" s="95"/>
      <c r="AA594" s="95"/>
    </row>
    <row r="595">
      <c r="A595" s="95" t="s">
        <v>5116</v>
      </c>
      <c r="B595" s="95"/>
      <c r="C595" s="95"/>
      <c r="D595" s="95"/>
      <c r="E595" s="95"/>
      <c r="F595" s="95"/>
      <c r="G595" s="95"/>
      <c r="H595" s="95"/>
      <c r="I595" s="95"/>
      <c r="J595" s="95"/>
      <c r="K595" s="95"/>
      <c r="L595" s="95"/>
      <c r="M595" s="95"/>
      <c r="N595" s="95"/>
      <c r="O595" s="95"/>
      <c r="P595" s="95"/>
      <c r="Q595" s="95"/>
      <c r="R595" s="95"/>
      <c r="S595" s="95"/>
      <c r="T595" s="95"/>
      <c r="U595" s="95"/>
      <c r="V595" s="95"/>
      <c r="W595" s="95"/>
      <c r="X595" s="95"/>
      <c r="Y595" s="95"/>
      <c r="Z595" s="95"/>
      <c r="AA595" s="95"/>
    </row>
    <row r="596">
      <c r="A596" s="95" t="s">
        <v>5116</v>
      </c>
      <c r="B596" s="95"/>
      <c r="C596" s="95"/>
      <c r="D596" s="95"/>
      <c r="E596" s="95"/>
      <c r="F596" s="95"/>
      <c r="G596" s="95"/>
      <c r="H596" s="95"/>
      <c r="I596" s="95"/>
      <c r="J596" s="95"/>
      <c r="K596" s="95"/>
      <c r="L596" s="95"/>
      <c r="M596" s="95"/>
      <c r="N596" s="95"/>
      <c r="O596" s="95"/>
      <c r="P596" s="95"/>
      <c r="Q596" s="95"/>
      <c r="R596" s="95"/>
      <c r="S596" s="95"/>
      <c r="T596" s="95"/>
      <c r="U596" s="95"/>
      <c r="V596" s="95"/>
      <c r="W596" s="95"/>
      <c r="X596" s="95"/>
      <c r="Y596" s="95"/>
      <c r="Z596" s="95"/>
      <c r="AA596" s="95"/>
    </row>
    <row r="597">
      <c r="A597" s="95" t="s">
        <v>5116</v>
      </c>
      <c r="B597" s="95"/>
      <c r="C597" s="95"/>
      <c r="D597" s="95"/>
      <c r="E597" s="95"/>
      <c r="F597" s="95"/>
      <c r="G597" s="95"/>
      <c r="H597" s="95"/>
      <c r="I597" s="95"/>
      <c r="J597" s="95"/>
      <c r="K597" s="95"/>
      <c r="L597" s="95"/>
      <c r="M597" s="95"/>
      <c r="N597" s="95"/>
      <c r="O597" s="95"/>
      <c r="P597" s="95"/>
      <c r="Q597" s="95"/>
      <c r="R597" s="95"/>
      <c r="S597" s="95"/>
      <c r="T597" s="95"/>
      <c r="U597" s="95"/>
      <c r="V597" s="95"/>
      <c r="W597" s="95"/>
      <c r="X597" s="95"/>
      <c r="Y597" s="95"/>
      <c r="Z597" s="95"/>
      <c r="AA597" s="95"/>
    </row>
    <row r="598">
      <c r="A598" s="95" t="s">
        <v>5116</v>
      </c>
      <c r="B598" s="95"/>
      <c r="C598" s="95"/>
      <c r="D598" s="95"/>
      <c r="E598" s="95"/>
      <c r="F598" s="95"/>
      <c r="G598" s="95"/>
      <c r="H598" s="95"/>
      <c r="I598" s="95"/>
      <c r="J598" s="95"/>
      <c r="K598" s="95"/>
      <c r="L598" s="95"/>
      <c r="M598" s="95"/>
      <c r="N598" s="95"/>
      <c r="O598" s="95"/>
      <c r="P598" s="95"/>
      <c r="Q598" s="95"/>
      <c r="R598" s="95"/>
      <c r="S598" s="95"/>
      <c r="T598" s="95"/>
      <c r="U598" s="95"/>
      <c r="V598" s="95"/>
      <c r="W598" s="95"/>
      <c r="X598" s="95"/>
      <c r="Y598" s="95"/>
      <c r="Z598" s="95"/>
      <c r="AA598" s="95"/>
    </row>
    <row r="599">
      <c r="A599" s="95" t="s">
        <v>5116</v>
      </c>
      <c r="B599" s="95"/>
      <c r="C599" s="95"/>
      <c r="D599" s="95"/>
      <c r="E599" s="95"/>
      <c r="F599" s="95"/>
      <c r="G599" s="95"/>
      <c r="H599" s="95"/>
      <c r="I599" s="95"/>
      <c r="J599" s="95"/>
      <c r="K599" s="95"/>
      <c r="L599" s="95"/>
      <c r="M599" s="95"/>
      <c r="N599" s="95"/>
      <c r="O599" s="95"/>
      <c r="P599" s="95"/>
      <c r="Q599" s="95"/>
      <c r="R599" s="95"/>
      <c r="S599" s="95"/>
      <c r="T599" s="95"/>
      <c r="U599" s="95"/>
      <c r="V599" s="95"/>
      <c r="W599" s="95"/>
      <c r="X599" s="95"/>
      <c r="Y599" s="95"/>
      <c r="Z599" s="95"/>
      <c r="AA599" s="95"/>
    </row>
    <row r="600">
      <c r="A600" s="95" t="s">
        <v>5116</v>
      </c>
      <c r="B600" s="95"/>
      <c r="C600" s="95"/>
      <c r="D600" s="95"/>
      <c r="E600" s="95"/>
      <c r="F600" s="95"/>
      <c r="G600" s="95"/>
      <c r="H600" s="95"/>
      <c r="I600" s="95"/>
      <c r="J600" s="95"/>
      <c r="K600" s="95"/>
      <c r="L600" s="95"/>
      <c r="M600" s="95"/>
      <c r="N600" s="95"/>
      <c r="O600" s="95"/>
      <c r="P600" s="95"/>
      <c r="Q600" s="95"/>
      <c r="R600" s="95"/>
      <c r="S600" s="95"/>
      <c r="T600" s="95"/>
      <c r="U600" s="95"/>
      <c r="V600" s="95"/>
      <c r="W600" s="95"/>
      <c r="X600" s="95"/>
      <c r="Y600" s="95"/>
      <c r="Z600" s="95"/>
      <c r="AA600" s="95"/>
    </row>
    <row r="601">
      <c r="A601" s="95" t="s">
        <v>5116</v>
      </c>
      <c r="B601" s="95"/>
      <c r="C601" s="95"/>
      <c r="D601" s="95"/>
      <c r="E601" s="95"/>
      <c r="F601" s="95"/>
      <c r="G601" s="95"/>
      <c r="H601" s="95"/>
      <c r="I601" s="95"/>
      <c r="J601" s="95"/>
      <c r="K601" s="95"/>
      <c r="L601" s="95"/>
      <c r="M601" s="95"/>
      <c r="N601" s="95"/>
      <c r="O601" s="95"/>
      <c r="P601" s="95"/>
      <c r="Q601" s="95"/>
      <c r="R601" s="95"/>
      <c r="S601" s="95"/>
      <c r="T601" s="95"/>
      <c r="U601" s="95"/>
      <c r="V601" s="95"/>
      <c r="W601" s="95"/>
      <c r="X601" s="95"/>
      <c r="Y601" s="95"/>
      <c r="Z601" s="95"/>
      <c r="AA601" s="95"/>
    </row>
    <row r="602">
      <c r="A602" s="95" t="s">
        <v>5116</v>
      </c>
      <c r="B602" s="95"/>
      <c r="C602" s="95"/>
      <c r="D602" s="95"/>
      <c r="E602" s="95"/>
      <c r="F602" s="95"/>
      <c r="G602" s="95"/>
      <c r="H602" s="95"/>
      <c r="I602" s="95"/>
      <c r="J602" s="95"/>
      <c r="K602" s="95"/>
      <c r="L602" s="95"/>
      <c r="M602" s="95"/>
      <c r="N602" s="95"/>
      <c r="O602" s="95"/>
      <c r="P602" s="95"/>
      <c r="Q602" s="95"/>
      <c r="R602" s="95"/>
      <c r="S602" s="95"/>
      <c r="T602" s="95"/>
      <c r="U602" s="95"/>
      <c r="V602" s="95"/>
      <c r="W602" s="95"/>
      <c r="X602" s="95"/>
      <c r="Y602" s="95"/>
      <c r="Z602" s="95"/>
      <c r="AA602" s="95"/>
    </row>
    <row r="603">
      <c r="A603" s="95" t="s">
        <v>5116</v>
      </c>
      <c r="B603" s="95"/>
      <c r="C603" s="95"/>
      <c r="D603" s="95"/>
      <c r="E603" s="95"/>
      <c r="F603" s="95"/>
      <c r="G603" s="95"/>
      <c r="H603" s="95"/>
      <c r="I603" s="95"/>
      <c r="J603" s="95"/>
      <c r="K603" s="95"/>
      <c r="L603" s="95"/>
      <c r="M603" s="95"/>
      <c r="N603" s="95"/>
      <c r="O603" s="95"/>
      <c r="P603" s="95"/>
      <c r="Q603" s="95"/>
      <c r="R603" s="95"/>
      <c r="S603" s="95"/>
      <c r="T603" s="95"/>
      <c r="U603" s="95"/>
      <c r="V603" s="95"/>
      <c r="W603" s="95"/>
      <c r="X603" s="95"/>
      <c r="Y603" s="95"/>
      <c r="Z603" s="95"/>
      <c r="AA603" s="95"/>
    </row>
    <row r="604">
      <c r="A604" s="95" t="s">
        <v>5116</v>
      </c>
      <c r="B604" s="95"/>
      <c r="C604" s="95"/>
      <c r="D604" s="95"/>
      <c r="E604" s="95"/>
      <c r="F604" s="95"/>
      <c r="G604" s="95"/>
      <c r="H604" s="95"/>
      <c r="I604" s="95"/>
      <c r="J604" s="95"/>
      <c r="K604" s="95"/>
      <c r="L604" s="95"/>
      <c r="M604" s="95"/>
      <c r="N604" s="95"/>
      <c r="O604" s="95"/>
      <c r="P604" s="95"/>
      <c r="Q604" s="95"/>
      <c r="R604" s="95"/>
      <c r="S604" s="95"/>
      <c r="T604" s="95"/>
      <c r="U604" s="95"/>
      <c r="V604" s="95"/>
      <c r="W604" s="95"/>
      <c r="X604" s="95"/>
      <c r="Y604" s="95"/>
      <c r="Z604" s="95"/>
      <c r="AA604" s="95"/>
    </row>
    <row r="605">
      <c r="A605" s="95" t="s">
        <v>5116</v>
      </c>
      <c r="B605" s="95"/>
      <c r="C605" s="95"/>
      <c r="D605" s="95"/>
      <c r="E605" s="95"/>
      <c r="F605" s="95"/>
      <c r="G605" s="95"/>
      <c r="H605" s="95"/>
      <c r="I605" s="95"/>
      <c r="J605" s="95"/>
      <c r="K605" s="95"/>
      <c r="L605" s="95"/>
      <c r="M605" s="95"/>
      <c r="N605" s="95"/>
      <c r="O605" s="95"/>
      <c r="P605" s="95"/>
      <c r="Q605" s="95"/>
      <c r="R605" s="95"/>
      <c r="S605" s="95"/>
      <c r="T605" s="95"/>
      <c r="U605" s="95"/>
      <c r="V605" s="95"/>
      <c r="W605" s="95"/>
      <c r="X605" s="95"/>
      <c r="Y605" s="95"/>
      <c r="Z605" s="95"/>
      <c r="AA605" s="95"/>
    </row>
    <row r="606">
      <c r="A606" s="95" t="s">
        <v>5116</v>
      </c>
      <c r="B606" s="95"/>
      <c r="C606" s="95"/>
      <c r="D606" s="95"/>
      <c r="E606" s="95"/>
      <c r="F606" s="95"/>
      <c r="G606" s="95"/>
      <c r="H606" s="95"/>
      <c r="I606" s="95"/>
      <c r="J606" s="95"/>
      <c r="K606" s="95"/>
      <c r="L606" s="95"/>
      <c r="M606" s="95"/>
      <c r="N606" s="95"/>
      <c r="O606" s="95"/>
      <c r="P606" s="95"/>
      <c r="Q606" s="95"/>
      <c r="R606" s="95"/>
      <c r="S606" s="95"/>
      <c r="T606" s="95"/>
      <c r="U606" s="95"/>
      <c r="V606" s="95"/>
      <c r="W606" s="95"/>
      <c r="X606" s="95"/>
      <c r="Y606" s="95"/>
      <c r="Z606" s="95"/>
      <c r="AA606" s="95"/>
    </row>
    <row r="607">
      <c r="A607" s="95" t="s">
        <v>5116</v>
      </c>
      <c r="B607" s="95"/>
      <c r="C607" s="95"/>
      <c r="D607" s="95"/>
      <c r="E607" s="95"/>
      <c r="F607" s="95"/>
      <c r="G607" s="95"/>
      <c r="H607" s="95"/>
      <c r="I607" s="95"/>
      <c r="J607" s="95"/>
      <c r="K607" s="95"/>
      <c r="L607" s="95"/>
      <c r="M607" s="95"/>
      <c r="N607" s="95"/>
      <c r="O607" s="95"/>
      <c r="P607" s="95"/>
      <c r="Q607" s="95"/>
      <c r="R607" s="95"/>
      <c r="S607" s="95"/>
      <c r="T607" s="95"/>
      <c r="U607" s="95"/>
      <c r="V607" s="95"/>
      <c r="W607" s="95"/>
      <c r="X607" s="95"/>
      <c r="Y607" s="95"/>
      <c r="Z607" s="95"/>
      <c r="AA607" s="95"/>
    </row>
    <row r="608">
      <c r="A608" s="95" t="s">
        <v>5116</v>
      </c>
      <c r="B608" s="95"/>
      <c r="C608" s="95"/>
      <c r="D608" s="95"/>
      <c r="E608" s="95"/>
      <c r="F608" s="95"/>
      <c r="G608" s="95"/>
      <c r="H608" s="95"/>
      <c r="I608" s="95"/>
      <c r="J608" s="95"/>
      <c r="K608" s="95"/>
      <c r="L608" s="95"/>
      <c r="M608" s="95"/>
      <c r="N608" s="95"/>
      <c r="O608" s="95"/>
      <c r="P608" s="95"/>
      <c r="Q608" s="95"/>
      <c r="R608" s="95"/>
      <c r="S608" s="95"/>
      <c r="T608" s="95"/>
      <c r="U608" s="95"/>
      <c r="V608" s="95"/>
      <c r="W608" s="95"/>
      <c r="X608" s="95"/>
      <c r="Y608" s="95"/>
      <c r="Z608" s="95"/>
      <c r="AA608" s="95"/>
    </row>
    <row r="609">
      <c r="A609" s="95" t="s">
        <v>5116</v>
      </c>
      <c r="B609" s="95"/>
      <c r="C609" s="95"/>
      <c r="D609" s="95"/>
      <c r="E609" s="95"/>
      <c r="F609" s="95"/>
      <c r="G609" s="95"/>
      <c r="H609" s="95"/>
      <c r="I609" s="95"/>
      <c r="J609" s="95"/>
      <c r="K609" s="95"/>
      <c r="L609" s="95"/>
      <c r="M609" s="95"/>
      <c r="N609" s="95"/>
      <c r="O609" s="95"/>
      <c r="P609" s="95"/>
      <c r="Q609" s="95"/>
      <c r="R609" s="95"/>
      <c r="S609" s="95"/>
      <c r="T609" s="95"/>
      <c r="U609" s="95"/>
      <c r="V609" s="95"/>
      <c r="W609" s="95"/>
      <c r="X609" s="95"/>
      <c r="Y609" s="95"/>
      <c r="Z609" s="95"/>
      <c r="AA609" s="95"/>
    </row>
    <row r="610">
      <c r="A610" s="95" t="s">
        <v>5116</v>
      </c>
      <c r="B610" s="95"/>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c r="AA610" s="95"/>
    </row>
    <row r="611">
      <c r="A611" s="95" t="s">
        <v>5116</v>
      </c>
      <c r="B611" s="95"/>
      <c r="C611" s="95"/>
      <c r="D611" s="95"/>
      <c r="E611" s="95"/>
      <c r="F611" s="95"/>
      <c r="G611" s="95"/>
      <c r="H611" s="95"/>
      <c r="I611" s="95"/>
      <c r="J611" s="95"/>
      <c r="K611" s="95"/>
      <c r="L611" s="95"/>
      <c r="M611" s="95"/>
      <c r="N611" s="95"/>
      <c r="O611" s="95"/>
      <c r="P611" s="95"/>
      <c r="Q611" s="95"/>
      <c r="R611" s="95"/>
      <c r="S611" s="95"/>
      <c r="T611" s="95"/>
      <c r="U611" s="95"/>
      <c r="V611" s="95"/>
      <c r="W611" s="95"/>
      <c r="X611" s="95"/>
      <c r="Y611" s="95"/>
      <c r="Z611" s="95"/>
      <c r="AA611" s="95"/>
    </row>
    <row r="612">
      <c r="A612" s="95" t="s">
        <v>5116</v>
      </c>
      <c r="B612" s="95"/>
      <c r="C612" s="95"/>
      <c r="D612" s="95"/>
      <c r="E612" s="95"/>
      <c r="F612" s="95"/>
      <c r="G612" s="95"/>
      <c r="H612" s="95"/>
      <c r="I612" s="95"/>
      <c r="J612" s="95"/>
      <c r="K612" s="95"/>
      <c r="L612" s="95"/>
      <c r="M612" s="95"/>
      <c r="N612" s="95"/>
      <c r="O612" s="95"/>
      <c r="P612" s="95"/>
      <c r="Q612" s="95"/>
      <c r="R612" s="95"/>
      <c r="S612" s="95"/>
      <c r="T612" s="95"/>
      <c r="U612" s="95"/>
      <c r="V612" s="95"/>
      <c r="W612" s="95"/>
      <c r="X612" s="95"/>
      <c r="Y612" s="95"/>
      <c r="Z612" s="95"/>
      <c r="AA612" s="95"/>
    </row>
    <row r="613">
      <c r="A613" s="95" t="s">
        <v>5116</v>
      </c>
      <c r="B613" s="95"/>
      <c r="C613" s="95"/>
      <c r="D613" s="95"/>
      <c r="E613" s="95"/>
      <c r="F613" s="95"/>
      <c r="G613" s="95"/>
      <c r="H613" s="95"/>
      <c r="I613" s="95"/>
      <c r="J613" s="95"/>
      <c r="K613" s="95"/>
      <c r="L613" s="95"/>
      <c r="M613" s="95"/>
      <c r="N613" s="95"/>
      <c r="O613" s="95"/>
      <c r="P613" s="95"/>
      <c r="Q613" s="95"/>
      <c r="R613" s="95"/>
      <c r="S613" s="95"/>
      <c r="T613" s="95"/>
      <c r="U613" s="95"/>
      <c r="V613" s="95"/>
      <c r="W613" s="95"/>
      <c r="X613" s="95"/>
      <c r="Y613" s="95"/>
      <c r="Z613" s="95"/>
      <c r="AA613" s="95"/>
    </row>
    <row r="614">
      <c r="A614" s="95" t="s">
        <v>5116</v>
      </c>
      <c r="B614" s="95"/>
      <c r="C614" s="95"/>
      <c r="D614" s="95"/>
      <c r="E614" s="95"/>
      <c r="F614" s="95"/>
      <c r="G614" s="95"/>
      <c r="H614" s="95"/>
      <c r="I614" s="95"/>
      <c r="J614" s="95"/>
      <c r="K614" s="95"/>
      <c r="L614" s="95"/>
      <c r="M614" s="95"/>
      <c r="N614" s="95"/>
      <c r="O614" s="95"/>
      <c r="P614" s="95"/>
      <c r="Q614" s="95"/>
      <c r="R614" s="95"/>
      <c r="S614" s="95"/>
      <c r="T614" s="95"/>
      <c r="U614" s="95"/>
      <c r="V614" s="95"/>
      <c r="W614" s="95"/>
      <c r="X614" s="95"/>
      <c r="Y614" s="95"/>
      <c r="Z614" s="95"/>
      <c r="AA614" s="95"/>
    </row>
    <row r="615">
      <c r="A615" s="95" t="s">
        <v>5116</v>
      </c>
      <c r="B615" s="95"/>
      <c r="C615" s="95"/>
      <c r="D615" s="95"/>
      <c r="E615" s="95"/>
      <c r="F615" s="95"/>
      <c r="G615" s="95"/>
      <c r="H615" s="95"/>
      <c r="I615" s="95"/>
      <c r="J615" s="95"/>
      <c r="K615" s="95"/>
      <c r="L615" s="95"/>
      <c r="M615" s="95"/>
      <c r="N615" s="95"/>
      <c r="O615" s="95"/>
      <c r="P615" s="95"/>
      <c r="Q615" s="95"/>
      <c r="R615" s="95"/>
      <c r="S615" s="95"/>
      <c r="T615" s="95"/>
      <c r="U615" s="95"/>
      <c r="V615" s="95"/>
      <c r="W615" s="95"/>
      <c r="X615" s="95"/>
      <c r="Y615" s="95"/>
      <c r="Z615" s="95"/>
      <c r="AA615" s="95"/>
    </row>
    <row r="616">
      <c r="A616" s="95" t="s">
        <v>5116</v>
      </c>
      <c r="B616" s="95"/>
      <c r="C616" s="95"/>
      <c r="D616" s="95"/>
      <c r="E616" s="95"/>
      <c r="F616" s="95"/>
      <c r="G616" s="95"/>
      <c r="H616" s="95"/>
      <c r="I616" s="95"/>
      <c r="J616" s="95"/>
      <c r="K616" s="95"/>
      <c r="L616" s="95"/>
      <c r="M616" s="95"/>
      <c r="N616" s="95"/>
      <c r="O616" s="95"/>
      <c r="P616" s="95"/>
      <c r="Q616" s="95"/>
      <c r="R616" s="95"/>
      <c r="S616" s="95"/>
      <c r="T616" s="95"/>
      <c r="U616" s="95"/>
      <c r="V616" s="95"/>
      <c r="W616" s="95"/>
      <c r="X616" s="95"/>
      <c r="Y616" s="95"/>
      <c r="Z616" s="95"/>
      <c r="AA616" s="95"/>
    </row>
    <row r="617">
      <c r="A617" s="95" t="s">
        <v>5116</v>
      </c>
      <c r="B617" s="95"/>
      <c r="C617" s="95"/>
      <c r="D617" s="95"/>
      <c r="E617" s="95"/>
      <c r="F617" s="95"/>
      <c r="G617" s="95"/>
      <c r="H617" s="95"/>
      <c r="I617" s="95"/>
      <c r="J617" s="95"/>
      <c r="K617" s="95"/>
      <c r="L617" s="95"/>
      <c r="M617" s="95"/>
      <c r="N617" s="95"/>
      <c r="O617" s="95"/>
      <c r="P617" s="95"/>
      <c r="Q617" s="95"/>
      <c r="R617" s="95"/>
      <c r="S617" s="95"/>
      <c r="T617" s="95"/>
      <c r="U617" s="95"/>
      <c r="V617" s="95"/>
      <c r="W617" s="95"/>
      <c r="X617" s="95"/>
      <c r="Y617" s="95"/>
      <c r="Z617" s="95"/>
      <c r="AA617" s="95"/>
    </row>
    <row r="618">
      <c r="A618" s="95" t="s">
        <v>5116</v>
      </c>
      <c r="B618" s="95"/>
      <c r="C618" s="95"/>
      <c r="D618" s="95"/>
      <c r="E618" s="95"/>
      <c r="F618" s="95"/>
      <c r="G618" s="95"/>
      <c r="H618" s="95"/>
      <c r="I618" s="95"/>
      <c r="J618" s="95"/>
      <c r="K618" s="95"/>
      <c r="L618" s="95"/>
      <c r="M618" s="95"/>
      <c r="N618" s="95"/>
      <c r="O618" s="95"/>
      <c r="P618" s="95"/>
      <c r="Q618" s="95"/>
      <c r="R618" s="95"/>
      <c r="S618" s="95"/>
      <c r="T618" s="95"/>
      <c r="U618" s="95"/>
      <c r="V618" s="95"/>
      <c r="W618" s="95"/>
      <c r="X618" s="95"/>
      <c r="Y618" s="95"/>
      <c r="Z618" s="95"/>
      <c r="AA618" s="95"/>
    </row>
    <row r="619">
      <c r="A619" s="95" t="s">
        <v>5116</v>
      </c>
      <c r="B619" s="95"/>
      <c r="C619" s="95"/>
      <c r="D619" s="95"/>
      <c r="E619" s="95"/>
      <c r="F619" s="95"/>
      <c r="G619" s="95"/>
      <c r="H619" s="95"/>
      <c r="I619" s="95"/>
      <c r="J619" s="95"/>
      <c r="K619" s="95"/>
      <c r="L619" s="95"/>
      <c r="M619" s="95"/>
      <c r="N619" s="95"/>
      <c r="O619" s="95"/>
      <c r="P619" s="95"/>
      <c r="Q619" s="95"/>
      <c r="R619" s="95"/>
      <c r="S619" s="95"/>
      <c r="T619" s="95"/>
      <c r="U619" s="95"/>
      <c r="V619" s="95"/>
      <c r="W619" s="95"/>
      <c r="X619" s="95"/>
      <c r="Y619" s="95"/>
      <c r="Z619" s="95"/>
      <c r="AA619" s="95"/>
    </row>
    <row r="620">
      <c r="A620" s="95" t="s">
        <v>5116</v>
      </c>
      <c r="B620" s="95"/>
      <c r="C620" s="95"/>
      <c r="D620" s="95"/>
      <c r="E620" s="95"/>
      <c r="F620" s="95"/>
      <c r="G620" s="95"/>
      <c r="H620" s="95"/>
      <c r="I620" s="95"/>
      <c r="J620" s="95"/>
      <c r="K620" s="95"/>
      <c r="L620" s="95"/>
      <c r="M620" s="95"/>
      <c r="N620" s="95"/>
      <c r="O620" s="95"/>
      <c r="P620" s="95"/>
      <c r="Q620" s="95"/>
      <c r="R620" s="95"/>
      <c r="S620" s="95"/>
      <c r="T620" s="95"/>
      <c r="U620" s="95"/>
      <c r="V620" s="95"/>
      <c r="W620" s="95"/>
      <c r="X620" s="95"/>
      <c r="Y620" s="95"/>
      <c r="Z620" s="95"/>
      <c r="AA620" s="95"/>
    </row>
    <row r="621">
      <c r="A621" s="95" t="s">
        <v>5116</v>
      </c>
      <c r="B621" s="95"/>
      <c r="C621" s="95"/>
      <c r="D621" s="95"/>
      <c r="E621" s="95"/>
      <c r="F621" s="95"/>
      <c r="G621" s="95"/>
      <c r="H621" s="95"/>
      <c r="I621" s="95"/>
      <c r="J621" s="95"/>
      <c r="K621" s="95"/>
      <c r="L621" s="95"/>
      <c r="M621" s="95"/>
      <c r="N621" s="95"/>
      <c r="O621" s="95"/>
      <c r="P621" s="95"/>
      <c r="Q621" s="95"/>
      <c r="R621" s="95"/>
      <c r="S621" s="95"/>
      <c r="T621" s="95"/>
      <c r="U621" s="95"/>
      <c r="V621" s="95"/>
      <c r="W621" s="95"/>
      <c r="X621" s="95"/>
      <c r="Y621" s="95"/>
      <c r="Z621" s="95"/>
      <c r="AA621" s="95"/>
    </row>
    <row r="622">
      <c r="A622" s="95" t="s">
        <v>5116</v>
      </c>
      <c r="B622" s="95"/>
      <c r="C622" s="95"/>
      <c r="D622" s="95"/>
      <c r="E622" s="95"/>
      <c r="F622" s="95"/>
      <c r="G622" s="95"/>
      <c r="H622" s="95"/>
      <c r="I622" s="95"/>
      <c r="J622" s="95"/>
      <c r="K622" s="95"/>
      <c r="L622" s="95"/>
      <c r="M622" s="95"/>
      <c r="N622" s="95"/>
      <c r="O622" s="95"/>
      <c r="P622" s="95"/>
      <c r="Q622" s="95"/>
      <c r="R622" s="95"/>
      <c r="S622" s="95"/>
      <c r="T622" s="95"/>
      <c r="U622" s="95"/>
      <c r="V622" s="95"/>
      <c r="W622" s="95"/>
      <c r="X622" s="95"/>
      <c r="Y622" s="95"/>
      <c r="Z622" s="95"/>
      <c r="AA622" s="95"/>
    </row>
    <row r="623">
      <c r="A623" s="95" t="s">
        <v>5116</v>
      </c>
      <c r="B623" s="95"/>
      <c r="C623" s="95"/>
      <c r="D623" s="95"/>
      <c r="E623" s="95"/>
      <c r="F623" s="95"/>
      <c r="G623" s="95"/>
      <c r="H623" s="95"/>
      <c r="I623" s="95"/>
      <c r="J623" s="95"/>
      <c r="K623" s="95"/>
      <c r="L623" s="95"/>
      <c r="M623" s="95"/>
      <c r="N623" s="95"/>
      <c r="O623" s="95"/>
      <c r="P623" s="95"/>
      <c r="Q623" s="95"/>
      <c r="R623" s="95"/>
      <c r="S623" s="95"/>
      <c r="T623" s="95"/>
      <c r="U623" s="95"/>
      <c r="V623" s="95"/>
      <c r="W623" s="95"/>
      <c r="X623" s="95"/>
      <c r="Y623" s="95"/>
      <c r="Z623" s="95"/>
      <c r="AA623" s="95"/>
    </row>
    <row r="624">
      <c r="A624" s="95" t="s">
        <v>5116</v>
      </c>
      <c r="B624" s="95"/>
      <c r="C624" s="95"/>
      <c r="D624" s="95"/>
      <c r="E624" s="95"/>
      <c r="F624" s="95"/>
      <c r="G624" s="95"/>
      <c r="H624" s="95"/>
      <c r="I624" s="95"/>
      <c r="J624" s="95"/>
      <c r="K624" s="95"/>
      <c r="L624" s="95"/>
      <c r="M624" s="95"/>
      <c r="N624" s="95"/>
      <c r="O624" s="95"/>
      <c r="P624" s="95"/>
      <c r="Q624" s="95"/>
      <c r="R624" s="95"/>
      <c r="S624" s="95"/>
      <c r="T624" s="95"/>
      <c r="U624" s="95"/>
      <c r="V624" s="95"/>
      <c r="W624" s="95"/>
      <c r="X624" s="95"/>
      <c r="Y624" s="95"/>
      <c r="Z624" s="95"/>
      <c r="AA624" s="95"/>
    </row>
    <row r="625">
      <c r="A625" s="95" t="s">
        <v>5116</v>
      </c>
      <c r="B625" s="95"/>
      <c r="C625" s="95"/>
      <c r="D625" s="95"/>
      <c r="E625" s="95"/>
      <c r="F625" s="95"/>
      <c r="G625" s="95"/>
      <c r="H625" s="95"/>
      <c r="I625" s="95"/>
      <c r="J625" s="95"/>
      <c r="K625" s="95"/>
      <c r="L625" s="95"/>
      <c r="M625" s="95"/>
      <c r="N625" s="95"/>
      <c r="O625" s="95"/>
      <c r="P625" s="95"/>
      <c r="Q625" s="95"/>
      <c r="R625" s="95"/>
      <c r="S625" s="95"/>
      <c r="T625" s="95"/>
      <c r="U625" s="95"/>
      <c r="V625" s="95"/>
      <c r="W625" s="95"/>
      <c r="X625" s="95"/>
      <c r="Y625" s="95"/>
      <c r="Z625" s="95"/>
      <c r="AA625" s="95"/>
    </row>
    <row r="626">
      <c r="A626" s="95" t="s">
        <v>5116</v>
      </c>
      <c r="B626" s="95"/>
      <c r="C626" s="95"/>
      <c r="D626" s="95"/>
      <c r="E626" s="95"/>
      <c r="F626" s="95"/>
      <c r="G626" s="95"/>
      <c r="H626" s="95"/>
      <c r="I626" s="95"/>
      <c r="J626" s="95"/>
      <c r="K626" s="95"/>
      <c r="L626" s="95"/>
      <c r="M626" s="95"/>
      <c r="N626" s="95"/>
      <c r="O626" s="95"/>
      <c r="P626" s="95"/>
      <c r="Q626" s="95"/>
      <c r="R626" s="95"/>
      <c r="S626" s="95"/>
      <c r="T626" s="95"/>
      <c r="U626" s="95"/>
      <c r="V626" s="95"/>
      <c r="W626" s="95"/>
      <c r="X626" s="95"/>
      <c r="Y626" s="95"/>
      <c r="Z626" s="95"/>
      <c r="AA626" s="95"/>
    </row>
    <row r="627">
      <c r="A627" s="95" t="s">
        <v>5116</v>
      </c>
      <c r="B627" s="95"/>
      <c r="C627" s="95"/>
      <c r="D627" s="95"/>
      <c r="E627" s="95"/>
      <c r="F627" s="95"/>
      <c r="G627" s="95"/>
      <c r="H627" s="95"/>
      <c r="I627" s="95"/>
      <c r="J627" s="95"/>
      <c r="K627" s="95"/>
      <c r="L627" s="95"/>
      <c r="M627" s="95"/>
      <c r="N627" s="95"/>
      <c r="O627" s="95"/>
      <c r="P627" s="95"/>
      <c r="Q627" s="95"/>
      <c r="R627" s="95"/>
      <c r="S627" s="95"/>
      <c r="T627" s="95"/>
      <c r="U627" s="95"/>
      <c r="V627" s="95"/>
      <c r="W627" s="95"/>
      <c r="X627" s="95"/>
      <c r="Y627" s="95"/>
      <c r="Z627" s="95"/>
      <c r="AA627" s="95"/>
    </row>
    <row r="628">
      <c r="A628" s="95" t="s">
        <v>5116</v>
      </c>
      <c r="B628" s="95"/>
      <c r="C628" s="95"/>
      <c r="D628" s="95"/>
      <c r="E628" s="95"/>
      <c r="F628" s="95"/>
      <c r="G628" s="95"/>
      <c r="H628" s="95"/>
      <c r="I628" s="95"/>
      <c r="J628" s="95"/>
      <c r="K628" s="95"/>
      <c r="L628" s="95"/>
      <c r="M628" s="95"/>
      <c r="N628" s="95"/>
      <c r="O628" s="95"/>
      <c r="P628" s="95"/>
      <c r="Q628" s="95"/>
      <c r="R628" s="95"/>
      <c r="S628" s="95"/>
      <c r="T628" s="95"/>
      <c r="U628" s="95"/>
      <c r="V628" s="95"/>
      <c r="W628" s="95"/>
      <c r="X628" s="95"/>
      <c r="Y628" s="95"/>
      <c r="Z628" s="95"/>
      <c r="AA628" s="95"/>
    </row>
    <row r="629">
      <c r="A629" s="95" t="s">
        <v>5116</v>
      </c>
      <c r="B629" s="95"/>
      <c r="C629" s="95"/>
      <c r="D629" s="95"/>
      <c r="E629" s="95"/>
      <c r="F629" s="95"/>
      <c r="G629" s="95"/>
      <c r="H629" s="95"/>
      <c r="I629" s="95"/>
      <c r="J629" s="95"/>
      <c r="K629" s="95"/>
      <c r="L629" s="95"/>
      <c r="M629" s="95"/>
      <c r="N629" s="95"/>
      <c r="O629" s="95"/>
      <c r="P629" s="95"/>
      <c r="Q629" s="95"/>
      <c r="R629" s="95"/>
      <c r="S629" s="95"/>
      <c r="T629" s="95"/>
      <c r="U629" s="95"/>
      <c r="V629" s="95"/>
      <c r="W629" s="95"/>
      <c r="X629" s="95"/>
      <c r="Y629" s="95"/>
      <c r="Z629" s="95"/>
      <c r="AA629" s="95"/>
    </row>
    <row r="630">
      <c r="A630" s="95" t="s">
        <v>5116</v>
      </c>
      <c r="B630" s="95"/>
      <c r="C630" s="95"/>
      <c r="D630" s="95"/>
      <c r="E630" s="95"/>
      <c r="F630" s="95"/>
      <c r="G630" s="95"/>
      <c r="H630" s="95"/>
      <c r="I630" s="95"/>
      <c r="J630" s="95"/>
      <c r="K630" s="95"/>
      <c r="L630" s="95"/>
      <c r="M630" s="95"/>
      <c r="N630" s="95"/>
      <c r="O630" s="95"/>
      <c r="P630" s="95"/>
      <c r="Q630" s="95"/>
      <c r="R630" s="95"/>
      <c r="S630" s="95"/>
      <c r="T630" s="95"/>
      <c r="U630" s="95"/>
      <c r="V630" s="95"/>
      <c r="W630" s="95"/>
      <c r="X630" s="95"/>
      <c r="Y630" s="95"/>
      <c r="Z630" s="95"/>
      <c r="AA630" s="95"/>
    </row>
    <row r="631">
      <c r="A631" s="95" t="s">
        <v>5116</v>
      </c>
      <c r="B631" s="95"/>
      <c r="C631" s="95"/>
      <c r="D631" s="95"/>
      <c r="E631" s="95"/>
      <c r="F631" s="95"/>
      <c r="G631" s="95"/>
      <c r="H631" s="95"/>
      <c r="I631" s="95"/>
      <c r="J631" s="95"/>
      <c r="K631" s="95"/>
      <c r="L631" s="95"/>
      <c r="M631" s="95"/>
      <c r="N631" s="95"/>
      <c r="O631" s="95"/>
      <c r="P631" s="95"/>
      <c r="Q631" s="95"/>
      <c r="R631" s="95"/>
      <c r="S631" s="95"/>
      <c r="T631" s="95"/>
      <c r="U631" s="95"/>
      <c r="V631" s="95"/>
      <c r="W631" s="95"/>
      <c r="X631" s="95"/>
      <c r="Y631" s="95"/>
      <c r="Z631" s="95"/>
      <c r="AA631" s="95"/>
    </row>
    <row r="632">
      <c r="A632" s="95" t="s">
        <v>5116</v>
      </c>
      <c r="B632" s="95"/>
      <c r="C632" s="95"/>
      <c r="D632" s="95"/>
      <c r="E632" s="95"/>
      <c r="F632" s="95"/>
      <c r="G632" s="95"/>
      <c r="H632" s="95"/>
      <c r="I632" s="95"/>
      <c r="J632" s="95"/>
      <c r="K632" s="95"/>
      <c r="L632" s="95"/>
      <c r="M632" s="95"/>
      <c r="N632" s="95"/>
      <c r="O632" s="95"/>
      <c r="P632" s="95"/>
      <c r="Q632" s="95"/>
      <c r="R632" s="95"/>
      <c r="S632" s="95"/>
      <c r="T632" s="95"/>
      <c r="U632" s="95"/>
      <c r="V632" s="95"/>
      <c r="W632" s="95"/>
      <c r="X632" s="95"/>
      <c r="Y632" s="95"/>
      <c r="Z632" s="95"/>
      <c r="AA632" s="95"/>
    </row>
    <row r="633">
      <c r="A633" s="95" t="s">
        <v>5116</v>
      </c>
      <c r="B633" s="95"/>
      <c r="C633" s="95"/>
      <c r="D633" s="95"/>
      <c r="E633" s="95"/>
      <c r="F633" s="95"/>
      <c r="G633" s="95"/>
      <c r="H633" s="95"/>
      <c r="I633" s="95"/>
      <c r="J633" s="95"/>
      <c r="K633" s="95"/>
      <c r="L633" s="95"/>
      <c r="M633" s="95"/>
      <c r="N633" s="95"/>
      <c r="O633" s="95"/>
      <c r="P633" s="95"/>
      <c r="Q633" s="95"/>
      <c r="R633" s="95"/>
      <c r="S633" s="95"/>
      <c r="T633" s="95"/>
      <c r="U633" s="95"/>
      <c r="V633" s="95"/>
      <c r="W633" s="95"/>
      <c r="X633" s="95"/>
      <c r="Y633" s="95"/>
      <c r="Z633" s="95"/>
      <c r="AA633" s="95"/>
    </row>
    <row r="634">
      <c r="A634" s="95" t="s">
        <v>5116</v>
      </c>
      <c r="B634" s="95"/>
      <c r="C634" s="95"/>
      <c r="D634" s="95"/>
      <c r="E634" s="95"/>
      <c r="F634" s="95"/>
      <c r="G634" s="95"/>
      <c r="H634" s="95"/>
      <c r="I634" s="95"/>
      <c r="J634" s="95"/>
      <c r="K634" s="95"/>
      <c r="L634" s="95"/>
      <c r="M634" s="95"/>
      <c r="N634" s="95"/>
      <c r="O634" s="95"/>
      <c r="P634" s="95"/>
      <c r="Q634" s="95"/>
      <c r="R634" s="95"/>
      <c r="S634" s="95"/>
      <c r="T634" s="95"/>
      <c r="U634" s="95"/>
      <c r="V634" s="95"/>
      <c r="W634" s="95"/>
      <c r="X634" s="95"/>
      <c r="Y634" s="95"/>
      <c r="Z634" s="95"/>
      <c r="AA634" s="95"/>
    </row>
    <row r="635">
      <c r="A635" s="95" t="s">
        <v>5116</v>
      </c>
      <c r="B635" s="95"/>
      <c r="C635" s="95"/>
      <c r="D635" s="95"/>
      <c r="E635" s="95"/>
      <c r="F635" s="95"/>
      <c r="G635" s="95"/>
      <c r="H635" s="95"/>
      <c r="I635" s="95"/>
      <c r="J635" s="95"/>
      <c r="K635" s="95"/>
      <c r="L635" s="95"/>
      <c r="M635" s="95"/>
      <c r="N635" s="95"/>
      <c r="O635" s="95"/>
      <c r="P635" s="95"/>
      <c r="Q635" s="95"/>
      <c r="R635" s="95"/>
      <c r="S635" s="95"/>
      <c r="T635" s="95"/>
      <c r="U635" s="95"/>
      <c r="V635" s="95"/>
      <c r="W635" s="95"/>
      <c r="X635" s="95"/>
      <c r="Y635" s="95"/>
      <c r="Z635" s="95"/>
      <c r="AA635" s="95"/>
    </row>
    <row r="636">
      <c r="A636" s="95" t="s">
        <v>5116</v>
      </c>
      <c r="B636" s="95"/>
      <c r="C636" s="95"/>
      <c r="D636" s="95"/>
      <c r="E636" s="95"/>
      <c r="F636" s="95"/>
      <c r="G636" s="95"/>
      <c r="H636" s="95"/>
      <c r="I636" s="95"/>
      <c r="J636" s="95"/>
      <c r="K636" s="95"/>
      <c r="L636" s="95"/>
      <c r="M636" s="95"/>
      <c r="N636" s="95"/>
      <c r="O636" s="95"/>
      <c r="P636" s="95"/>
      <c r="Q636" s="95"/>
      <c r="R636" s="95"/>
      <c r="S636" s="95"/>
      <c r="T636" s="95"/>
      <c r="U636" s="95"/>
      <c r="V636" s="95"/>
      <c r="W636" s="95"/>
      <c r="X636" s="95"/>
      <c r="Y636" s="95"/>
      <c r="Z636" s="95"/>
      <c r="AA636" s="95"/>
    </row>
    <row r="637">
      <c r="A637" s="95" t="s">
        <v>5116</v>
      </c>
      <c r="B637" s="95"/>
      <c r="C637" s="95"/>
      <c r="D637" s="95"/>
      <c r="E637" s="95"/>
      <c r="F637" s="95"/>
      <c r="G637" s="95"/>
      <c r="H637" s="95"/>
      <c r="I637" s="95"/>
      <c r="J637" s="95"/>
      <c r="K637" s="95"/>
      <c r="L637" s="95"/>
      <c r="M637" s="95"/>
      <c r="N637" s="95"/>
      <c r="O637" s="95"/>
      <c r="P637" s="95"/>
      <c r="Q637" s="95"/>
      <c r="R637" s="95"/>
      <c r="S637" s="95"/>
      <c r="T637" s="95"/>
      <c r="U637" s="95"/>
      <c r="V637" s="95"/>
      <c r="W637" s="95"/>
      <c r="X637" s="95"/>
      <c r="Y637" s="95"/>
      <c r="Z637" s="95"/>
      <c r="AA637" s="95"/>
    </row>
    <row r="638">
      <c r="A638" s="95" t="s">
        <v>5116</v>
      </c>
      <c r="B638" s="95"/>
      <c r="C638" s="95"/>
      <c r="D638" s="95"/>
      <c r="E638" s="95"/>
      <c r="F638" s="95"/>
      <c r="G638" s="95"/>
      <c r="H638" s="95"/>
      <c r="I638" s="95"/>
      <c r="J638" s="95"/>
      <c r="K638" s="95"/>
      <c r="L638" s="95"/>
      <c r="M638" s="95"/>
      <c r="N638" s="95"/>
      <c r="O638" s="95"/>
      <c r="P638" s="95"/>
      <c r="Q638" s="95"/>
      <c r="R638" s="95"/>
      <c r="S638" s="95"/>
      <c r="T638" s="95"/>
      <c r="U638" s="95"/>
      <c r="V638" s="95"/>
      <c r="W638" s="95"/>
      <c r="X638" s="95"/>
      <c r="Y638" s="95"/>
      <c r="Z638" s="95"/>
      <c r="AA638" s="95"/>
    </row>
    <row r="639">
      <c r="A639" s="95" t="s">
        <v>5116</v>
      </c>
      <c r="B639" s="95"/>
      <c r="C639" s="95"/>
      <c r="D639" s="95"/>
      <c r="E639" s="95"/>
      <c r="F639" s="95"/>
      <c r="G639" s="95"/>
      <c r="H639" s="95"/>
      <c r="I639" s="95"/>
      <c r="J639" s="95"/>
      <c r="K639" s="95"/>
      <c r="L639" s="95"/>
      <c r="M639" s="95"/>
      <c r="N639" s="95"/>
      <c r="O639" s="95"/>
      <c r="P639" s="95"/>
      <c r="Q639" s="95"/>
      <c r="R639" s="95"/>
      <c r="S639" s="95"/>
      <c r="T639" s="95"/>
      <c r="U639" s="95"/>
      <c r="V639" s="95"/>
      <c r="W639" s="95"/>
      <c r="X639" s="95"/>
      <c r="Y639" s="95"/>
      <c r="Z639" s="95"/>
      <c r="AA639" s="95"/>
    </row>
    <row r="640">
      <c r="A640" s="95" t="s">
        <v>5116</v>
      </c>
      <c r="B640" s="95"/>
      <c r="C640" s="95"/>
      <c r="D640" s="95"/>
      <c r="E640" s="95"/>
      <c r="F640" s="95"/>
      <c r="G640" s="95"/>
      <c r="H640" s="95"/>
      <c r="I640" s="95"/>
      <c r="J640" s="95"/>
      <c r="K640" s="95"/>
      <c r="L640" s="95"/>
      <c r="M640" s="95"/>
      <c r="N640" s="95"/>
      <c r="O640" s="95"/>
      <c r="P640" s="95"/>
      <c r="Q640" s="95"/>
      <c r="R640" s="95"/>
      <c r="S640" s="95"/>
      <c r="T640" s="95"/>
      <c r="U640" s="95"/>
      <c r="V640" s="95"/>
      <c r="W640" s="95"/>
      <c r="X640" s="95"/>
      <c r="Y640" s="95"/>
      <c r="Z640" s="95"/>
      <c r="AA640" s="95"/>
    </row>
    <row r="641">
      <c r="A641" s="95" t="s">
        <v>5116</v>
      </c>
      <c r="B641" s="95"/>
      <c r="C641" s="95"/>
      <c r="D641" s="95"/>
      <c r="E641" s="95"/>
      <c r="F641" s="95"/>
      <c r="G641" s="95"/>
      <c r="H641" s="95"/>
      <c r="I641" s="95"/>
      <c r="J641" s="95"/>
      <c r="K641" s="95"/>
      <c r="L641" s="95"/>
      <c r="M641" s="95"/>
      <c r="N641" s="95"/>
      <c r="O641" s="95"/>
      <c r="P641" s="95"/>
      <c r="Q641" s="95"/>
      <c r="R641" s="95"/>
      <c r="S641" s="95"/>
      <c r="T641" s="95"/>
      <c r="U641" s="95"/>
      <c r="V641" s="95"/>
      <c r="W641" s="95"/>
      <c r="X641" s="95"/>
      <c r="Y641" s="95"/>
      <c r="Z641" s="95"/>
      <c r="AA641" s="95"/>
    </row>
    <row r="642">
      <c r="A642" s="95" t="s">
        <v>5116</v>
      </c>
      <c r="B642" s="95"/>
      <c r="C642" s="95"/>
      <c r="D642" s="95"/>
      <c r="E642" s="95"/>
      <c r="F642" s="95"/>
      <c r="G642" s="95"/>
      <c r="H642" s="95"/>
      <c r="I642" s="95"/>
      <c r="J642" s="95"/>
      <c r="K642" s="95"/>
      <c r="L642" s="95"/>
      <c r="M642" s="95"/>
      <c r="N642" s="95"/>
      <c r="O642" s="95"/>
      <c r="P642" s="95"/>
      <c r="Q642" s="95"/>
      <c r="R642" s="95"/>
      <c r="S642" s="95"/>
      <c r="T642" s="95"/>
      <c r="U642" s="95"/>
      <c r="V642" s="95"/>
      <c r="W642" s="95"/>
      <c r="X642" s="95"/>
      <c r="Y642" s="95"/>
      <c r="Z642" s="95"/>
      <c r="AA642" s="95"/>
    </row>
    <row r="643">
      <c r="A643" s="95" t="s">
        <v>5116</v>
      </c>
      <c r="B643" s="95"/>
      <c r="C643" s="95"/>
      <c r="D643" s="95"/>
      <c r="E643" s="95"/>
      <c r="F643" s="95"/>
      <c r="G643" s="95"/>
      <c r="H643" s="95"/>
      <c r="I643" s="95"/>
      <c r="J643" s="95"/>
      <c r="K643" s="95"/>
      <c r="L643" s="95"/>
      <c r="M643" s="95"/>
      <c r="N643" s="95"/>
      <c r="O643" s="95"/>
      <c r="P643" s="95"/>
      <c r="Q643" s="95"/>
      <c r="R643" s="95"/>
      <c r="S643" s="95"/>
      <c r="T643" s="95"/>
      <c r="U643" s="95"/>
      <c r="V643" s="95"/>
      <c r="W643" s="95"/>
      <c r="X643" s="95"/>
      <c r="Y643" s="95"/>
      <c r="Z643" s="95"/>
      <c r="AA643" s="95"/>
    </row>
    <row r="644">
      <c r="A644" s="95" t="s">
        <v>5116</v>
      </c>
      <c r="B644" s="95"/>
      <c r="C644" s="95"/>
      <c r="D644" s="95"/>
      <c r="E644" s="95"/>
      <c r="F644" s="95"/>
      <c r="G644" s="95"/>
      <c r="H644" s="95"/>
      <c r="I644" s="95"/>
      <c r="J644" s="95"/>
      <c r="K644" s="95"/>
      <c r="L644" s="95"/>
      <c r="M644" s="95"/>
      <c r="N644" s="95"/>
      <c r="O644" s="95"/>
      <c r="P644" s="95"/>
      <c r="Q644" s="95"/>
      <c r="R644" s="95"/>
      <c r="S644" s="95"/>
      <c r="T644" s="95"/>
      <c r="U644" s="95"/>
      <c r="V644" s="95"/>
      <c r="W644" s="95"/>
      <c r="X644" s="95"/>
      <c r="Y644" s="95"/>
      <c r="Z644" s="95"/>
      <c r="AA644" s="95"/>
    </row>
    <row r="645">
      <c r="A645" s="95" t="s">
        <v>5116</v>
      </c>
      <c r="B645" s="95"/>
      <c r="C645" s="95"/>
      <c r="D645" s="95"/>
      <c r="E645" s="95"/>
      <c r="F645" s="95"/>
      <c r="G645" s="95"/>
      <c r="H645" s="95"/>
      <c r="I645" s="95"/>
      <c r="J645" s="95"/>
      <c r="K645" s="95"/>
      <c r="L645" s="95"/>
      <c r="M645" s="95"/>
      <c r="N645" s="95"/>
      <c r="O645" s="95"/>
      <c r="P645" s="95"/>
      <c r="Q645" s="95"/>
      <c r="R645" s="95"/>
      <c r="S645" s="95"/>
      <c r="T645" s="95"/>
      <c r="U645" s="95"/>
      <c r="V645" s="95"/>
      <c r="W645" s="95"/>
      <c r="X645" s="95"/>
      <c r="Y645" s="95"/>
      <c r="Z645" s="95"/>
      <c r="AA645" s="95"/>
    </row>
    <row r="646">
      <c r="A646" s="95" t="s">
        <v>5116</v>
      </c>
      <c r="B646" s="95"/>
      <c r="C646" s="95"/>
      <c r="D646" s="95"/>
      <c r="E646" s="95"/>
      <c r="F646" s="95"/>
      <c r="G646" s="95"/>
      <c r="H646" s="95"/>
      <c r="I646" s="95"/>
      <c r="J646" s="95"/>
      <c r="K646" s="95"/>
      <c r="L646" s="95"/>
      <c r="M646" s="95"/>
      <c r="N646" s="95"/>
      <c r="O646" s="95"/>
      <c r="P646" s="95"/>
      <c r="Q646" s="95"/>
      <c r="R646" s="95"/>
      <c r="S646" s="95"/>
      <c r="T646" s="95"/>
      <c r="U646" s="95"/>
      <c r="V646" s="95"/>
      <c r="W646" s="95"/>
      <c r="X646" s="95"/>
      <c r="Y646" s="95"/>
      <c r="Z646" s="95"/>
      <c r="AA646" s="95"/>
    </row>
    <row r="647">
      <c r="A647" s="95" t="s">
        <v>5116</v>
      </c>
      <c r="B647" s="95"/>
      <c r="C647" s="95"/>
      <c r="D647" s="95"/>
      <c r="E647" s="95"/>
      <c r="F647" s="95"/>
      <c r="G647" s="95"/>
      <c r="H647" s="95"/>
      <c r="I647" s="95"/>
      <c r="J647" s="95"/>
      <c r="K647" s="95"/>
      <c r="L647" s="95"/>
      <c r="M647" s="95"/>
      <c r="N647" s="95"/>
      <c r="O647" s="95"/>
      <c r="P647" s="95"/>
      <c r="Q647" s="95"/>
      <c r="R647" s="95"/>
      <c r="S647" s="95"/>
      <c r="T647" s="95"/>
      <c r="U647" s="95"/>
      <c r="V647" s="95"/>
      <c r="W647" s="95"/>
      <c r="X647" s="95"/>
      <c r="Y647" s="95"/>
      <c r="Z647" s="95"/>
      <c r="AA647" s="95"/>
    </row>
    <row r="648">
      <c r="A648" s="95" t="s">
        <v>5116</v>
      </c>
      <c r="B648" s="95"/>
      <c r="C648" s="95"/>
      <c r="D648" s="95"/>
      <c r="E648" s="95"/>
      <c r="F648" s="95"/>
      <c r="G648" s="95"/>
      <c r="H648" s="95"/>
      <c r="I648" s="95"/>
      <c r="J648" s="95"/>
      <c r="K648" s="95"/>
      <c r="L648" s="95"/>
      <c r="M648" s="95"/>
      <c r="N648" s="95"/>
      <c r="O648" s="95"/>
      <c r="P648" s="95"/>
      <c r="Q648" s="95"/>
      <c r="R648" s="95"/>
      <c r="S648" s="95"/>
      <c r="T648" s="95"/>
      <c r="U648" s="95"/>
      <c r="V648" s="95"/>
      <c r="W648" s="95"/>
      <c r="X648" s="95"/>
      <c r="Y648" s="95"/>
      <c r="Z648" s="95"/>
      <c r="AA648" s="95"/>
    </row>
    <row r="649">
      <c r="A649" s="95" t="s">
        <v>5116</v>
      </c>
      <c r="B649" s="95"/>
      <c r="C649" s="95"/>
      <c r="D649" s="95"/>
      <c r="E649" s="95"/>
      <c r="F649" s="95"/>
      <c r="G649" s="95"/>
      <c r="H649" s="95"/>
      <c r="I649" s="95"/>
      <c r="J649" s="95"/>
      <c r="K649" s="95"/>
      <c r="L649" s="95"/>
      <c r="M649" s="95"/>
      <c r="N649" s="95"/>
      <c r="O649" s="95"/>
      <c r="P649" s="95"/>
      <c r="Q649" s="95"/>
      <c r="R649" s="95"/>
      <c r="S649" s="95"/>
      <c r="T649" s="95"/>
      <c r="U649" s="95"/>
      <c r="V649" s="95"/>
      <c r="W649" s="95"/>
      <c r="X649" s="95"/>
      <c r="Y649" s="95"/>
      <c r="Z649" s="95"/>
      <c r="AA649" s="95"/>
    </row>
    <row r="650">
      <c r="A650" s="95" t="s">
        <v>5116</v>
      </c>
      <c r="B650" s="95"/>
      <c r="C650" s="95"/>
      <c r="D650" s="95"/>
      <c r="E650" s="95"/>
      <c r="F650" s="95"/>
      <c r="G650" s="95"/>
      <c r="H650" s="95"/>
      <c r="I650" s="95"/>
      <c r="J650" s="95"/>
      <c r="K650" s="95"/>
      <c r="L650" s="95"/>
      <c r="M650" s="95"/>
      <c r="N650" s="95"/>
      <c r="O650" s="95"/>
      <c r="P650" s="95"/>
      <c r="Q650" s="95"/>
      <c r="R650" s="95"/>
      <c r="S650" s="95"/>
      <c r="T650" s="95"/>
      <c r="U650" s="95"/>
      <c r="V650" s="95"/>
      <c r="W650" s="95"/>
      <c r="X650" s="95"/>
      <c r="Y650" s="95"/>
      <c r="Z650" s="95"/>
      <c r="AA650" s="95"/>
    </row>
    <row r="651">
      <c r="A651" s="95" t="s">
        <v>5116</v>
      </c>
      <c r="B651" s="95"/>
      <c r="C651" s="95"/>
      <c r="D651" s="95"/>
      <c r="E651" s="95"/>
      <c r="F651" s="95"/>
      <c r="G651" s="95"/>
      <c r="H651" s="95"/>
      <c r="I651" s="95"/>
      <c r="J651" s="95"/>
      <c r="K651" s="95"/>
      <c r="L651" s="95"/>
      <c r="M651" s="95"/>
      <c r="N651" s="95"/>
      <c r="O651" s="95"/>
      <c r="P651" s="95"/>
      <c r="Q651" s="95"/>
      <c r="R651" s="95"/>
      <c r="S651" s="95"/>
      <c r="T651" s="95"/>
      <c r="U651" s="95"/>
      <c r="V651" s="95"/>
      <c r="W651" s="95"/>
      <c r="X651" s="95"/>
      <c r="Y651" s="95"/>
      <c r="Z651" s="95"/>
      <c r="AA651" s="95"/>
    </row>
    <row r="652">
      <c r="A652" s="95" t="s">
        <v>5116</v>
      </c>
      <c r="B652" s="95"/>
      <c r="C652" s="95"/>
      <c r="D652" s="95"/>
      <c r="E652" s="95"/>
      <c r="F652" s="95"/>
      <c r="G652" s="95"/>
      <c r="H652" s="95"/>
      <c r="I652" s="95"/>
      <c r="J652" s="95"/>
      <c r="K652" s="95"/>
      <c r="L652" s="95"/>
      <c r="M652" s="95"/>
      <c r="N652" s="95"/>
      <c r="O652" s="95"/>
      <c r="P652" s="95"/>
      <c r="Q652" s="95"/>
      <c r="R652" s="95"/>
      <c r="S652" s="95"/>
      <c r="T652" s="95"/>
      <c r="U652" s="95"/>
      <c r="V652" s="95"/>
      <c r="W652" s="95"/>
      <c r="X652" s="95"/>
      <c r="Y652" s="95"/>
      <c r="Z652" s="95"/>
      <c r="AA652" s="95"/>
    </row>
    <row r="653">
      <c r="A653" s="95" t="s">
        <v>5116</v>
      </c>
      <c r="B653" s="95"/>
      <c r="C653" s="95"/>
      <c r="D653" s="95"/>
      <c r="E653" s="95"/>
      <c r="F653" s="95"/>
      <c r="G653" s="95"/>
      <c r="H653" s="95"/>
      <c r="I653" s="95"/>
      <c r="J653" s="95"/>
      <c r="K653" s="95"/>
      <c r="L653" s="95"/>
      <c r="M653" s="95"/>
      <c r="N653" s="95"/>
      <c r="O653" s="95"/>
      <c r="P653" s="95"/>
      <c r="Q653" s="95"/>
      <c r="R653" s="95"/>
      <c r="S653" s="95"/>
      <c r="T653" s="95"/>
      <c r="U653" s="95"/>
      <c r="V653" s="95"/>
      <c r="W653" s="95"/>
      <c r="X653" s="95"/>
      <c r="Y653" s="95"/>
      <c r="Z653" s="95"/>
      <c r="AA653" s="95"/>
    </row>
    <row r="654">
      <c r="A654" s="95" t="s">
        <v>5116</v>
      </c>
      <c r="B654" s="95"/>
      <c r="C654" s="95"/>
      <c r="D654" s="95"/>
      <c r="E654" s="95"/>
      <c r="F654" s="95"/>
      <c r="G654" s="95"/>
      <c r="H654" s="95"/>
      <c r="I654" s="95"/>
      <c r="J654" s="95"/>
      <c r="K654" s="95"/>
      <c r="L654" s="95"/>
      <c r="M654" s="95"/>
      <c r="N654" s="95"/>
      <c r="O654" s="95"/>
      <c r="P654" s="95"/>
      <c r="Q654" s="95"/>
      <c r="R654" s="95"/>
      <c r="S654" s="95"/>
      <c r="T654" s="95"/>
      <c r="U654" s="95"/>
      <c r="V654" s="95"/>
      <c r="W654" s="95"/>
      <c r="X654" s="95"/>
      <c r="Y654" s="95"/>
      <c r="Z654" s="95"/>
      <c r="AA654" s="95"/>
    </row>
    <row r="655">
      <c r="A655" s="95" t="s">
        <v>5116</v>
      </c>
      <c r="B655" s="95"/>
      <c r="C655" s="95"/>
      <c r="D655" s="95"/>
      <c r="E655" s="95"/>
      <c r="F655" s="95"/>
      <c r="G655" s="95"/>
      <c r="H655" s="95"/>
      <c r="I655" s="95"/>
      <c r="J655" s="95"/>
      <c r="K655" s="95"/>
      <c r="L655" s="95"/>
      <c r="M655" s="95"/>
      <c r="N655" s="95"/>
      <c r="O655" s="95"/>
      <c r="P655" s="95"/>
      <c r="Q655" s="95"/>
      <c r="R655" s="95"/>
      <c r="S655" s="95"/>
      <c r="T655" s="95"/>
      <c r="U655" s="95"/>
      <c r="V655" s="95"/>
      <c r="W655" s="95"/>
      <c r="X655" s="95"/>
      <c r="Y655" s="95"/>
      <c r="Z655" s="95"/>
      <c r="AA655" s="95"/>
    </row>
    <row r="656">
      <c r="A656" s="95" t="s">
        <v>5116</v>
      </c>
      <c r="B656" s="95"/>
      <c r="C656" s="95"/>
      <c r="D656" s="95"/>
      <c r="E656" s="95"/>
      <c r="F656" s="95"/>
      <c r="G656" s="95"/>
      <c r="H656" s="95"/>
      <c r="I656" s="95"/>
      <c r="J656" s="95"/>
      <c r="K656" s="95"/>
      <c r="L656" s="95"/>
      <c r="M656" s="95"/>
      <c r="N656" s="95"/>
      <c r="O656" s="95"/>
      <c r="P656" s="95"/>
      <c r="Q656" s="95"/>
      <c r="R656" s="95"/>
      <c r="S656" s="95"/>
      <c r="T656" s="95"/>
      <c r="U656" s="95"/>
      <c r="V656" s="95"/>
      <c r="W656" s="95"/>
      <c r="X656" s="95"/>
      <c r="Y656" s="95"/>
      <c r="Z656" s="95"/>
      <c r="AA656" s="95"/>
    </row>
    <row r="657">
      <c r="A657" s="95" t="s">
        <v>5116</v>
      </c>
      <c r="B657" s="95"/>
      <c r="C657" s="95"/>
      <c r="D657" s="95"/>
      <c r="E657" s="95"/>
      <c r="F657" s="95"/>
      <c r="G657" s="95"/>
      <c r="H657" s="95"/>
      <c r="I657" s="95"/>
      <c r="J657" s="95"/>
      <c r="K657" s="95"/>
      <c r="L657" s="95"/>
      <c r="M657" s="95"/>
      <c r="N657" s="95"/>
      <c r="O657" s="95"/>
      <c r="P657" s="95"/>
      <c r="Q657" s="95"/>
      <c r="R657" s="95"/>
      <c r="S657" s="95"/>
      <c r="T657" s="95"/>
      <c r="U657" s="95"/>
      <c r="V657" s="95"/>
      <c r="W657" s="95"/>
      <c r="X657" s="95"/>
      <c r="Y657" s="95"/>
      <c r="Z657" s="95"/>
      <c r="AA657" s="95"/>
    </row>
    <row r="658">
      <c r="A658" s="95" t="s">
        <v>5116</v>
      </c>
      <c r="B658" s="95"/>
      <c r="C658" s="95"/>
      <c r="D658" s="95"/>
      <c r="E658" s="95"/>
      <c r="F658" s="95"/>
      <c r="G658" s="95"/>
      <c r="H658" s="95"/>
      <c r="I658" s="95"/>
      <c r="J658" s="95"/>
      <c r="K658" s="95"/>
      <c r="L658" s="95"/>
      <c r="M658" s="95"/>
      <c r="N658" s="95"/>
      <c r="O658" s="95"/>
      <c r="P658" s="95"/>
      <c r="Q658" s="95"/>
      <c r="R658" s="95"/>
      <c r="S658" s="95"/>
      <c r="T658" s="95"/>
      <c r="U658" s="95"/>
      <c r="V658" s="95"/>
      <c r="W658" s="95"/>
      <c r="X658" s="95"/>
      <c r="Y658" s="95"/>
      <c r="Z658" s="95"/>
      <c r="AA658" s="95"/>
    </row>
    <row r="659">
      <c r="A659" s="95" t="s">
        <v>5116</v>
      </c>
      <c r="B659" s="95"/>
      <c r="C659" s="95"/>
      <c r="D659" s="95"/>
      <c r="E659" s="95"/>
      <c r="F659" s="95"/>
      <c r="G659" s="95"/>
      <c r="H659" s="95"/>
      <c r="I659" s="95"/>
      <c r="J659" s="95"/>
      <c r="K659" s="95"/>
      <c r="L659" s="95"/>
      <c r="M659" s="95"/>
      <c r="N659" s="95"/>
      <c r="O659" s="95"/>
      <c r="P659" s="95"/>
      <c r="Q659" s="95"/>
      <c r="R659" s="95"/>
      <c r="S659" s="95"/>
      <c r="T659" s="95"/>
      <c r="U659" s="95"/>
      <c r="V659" s="95"/>
      <c r="W659" s="95"/>
      <c r="X659" s="95"/>
      <c r="Y659" s="95"/>
      <c r="Z659" s="95"/>
      <c r="AA659" s="95"/>
    </row>
    <row r="660">
      <c r="A660" s="95" t="s">
        <v>5116</v>
      </c>
      <c r="B660" s="95"/>
      <c r="C660" s="95"/>
      <c r="D660" s="95"/>
      <c r="E660" s="95"/>
      <c r="F660" s="95"/>
      <c r="G660" s="95"/>
      <c r="H660" s="95"/>
      <c r="I660" s="95"/>
      <c r="J660" s="95"/>
      <c r="K660" s="95"/>
      <c r="L660" s="95"/>
      <c r="M660" s="95"/>
      <c r="N660" s="95"/>
      <c r="O660" s="95"/>
      <c r="P660" s="95"/>
      <c r="Q660" s="95"/>
      <c r="R660" s="95"/>
      <c r="S660" s="95"/>
      <c r="T660" s="95"/>
      <c r="U660" s="95"/>
      <c r="V660" s="95"/>
      <c r="W660" s="95"/>
      <c r="X660" s="95"/>
      <c r="Y660" s="95"/>
      <c r="Z660" s="95"/>
      <c r="AA660" s="95"/>
    </row>
    <row r="661">
      <c r="A661" s="95" t="s">
        <v>5116</v>
      </c>
      <c r="B661" s="95"/>
      <c r="C661" s="95"/>
      <c r="D661" s="95"/>
      <c r="E661" s="95"/>
      <c r="F661" s="95"/>
      <c r="G661" s="95"/>
      <c r="H661" s="95"/>
      <c r="I661" s="95"/>
      <c r="J661" s="95"/>
      <c r="K661" s="95"/>
      <c r="L661" s="95"/>
      <c r="M661" s="95"/>
      <c r="N661" s="95"/>
      <c r="O661" s="95"/>
      <c r="P661" s="95"/>
      <c r="Q661" s="95"/>
      <c r="R661" s="95"/>
      <c r="S661" s="95"/>
      <c r="T661" s="95"/>
      <c r="U661" s="95"/>
      <c r="V661" s="95"/>
      <c r="W661" s="95"/>
      <c r="X661" s="95"/>
      <c r="Y661" s="95"/>
      <c r="Z661" s="95"/>
      <c r="AA661" s="95"/>
    </row>
    <row r="662">
      <c r="A662" s="95" t="s">
        <v>5116</v>
      </c>
      <c r="B662" s="95"/>
      <c r="C662" s="95"/>
      <c r="D662" s="95"/>
      <c r="E662" s="95"/>
      <c r="F662" s="95"/>
      <c r="G662" s="95"/>
      <c r="H662" s="95"/>
      <c r="I662" s="95"/>
      <c r="J662" s="95"/>
      <c r="K662" s="95"/>
      <c r="L662" s="95"/>
      <c r="M662" s="95"/>
      <c r="N662" s="95"/>
      <c r="O662" s="95"/>
      <c r="P662" s="95"/>
      <c r="Q662" s="95"/>
      <c r="R662" s="95"/>
      <c r="S662" s="95"/>
      <c r="T662" s="95"/>
      <c r="U662" s="95"/>
      <c r="V662" s="95"/>
      <c r="W662" s="95"/>
      <c r="X662" s="95"/>
      <c r="Y662" s="95"/>
      <c r="Z662" s="95"/>
      <c r="AA662" s="95"/>
    </row>
    <row r="663">
      <c r="A663" s="95" t="s">
        <v>5116</v>
      </c>
      <c r="B663" s="95"/>
      <c r="C663" s="95"/>
      <c r="D663" s="95"/>
      <c r="E663" s="95"/>
      <c r="F663" s="95"/>
      <c r="G663" s="95"/>
      <c r="H663" s="95"/>
      <c r="I663" s="95"/>
      <c r="J663" s="95"/>
      <c r="K663" s="95"/>
      <c r="L663" s="95"/>
      <c r="M663" s="95"/>
      <c r="N663" s="95"/>
      <c r="O663" s="95"/>
      <c r="P663" s="95"/>
      <c r="Q663" s="95"/>
      <c r="R663" s="95"/>
      <c r="S663" s="95"/>
      <c r="T663" s="95"/>
      <c r="U663" s="95"/>
      <c r="V663" s="95"/>
      <c r="W663" s="95"/>
      <c r="X663" s="95"/>
      <c r="Y663" s="95"/>
      <c r="Z663" s="95"/>
      <c r="AA663" s="95"/>
    </row>
    <row r="664">
      <c r="A664" s="95" t="s">
        <v>5116</v>
      </c>
      <c r="B664" s="95"/>
      <c r="C664" s="95"/>
      <c r="D664" s="95"/>
      <c r="E664" s="95"/>
      <c r="F664" s="95"/>
      <c r="G664" s="95"/>
      <c r="H664" s="95"/>
      <c r="I664" s="95"/>
      <c r="J664" s="95"/>
      <c r="K664" s="95"/>
      <c r="L664" s="95"/>
      <c r="M664" s="95"/>
      <c r="N664" s="95"/>
      <c r="O664" s="95"/>
      <c r="P664" s="95"/>
      <c r="Q664" s="95"/>
      <c r="R664" s="95"/>
      <c r="S664" s="95"/>
      <c r="T664" s="95"/>
      <c r="U664" s="95"/>
      <c r="V664" s="95"/>
      <c r="W664" s="95"/>
      <c r="X664" s="95"/>
      <c r="Y664" s="95"/>
      <c r="Z664" s="95"/>
      <c r="AA664" s="95"/>
    </row>
    <row r="665">
      <c r="A665" s="95" t="s">
        <v>5116</v>
      </c>
      <c r="B665" s="95"/>
      <c r="C665" s="95"/>
      <c r="D665" s="95"/>
      <c r="E665" s="95"/>
      <c r="F665" s="95"/>
      <c r="G665" s="95"/>
      <c r="H665" s="95"/>
      <c r="I665" s="95"/>
      <c r="J665" s="95"/>
      <c r="K665" s="95"/>
      <c r="L665" s="95"/>
      <c r="M665" s="95"/>
      <c r="N665" s="95"/>
      <c r="O665" s="95"/>
      <c r="P665" s="95"/>
      <c r="Q665" s="95"/>
      <c r="R665" s="95"/>
      <c r="S665" s="95"/>
      <c r="T665" s="95"/>
      <c r="U665" s="95"/>
      <c r="V665" s="95"/>
      <c r="W665" s="95"/>
      <c r="X665" s="95"/>
      <c r="Y665" s="95"/>
      <c r="Z665" s="95"/>
      <c r="AA665" s="95"/>
    </row>
    <row r="666">
      <c r="A666" s="95" t="s">
        <v>5116</v>
      </c>
      <c r="B666" s="95"/>
      <c r="C666" s="95"/>
      <c r="D666" s="95"/>
      <c r="E666" s="95"/>
      <c r="F666" s="95"/>
      <c r="G666" s="95"/>
      <c r="H666" s="95"/>
      <c r="I666" s="95"/>
      <c r="J666" s="95"/>
      <c r="K666" s="95"/>
      <c r="L666" s="95"/>
      <c r="M666" s="95"/>
      <c r="N666" s="95"/>
      <c r="O666" s="95"/>
      <c r="P666" s="95"/>
      <c r="Q666" s="95"/>
      <c r="R666" s="95"/>
      <c r="S666" s="95"/>
      <c r="T666" s="95"/>
      <c r="U666" s="95"/>
      <c r="V666" s="95"/>
      <c r="W666" s="95"/>
      <c r="X666" s="95"/>
      <c r="Y666" s="95"/>
      <c r="Z666" s="95"/>
      <c r="AA666" s="95"/>
    </row>
    <row r="667">
      <c r="A667" s="95" t="s">
        <v>5116</v>
      </c>
      <c r="B667" s="95"/>
      <c r="C667" s="95"/>
      <c r="D667" s="95"/>
      <c r="E667" s="95"/>
      <c r="F667" s="95"/>
      <c r="G667" s="95"/>
      <c r="H667" s="95"/>
      <c r="I667" s="95"/>
      <c r="J667" s="95"/>
      <c r="K667" s="95"/>
      <c r="L667" s="95"/>
      <c r="M667" s="95"/>
      <c r="N667" s="95"/>
      <c r="O667" s="95"/>
      <c r="P667" s="95"/>
      <c r="Q667" s="95"/>
      <c r="R667" s="95"/>
      <c r="S667" s="95"/>
      <c r="T667" s="95"/>
      <c r="U667" s="95"/>
      <c r="V667" s="95"/>
      <c r="W667" s="95"/>
      <c r="X667" s="95"/>
      <c r="Y667" s="95"/>
      <c r="Z667" s="95"/>
      <c r="AA667" s="95"/>
    </row>
    <row r="668">
      <c r="A668" s="95" t="s">
        <v>5116</v>
      </c>
      <c r="B668" s="95"/>
      <c r="C668" s="95"/>
      <c r="D668" s="95"/>
      <c r="E668" s="95"/>
      <c r="F668" s="95"/>
      <c r="G668" s="95"/>
      <c r="H668" s="95"/>
      <c r="I668" s="95"/>
      <c r="J668" s="95"/>
      <c r="K668" s="95"/>
      <c r="L668" s="95"/>
      <c r="M668" s="95"/>
      <c r="N668" s="95"/>
      <c r="O668" s="95"/>
      <c r="P668" s="95"/>
      <c r="Q668" s="95"/>
      <c r="R668" s="95"/>
      <c r="S668" s="95"/>
      <c r="T668" s="95"/>
      <c r="U668" s="95"/>
      <c r="V668" s="95"/>
      <c r="W668" s="95"/>
      <c r="X668" s="95"/>
      <c r="Y668" s="95"/>
      <c r="Z668" s="95"/>
      <c r="AA668" s="95"/>
    </row>
    <row r="669">
      <c r="A669" s="95" t="s">
        <v>5116</v>
      </c>
      <c r="B669" s="95"/>
      <c r="C669" s="95"/>
      <c r="D669" s="95"/>
      <c r="E669" s="95"/>
      <c r="F669" s="95"/>
      <c r="G669" s="95"/>
      <c r="H669" s="95"/>
      <c r="I669" s="95"/>
      <c r="J669" s="95"/>
      <c r="K669" s="95"/>
      <c r="L669" s="95"/>
      <c r="M669" s="95"/>
      <c r="N669" s="95"/>
      <c r="O669" s="95"/>
      <c r="P669" s="95"/>
      <c r="Q669" s="95"/>
      <c r="R669" s="95"/>
      <c r="S669" s="95"/>
      <c r="T669" s="95"/>
      <c r="U669" s="95"/>
      <c r="V669" s="95"/>
      <c r="W669" s="95"/>
      <c r="X669" s="95"/>
      <c r="Y669" s="95"/>
      <c r="Z669" s="95"/>
      <c r="AA669" s="95"/>
    </row>
    <row r="670">
      <c r="A670" s="95" t="s">
        <v>5116</v>
      </c>
      <c r="B670" s="95"/>
      <c r="C670" s="95"/>
      <c r="D670" s="95"/>
      <c r="E670" s="95"/>
      <c r="F670" s="95"/>
      <c r="G670" s="95"/>
      <c r="H670" s="95"/>
      <c r="I670" s="95"/>
      <c r="J670" s="95"/>
      <c r="K670" s="95"/>
      <c r="L670" s="95"/>
      <c r="M670" s="95"/>
      <c r="N670" s="95"/>
      <c r="O670" s="95"/>
      <c r="P670" s="95"/>
      <c r="Q670" s="95"/>
      <c r="R670" s="95"/>
      <c r="S670" s="95"/>
      <c r="T670" s="95"/>
      <c r="U670" s="95"/>
      <c r="V670" s="95"/>
      <c r="W670" s="95"/>
      <c r="X670" s="95"/>
      <c r="Y670" s="95"/>
      <c r="Z670" s="95"/>
      <c r="AA670" s="95"/>
    </row>
    <row r="671">
      <c r="A671" s="95" t="s">
        <v>5116</v>
      </c>
      <c r="B671" s="95"/>
      <c r="C671" s="95"/>
      <c r="D671" s="95"/>
      <c r="E671" s="95"/>
      <c r="F671" s="95"/>
      <c r="G671" s="95"/>
      <c r="H671" s="95"/>
      <c r="I671" s="95"/>
      <c r="J671" s="95"/>
      <c r="K671" s="95"/>
      <c r="L671" s="95"/>
      <c r="M671" s="95"/>
      <c r="N671" s="95"/>
      <c r="O671" s="95"/>
      <c r="P671" s="95"/>
      <c r="Q671" s="95"/>
      <c r="R671" s="95"/>
      <c r="S671" s="95"/>
      <c r="T671" s="95"/>
      <c r="U671" s="95"/>
      <c r="V671" s="95"/>
      <c r="W671" s="95"/>
      <c r="X671" s="95"/>
      <c r="Y671" s="95"/>
      <c r="Z671" s="95"/>
      <c r="AA671" s="95"/>
    </row>
    <row r="672">
      <c r="A672" s="95" t="s">
        <v>5116</v>
      </c>
      <c r="B672" s="95"/>
      <c r="C672" s="95"/>
      <c r="D672" s="95"/>
      <c r="E672" s="95"/>
      <c r="F672" s="95"/>
      <c r="G672" s="95"/>
      <c r="H672" s="95"/>
      <c r="I672" s="95"/>
      <c r="J672" s="95"/>
      <c r="K672" s="95"/>
      <c r="L672" s="95"/>
      <c r="M672" s="95"/>
      <c r="N672" s="95"/>
      <c r="O672" s="95"/>
      <c r="P672" s="95"/>
      <c r="Q672" s="95"/>
      <c r="R672" s="95"/>
      <c r="S672" s="95"/>
      <c r="T672" s="95"/>
      <c r="U672" s="95"/>
      <c r="V672" s="95"/>
      <c r="W672" s="95"/>
      <c r="X672" s="95"/>
      <c r="Y672" s="95"/>
      <c r="Z672" s="95"/>
      <c r="AA672" s="95"/>
    </row>
    <row r="673">
      <c r="A673" s="95" t="s">
        <v>5116</v>
      </c>
      <c r="B673" s="95"/>
      <c r="C673" s="95"/>
      <c r="D673" s="95"/>
      <c r="E673" s="95"/>
      <c r="F673" s="95"/>
      <c r="G673" s="95"/>
      <c r="H673" s="95"/>
      <c r="I673" s="95"/>
      <c r="J673" s="95"/>
      <c r="K673" s="95"/>
      <c r="L673" s="95"/>
      <c r="M673" s="95"/>
      <c r="N673" s="95"/>
      <c r="O673" s="95"/>
      <c r="P673" s="95"/>
      <c r="Q673" s="95"/>
      <c r="R673" s="95"/>
      <c r="S673" s="95"/>
      <c r="T673" s="95"/>
      <c r="U673" s="95"/>
      <c r="V673" s="95"/>
      <c r="W673" s="95"/>
      <c r="X673" s="95"/>
      <c r="Y673" s="95"/>
      <c r="Z673" s="95"/>
      <c r="AA673" s="95"/>
    </row>
    <row r="674">
      <c r="A674" s="95" t="s">
        <v>5116</v>
      </c>
      <c r="B674" s="95"/>
      <c r="C674" s="95"/>
      <c r="D674" s="95"/>
      <c r="E674" s="95"/>
      <c r="F674" s="95"/>
      <c r="G674" s="95"/>
      <c r="H674" s="95"/>
      <c r="I674" s="95"/>
      <c r="J674" s="95"/>
      <c r="K674" s="95"/>
      <c r="L674" s="95"/>
      <c r="M674" s="95"/>
      <c r="N674" s="95"/>
      <c r="O674" s="95"/>
      <c r="P674" s="95"/>
      <c r="Q674" s="95"/>
      <c r="R674" s="95"/>
      <c r="S674" s="95"/>
      <c r="T674" s="95"/>
      <c r="U674" s="95"/>
      <c r="V674" s="95"/>
      <c r="W674" s="95"/>
      <c r="X674" s="95"/>
      <c r="Y674" s="95"/>
      <c r="Z674" s="95"/>
      <c r="AA674" s="95"/>
    </row>
    <row r="675">
      <c r="A675" s="95" t="s">
        <v>5116</v>
      </c>
      <c r="B675" s="95"/>
      <c r="C675" s="95"/>
      <c r="D675" s="95"/>
      <c r="E675" s="95"/>
      <c r="F675" s="95"/>
      <c r="G675" s="95"/>
      <c r="H675" s="95"/>
      <c r="I675" s="95"/>
      <c r="J675" s="95"/>
      <c r="K675" s="95"/>
      <c r="L675" s="95"/>
      <c r="M675" s="95"/>
      <c r="N675" s="95"/>
      <c r="O675" s="95"/>
      <c r="P675" s="95"/>
      <c r="Q675" s="95"/>
      <c r="R675" s="95"/>
      <c r="S675" s="95"/>
      <c r="T675" s="95"/>
      <c r="U675" s="95"/>
      <c r="V675" s="95"/>
      <c r="W675" s="95"/>
      <c r="X675" s="95"/>
      <c r="Y675" s="95"/>
      <c r="Z675" s="95"/>
      <c r="AA675" s="95"/>
    </row>
    <row r="676">
      <c r="A676" s="95" t="s">
        <v>5116</v>
      </c>
      <c r="B676" s="95"/>
      <c r="C676" s="95"/>
      <c r="D676" s="95"/>
      <c r="E676" s="95"/>
      <c r="F676" s="95"/>
      <c r="G676" s="95"/>
      <c r="H676" s="95"/>
      <c r="I676" s="95"/>
      <c r="J676" s="95"/>
      <c r="K676" s="95"/>
      <c r="L676" s="95"/>
      <c r="M676" s="95"/>
      <c r="N676" s="95"/>
      <c r="O676" s="95"/>
      <c r="P676" s="95"/>
      <c r="Q676" s="95"/>
      <c r="R676" s="95"/>
      <c r="S676" s="95"/>
      <c r="T676" s="95"/>
      <c r="U676" s="95"/>
      <c r="V676" s="95"/>
      <c r="W676" s="95"/>
      <c r="X676" s="95"/>
      <c r="Y676" s="95"/>
      <c r="Z676" s="95"/>
      <c r="AA676" s="95"/>
    </row>
    <row r="677">
      <c r="A677" s="95" t="s">
        <v>5116</v>
      </c>
      <c r="B677" s="95"/>
      <c r="C677" s="95"/>
      <c r="D677" s="95"/>
      <c r="E677" s="95"/>
      <c r="F677" s="95"/>
      <c r="G677" s="95"/>
      <c r="H677" s="95"/>
      <c r="I677" s="95"/>
      <c r="J677" s="95"/>
      <c r="K677" s="95"/>
      <c r="L677" s="95"/>
      <c r="M677" s="95"/>
      <c r="N677" s="95"/>
      <c r="O677" s="95"/>
      <c r="P677" s="95"/>
      <c r="Q677" s="95"/>
      <c r="R677" s="95"/>
      <c r="S677" s="95"/>
      <c r="T677" s="95"/>
      <c r="U677" s="95"/>
      <c r="V677" s="95"/>
      <c r="W677" s="95"/>
      <c r="X677" s="95"/>
      <c r="Y677" s="95"/>
      <c r="Z677" s="95"/>
      <c r="AA677" s="95"/>
    </row>
    <row r="678">
      <c r="A678" s="95" t="s">
        <v>5116</v>
      </c>
      <c r="B678" s="95"/>
      <c r="C678" s="95"/>
      <c r="D678" s="95"/>
      <c r="E678" s="95"/>
      <c r="F678" s="95"/>
      <c r="G678" s="95"/>
      <c r="H678" s="95"/>
      <c r="I678" s="95"/>
      <c r="J678" s="95"/>
      <c r="K678" s="95"/>
      <c r="L678" s="95"/>
      <c r="M678" s="95"/>
      <c r="N678" s="95"/>
      <c r="O678" s="95"/>
      <c r="P678" s="95"/>
      <c r="Q678" s="95"/>
      <c r="R678" s="95"/>
      <c r="S678" s="95"/>
      <c r="T678" s="95"/>
      <c r="U678" s="95"/>
      <c r="V678" s="95"/>
      <c r="W678" s="95"/>
      <c r="X678" s="95"/>
      <c r="Y678" s="95"/>
      <c r="Z678" s="95"/>
      <c r="AA678" s="95"/>
    </row>
    <row r="679">
      <c r="A679" s="95" t="s">
        <v>5116</v>
      </c>
      <c r="B679" s="95"/>
      <c r="C679" s="95"/>
      <c r="D679" s="95"/>
      <c r="E679" s="95"/>
      <c r="F679" s="95"/>
      <c r="G679" s="95"/>
      <c r="H679" s="95"/>
      <c r="I679" s="95"/>
      <c r="J679" s="95"/>
      <c r="K679" s="95"/>
      <c r="L679" s="95"/>
      <c r="M679" s="95"/>
      <c r="N679" s="95"/>
      <c r="O679" s="95"/>
      <c r="P679" s="95"/>
      <c r="Q679" s="95"/>
      <c r="R679" s="95"/>
      <c r="S679" s="95"/>
      <c r="T679" s="95"/>
      <c r="U679" s="95"/>
      <c r="V679" s="95"/>
      <c r="W679" s="95"/>
      <c r="X679" s="95"/>
      <c r="Y679" s="95"/>
      <c r="Z679" s="95"/>
      <c r="AA679" s="95"/>
    </row>
    <row r="680">
      <c r="A680" s="95" t="s">
        <v>5116</v>
      </c>
      <c r="B680" s="95"/>
      <c r="C680" s="95"/>
      <c r="D680" s="95"/>
      <c r="E680" s="95"/>
      <c r="F680" s="95"/>
      <c r="G680" s="95"/>
      <c r="H680" s="95"/>
      <c r="I680" s="95"/>
      <c r="J680" s="95"/>
      <c r="K680" s="95"/>
      <c r="L680" s="95"/>
      <c r="M680" s="95"/>
      <c r="N680" s="95"/>
      <c r="O680" s="95"/>
      <c r="P680" s="95"/>
      <c r="Q680" s="95"/>
      <c r="R680" s="95"/>
      <c r="S680" s="95"/>
      <c r="T680" s="95"/>
      <c r="U680" s="95"/>
      <c r="V680" s="95"/>
      <c r="W680" s="95"/>
      <c r="X680" s="95"/>
      <c r="Y680" s="95"/>
      <c r="Z680" s="95"/>
      <c r="AA680" s="95"/>
    </row>
    <row r="681">
      <c r="A681" s="95" t="s">
        <v>5116</v>
      </c>
      <c r="B681" s="95"/>
      <c r="C681" s="95"/>
      <c r="D681" s="95"/>
      <c r="E681" s="95"/>
      <c r="F681" s="95"/>
      <c r="G681" s="95"/>
      <c r="H681" s="95"/>
      <c r="I681" s="95"/>
      <c r="J681" s="95"/>
      <c r="K681" s="95"/>
      <c r="L681" s="95"/>
      <c r="M681" s="95"/>
      <c r="N681" s="95"/>
      <c r="O681" s="95"/>
      <c r="P681" s="95"/>
      <c r="Q681" s="95"/>
      <c r="R681" s="95"/>
      <c r="S681" s="95"/>
      <c r="T681" s="95"/>
      <c r="U681" s="95"/>
      <c r="V681" s="95"/>
      <c r="W681" s="95"/>
      <c r="X681" s="95"/>
      <c r="Y681" s="95"/>
      <c r="Z681" s="95"/>
      <c r="AA681" s="95"/>
    </row>
    <row r="682">
      <c r="A682" s="95" t="s">
        <v>5116</v>
      </c>
      <c r="B682" s="95"/>
      <c r="C682" s="95"/>
      <c r="D682" s="95"/>
      <c r="E682" s="95"/>
      <c r="F682" s="95"/>
      <c r="G682" s="95"/>
      <c r="H682" s="95"/>
      <c r="I682" s="95"/>
      <c r="J682" s="95"/>
      <c r="K682" s="95"/>
      <c r="L682" s="95"/>
      <c r="M682" s="95"/>
      <c r="N682" s="95"/>
      <c r="O682" s="95"/>
      <c r="P682" s="95"/>
      <c r="Q682" s="95"/>
      <c r="R682" s="95"/>
      <c r="S682" s="95"/>
      <c r="T682" s="95"/>
      <c r="U682" s="95"/>
      <c r="V682" s="95"/>
      <c r="W682" s="95"/>
      <c r="X682" s="95"/>
      <c r="Y682" s="95"/>
      <c r="Z682" s="95"/>
      <c r="AA682" s="95"/>
    </row>
    <row r="683">
      <c r="A683" s="95" t="s">
        <v>5116</v>
      </c>
      <c r="B683" s="95"/>
      <c r="C683" s="95"/>
      <c r="D683" s="95"/>
      <c r="E683" s="95"/>
      <c r="F683" s="95"/>
      <c r="G683" s="95"/>
      <c r="H683" s="95"/>
      <c r="I683" s="95"/>
      <c r="J683" s="95"/>
      <c r="K683" s="95"/>
      <c r="L683" s="95"/>
      <c r="M683" s="95"/>
      <c r="N683" s="95"/>
      <c r="O683" s="95"/>
      <c r="P683" s="95"/>
      <c r="Q683" s="95"/>
      <c r="R683" s="95"/>
      <c r="S683" s="95"/>
      <c r="T683" s="95"/>
      <c r="U683" s="95"/>
      <c r="V683" s="95"/>
      <c r="W683" s="95"/>
      <c r="X683" s="95"/>
      <c r="Y683" s="95"/>
      <c r="Z683" s="95"/>
      <c r="AA683" s="95"/>
    </row>
    <row r="684">
      <c r="A684" s="95" t="s">
        <v>5116</v>
      </c>
      <c r="B684" s="95"/>
      <c r="C684" s="95"/>
      <c r="D684" s="95"/>
      <c r="E684" s="95"/>
      <c r="F684" s="95"/>
      <c r="G684" s="95"/>
      <c r="H684" s="95"/>
      <c r="I684" s="95"/>
      <c r="J684" s="95"/>
      <c r="K684" s="95"/>
      <c r="L684" s="95"/>
      <c r="M684" s="95"/>
      <c r="N684" s="95"/>
      <c r="O684" s="95"/>
      <c r="P684" s="95"/>
      <c r="Q684" s="95"/>
      <c r="R684" s="95"/>
      <c r="S684" s="95"/>
      <c r="T684" s="95"/>
      <c r="U684" s="95"/>
      <c r="V684" s="95"/>
      <c r="W684" s="95"/>
      <c r="X684" s="95"/>
      <c r="Y684" s="95"/>
      <c r="Z684" s="95"/>
      <c r="AA684" s="95"/>
    </row>
    <row r="685">
      <c r="A685" s="95" t="s">
        <v>5116</v>
      </c>
      <c r="B685" s="95"/>
      <c r="C685" s="95"/>
      <c r="D685" s="95"/>
      <c r="E685" s="95"/>
      <c r="F685" s="95"/>
      <c r="G685" s="95"/>
      <c r="H685" s="95"/>
      <c r="I685" s="95"/>
      <c r="J685" s="95"/>
      <c r="K685" s="95"/>
      <c r="L685" s="95"/>
      <c r="M685" s="95"/>
      <c r="N685" s="95"/>
      <c r="O685" s="95"/>
      <c r="P685" s="95"/>
      <c r="Q685" s="95"/>
      <c r="R685" s="95"/>
      <c r="S685" s="95"/>
      <c r="T685" s="95"/>
      <c r="U685" s="95"/>
      <c r="V685" s="95"/>
      <c r="W685" s="95"/>
      <c r="X685" s="95"/>
      <c r="Y685" s="95"/>
      <c r="Z685" s="95"/>
      <c r="AA685" s="95"/>
    </row>
    <row r="686">
      <c r="A686" s="95" t="s">
        <v>5116</v>
      </c>
      <c r="B686" s="95"/>
      <c r="C686" s="95"/>
      <c r="D686" s="95"/>
      <c r="E686" s="95"/>
      <c r="F686" s="95"/>
      <c r="G686" s="95"/>
      <c r="H686" s="95"/>
      <c r="I686" s="95"/>
      <c r="J686" s="95"/>
      <c r="K686" s="95"/>
      <c r="L686" s="95"/>
      <c r="M686" s="95"/>
      <c r="N686" s="95"/>
      <c r="O686" s="95"/>
      <c r="P686" s="95"/>
      <c r="Q686" s="95"/>
      <c r="R686" s="95"/>
      <c r="S686" s="95"/>
      <c r="T686" s="95"/>
      <c r="U686" s="95"/>
      <c r="V686" s="95"/>
      <c r="W686" s="95"/>
      <c r="X686" s="95"/>
      <c r="Y686" s="95"/>
      <c r="Z686" s="95"/>
      <c r="AA686" s="95"/>
    </row>
    <row r="687">
      <c r="A687" s="95" t="s">
        <v>5116</v>
      </c>
      <c r="B687" s="95"/>
      <c r="C687" s="95"/>
      <c r="D687" s="95"/>
      <c r="E687" s="95"/>
      <c r="F687" s="95"/>
      <c r="G687" s="95"/>
      <c r="H687" s="95"/>
      <c r="I687" s="95"/>
      <c r="J687" s="95"/>
      <c r="K687" s="95"/>
      <c r="L687" s="95"/>
      <c r="M687" s="95"/>
      <c r="N687" s="95"/>
      <c r="O687" s="95"/>
      <c r="P687" s="95"/>
      <c r="Q687" s="95"/>
      <c r="R687" s="95"/>
      <c r="S687" s="95"/>
      <c r="T687" s="95"/>
      <c r="U687" s="95"/>
      <c r="V687" s="95"/>
      <c r="W687" s="95"/>
      <c r="X687" s="95"/>
      <c r="Y687" s="95"/>
      <c r="Z687" s="95"/>
      <c r="AA687" s="95"/>
    </row>
    <row r="688">
      <c r="A688" s="95" t="s">
        <v>5116</v>
      </c>
      <c r="B688" s="95"/>
      <c r="C688" s="95"/>
      <c r="D688" s="95"/>
      <c r="E688" s="95"/>
      <c r="F688" s="95"/>
      <c r="G688" s="95"/>
      <c r="H688" s="95"/>
      <c r="I688" s="95"/>
      <c r="J688" s="95"/>
      <c r="K688" s="95"/>
      <c r="L688" s="95"/>
      <c r="M688" s="95"/>
      <c r="N688" s="95"/>
      <c r="O688" s="95"/>
      <c r="P688" s="95"/>
      <c r="Q688" s="95"/>
      <c r="R688" s="95"/>
      <c r="S688" s="95"/>
      <c r="T688" s="95"/>
      <c r="U688" s="95"/>
      <c r="V688" s="95"/>
      <c r="W688" s="95"/>
      <c r="X688" s="95"/>
      <c r="Y688" s="95"/>
      <c r="Z688" s="95"/>
      <c r="AA688" s="95"/>
    </row>
    <row r="689">
      <c r="A689" s="95" t="s">
        <v>5116</v>
      </c>
      <c r="B689" s="95"/>
      <c r="C689" s="95"/>
      <c r="D689" s="95"/>
      <c r="E689" s="95"/>
      <c r="F689" s="95"/>
      <c r="G689" s="95"/>
      <c r="H689" s="95"/>
      <c r="I689" s="95"/>
      <c r="J689" s="95"/>
      <c r="K689" s="95"/>
      <c r="L689" s="95"/>
      <c r="M689" s="95"/>
      <c r="N689" s="95"/>
      <c r="O689" s="95"/>
      <c r="P689" s="95"/>
      <c r="Q689" s="95"/>
      <c r="R689" s="95"/>
      <c r="S689" s="95"/>
      <c r="T689" s="95"/>
      <c r="U689" s="95"/>
      <c r="V689" s="95"/>
      <c r="W689" s="95"/>
      <c r="X689" s="95"/>
      <c r="Y689" s="95"/>
      <c r="Z689" s="95"/>
      <c r="AA689" s="95"/>
    </row>
    <row r="690">
      <c r="A690" s="95" t="s">
        <v>5116</v>
      </c>
      <c r="B690" s="95"/>
      <c r="C690" s="95"/>
      <c r="D690" s="95"/>
      <c r="E690" s="95"/>
      <c r="F690" s="95"/>
      <c r="G690" s="95"/>
      <c r="H690" s="95"/>
      <c r="I690" s="95"/>
      <c r="J690" s="95"/>
      <c r="K690" s="95"/>
      <c r="L690" s="95"/>
      <c r="M690" s="95"/>
      <c r="N690" s="95"/>
      <c r="O690" s="95"/>
      <c r="P690" s="95"/>
      <c r="Q690" s="95"/>
      <c r="R690" s="95"/>
      <c r="S690" s="95"/>
      <c r="T690" s="95"/>
      <c r="U690" s="95"/>
      <c r="V690" s="95"/>
      <c r="W690" s="95"/>
      <c r="X690" s="95"/>
      <c r="Y690" s="95"/>
      <c r="Z690" s="95"/>
      <c r="AA690" s="95"/>
    </row>
    <row r="691">
      <c r="A691" s="95" t="s">
        <v>5116</v>
      </c>
      <c r="B691" s="95"/>
      <c r="C691" s="95"/>
      <c r="D691" s="95"/>
      <c r="E691" s="95"/>
      <c r="F691" s="95"/>
      <c r="G691" s="95"/>
      <c r="H691" s="95"/>
      <c r="I691" s="95"/>
      <c r="J691" s="95"/>
      <c r="K691" s="95"/>
      <c r="L691" s="95"/>
      <c r="M691" s="95"/>
      <c r="N691" s="95"/>
      <c r="O691" s="95"/>
      <c r="P691" s="95"/>
      <c r="Q691" s="95"/>
      <c r="R691" s="95"/>
      <c r="S691" s="95"/>
      <c r="T691" s="95"/>
      <c r="U691" s="95"/>
      <c r="V691" s="95"/>
      <c r="W691" s="95"/>
      <c r="X691" s="95"/>
      <c r="Y691" s="95"/>
      <c r="Z691" s="95"/>
      <c r="AA691" s="95"/>
    </row>
    <row r="692">
      <c r="A692" s="95" t="s">
        <v>5116</v>
      </c>
      <c r="B692" s="95"/>
      <c r="C692" s="95"/>
      <c r="D692" s="95"/>
      <c r="E692" s="95"/>
      <c r="F692" s="95"/>
      <c r="G692" s="95"/>
      <c r="H692" s="95"/>
      <c r="I692" s="95"/>
      <c r="J692" s="95"/>
      <c r="K692" s="95"/>
      <c r="L692" s="95"/>
      <c r="M692" s="95"/>
      <c r="N692" s="95"/>
      <c r="O692" s="95"/>
      <c r="P692" s="95"/>
      <c r="Q692" s="95"/>
      <c r="R692" s="95"/>
      <c r="S692" s="95"/>
      <c r="T692" s="95"/>
      <c r="U692" s="95"/>
      <c r="V692" s="95"/>
      <c r="W692" s="95"/>
      <c r="X692" s="95"/>
      <c r="Y692" s="95"/>
      <c r="Z692" s="95"/>
      <c r="AA692" s="95"/>
    </row>
    <row r="693">
      <c r="A693" s="95" t="s">
        <v>5116</v>
      </c>
      <c r="B693" s="95"/>
      <c r="C693" s="95"/>
      <c r="D693" s="95"/>
      <c r="E693" s="95"/>
      <c r="F693" s="95"/>
      <c r="G693" s="95"/>
      <c r="H693" s="95"/>
      <c r="I693" s="95"/>
      <c r="J693" s="95"/>
      <c r="K693" s="95"/>
      <c r="L693" s="95"/>
      <c r="M693" s="95"/>
      <c r="N693" s="95"/>
      <c r="O693" s="95"/>
      <c r="P693" s="95"/>
      <c r="Q693" s="95"/>
      <c r="R693" s="95"/>
      <c r="S693" s="95"/>
      <c r="T693" s="95"/>
      <c r="U693" s="95"/>
      <c r="V693" s="95"/>
      <c r="W693" s="95"/>
      <c r="X693" s="95"/>
      <c r="Y693" s="95"/>
      <c r="Z693" s="95"/>
      <c r="AA693" s="95"/>
    </row>
    <row r="694">
      <c r="A694" s="95" t="s">
        <v>5116</v>
      </c>
      <c r="B694" s="95"/>
      <c r="C694" s="95"/>
      <c r="D694" s="95"/>
      <c r="E694" s="95"/>
      <c r="F694" s="95"/>
      <c r="G694" s="95"/>
      <c r="H694" s="95"/>
      <c r="I694" s="95"/>
      <c r="J694" s="95"/>
      <c r="K694" s="95"/>
      <c r="L694" s="95"/>
      <c r="M694" s="95"/>
      <c r="N694" s="95"/>
      <c r="O694" s="95"/>
      <c r="P694" s="95"/>
      <c r="Q694" s="95"/>
      <c r="R694" s="95"/>
      <c r="S694" s="95"/>
      <c r="T694" s="95"/>
      <c r="U694" s="95"/>
      <c r="V694" s="95"/>
      <c r="W694" s="95"/>
      <c r="X694" s="95"/>
      <c r="Y694" s="95"/>
      <c r="Z694" s="95"/>
      <c r="AA694" s="95"/>
    </row>
    <row r="695">
      <c r="A695" s="95" t="s">
        <v>5116</v>
      </c>
      <c r="B695" s="95"/>
      <c r="C695" s="95"/>
      <c r="D695" s="95"/>
      <c r="E695" s="95"/>
      <c r="F695" s="95"/>
      <c r="G695" s="95"/>
      <c r="H695" s="95"/>
      <c r="I695" s="95"/>
      <c r="J695" s="95"/>
      <c r="K695" s="95"/>
      <c r="L695" s="95"/>
      <c r="M695" s="95"/>
      <c r="N695" s="95"/>
      <c r="O695" s="95"/>
      <c r="P695" s="95"/>
      <c r="Q695" s="95"/>
      <c r="R695" s="95"/>
      <c r="S695" s="95"/>
      <c r="T695" s="95"/>
      <c r="U695" s="95"/>
      <c r="V695" s="95"/>
      <c r="W695" s="95"/>
      <c r="X695" s="95"/>
      <c r="Y695" s="95"/>
      <c r="Z695" s="95"/>
      <c r="AA695" s="95"/>
    </row>
    <row r="696">
      <c r="A696" s="95" t="s">
        <v>5116</v>
      </c>
      <c r="B696" s="95"/>
      <c r="C696" s="95"/>
      <c r="D696" s="95"/>
      <c r="E696" s="95"/>
      <c r="F696" s="95"/>
      <c r="G696" s="95"/>
      <c r="H696" s="95"/>
      <c r="I696" s="95"/>
      <c r="J696" s="95"/>
      <c r="K696" s="95"/>
      <c r="L696" s="95"/>
      <c r="M696" s="95"/>
      <c r="N696" s="95"/>
      <c r="O696" s="95"/>
      <c r="P696" s="95"/>
      <c r="Q696" s="95"/>
      <c r="R696" s="95"/>
      <c r="S696" s="95"/>
      <c r="T696" s="95"/>
      <c r="U696" s="95"/>
      <c r="V696" s="95"/>
      <c r="W696" s="95"/>
      <c r="X696" s="95"/>
      <c r="Y696" s="95"/>
      <c r="Z696" s="95"/>
      <c r="AA696" s="95"/>
    </row>
    <row r="697">
      <c r="A697" s="95" t="s">
        <v>5116</v>
      </c>
      <c r="B697" s="95"/>
      <c r="C697" s="95"/>
      <c r="D697" s="95"/>
      <c r="E697" s="95"/>
      <c r="F697" s="95"/>
      <c r="G697" s="95"/>
      <c r="H697" s="95"/>
      <c r="I697" s="95"/>
      <c r="J697" s="95"/>
      <c r="K697" s="95"/>
      <c r="L697" s="95"/>
      <c r="M697" s="95"/>
      <c r="N697" s="95"/>
      <c r="O697" s="95"/>
      <c r="P697" s="95"/>
      <c r="Q697" s="95"/>
      <c r="R697" s="95"/>
      <c r="S697" s="95"/>
      <c r="T697" s="95"/>
      <c r="U697" s="95"/>
      <c r="V697" s="95"/>
      <c r="W697" s="95"/>
      <c r="X697" s="95"/>
      <c r="Y697" s="95"/>
      <c r="Z697" s="95"/>
      <c r="AA697" s="95"/>
    </row>
    <row r="698">
      <c r="A698" s="95" t="s">
        <v>5116</v>
      </c>
      <c r="B698" s="95"/>
      <c r="C698" s="95"/>
      <c r="D698" s="95"/>
      <c r="E698" s="95"/>
      <c r="F698" s="95"/>
      <c r="G698" s="95"/>
      <c r="H698" s="95"/>
      <c r="I698" s="95"/>
      <c r="J698" s="95"/>
      <c r="K698" s="95"/>
      <c r="L698" s="95"/>
      <c r="M698" s="95"/>
      <c r="N698" s="95"/>
      <c r="O698" s="95"/>
      <c r="P698" s="95"/>
      <c r="Q698" s="95"/>
      <c r="R698" s="95"/>
      <c r="S698" s="95"/>
      <c r="T698" s="95"/>
      <c r="U698" s="95"/>
      <c r="V698" s="95"/>
      <c r="W698" s="95"/>
      <c r="X698" s="95"/>
      <c r="Y698" s="95"/>
      <c r="Z698" s="95"/>
      <c r="AA698" s="95"/>
    </row>
    <row r="699">
      <c r="A699" s="95" t="s">
        <v>5116</v>
      </c>
      <c r="B699" s="95"/>
      <c r="C699" s="95"/>
      <c r="D699" s="95"/>
      <c r="E699" s="95"/>
      <c r="F699" s="95"/>
      <c r="G699" s="95"/>
      <c r="H699" s="95"/>
      <c r="I699" s="95"/>
      <c r="J699" s="95"/>
      <c r="K699" s="95"/>
      <c r="L699" s="95"/>
      <c r="M699" s="95"/>
      <c r="N699" s="95"/>
      <c r="O699" s="95"/>
      <c r="P699" s="95"/>
      <c r="Q699" s="95"/>
      <c r="R699" s="95"/>
      <c r="S699" s="95"/>
      <c r="T699" s="95"/>
      <c r="U699" s="95"/>
      <c r="V699" s="95"/>
      <c r="W699" s="95"/>
      <c r="X699" s="95"/>
      <c r="Y699" s="95"/>
      <c r="Z699" s="95"/>
      <c r="AA699" s="95"/>
    </row>
    <row r="700">
      <c r="A700" s="95" t="s">
        <v>5116</v>
      </c>
      <c r="B700" s="95"/>
      <c r="C700" s="95"/>
      <c r="D700" s="95"/>
      <c r="E700" s="95"/>
      <c r="F700" s="95"/>
      <c r="G700" s="95"/>
      <c r="H700" s="95"/>
      <c r="I700" s="95"/>
      <c r="J700" s="95"/>
      <c r="K700" s="95"/>
      <c r="L700" s="95"/>
      <c r="M700" s="95"/>
      <c r="N700" s="95"/>
      <c r="O700" s="95"/>
      <c r="P700" s="95"/>
      <c r="Q700" s="95"/>
      <c r="R700" s="95"/>
      <c r="S700" s="95"/>
      <c r="T700" s="95"/>
      <c r="U700" s="95"/>
      <c r="V700" s="95"/>
      <c r="W700" s="95"/>
      <c r="X700" s="95"/>
      <c r="Y700" s="95"/>
      <c r="Z700" s="95"/>
      <c r="AA700" s="95"/>
    </row>
    <row r="701">
      <c r="A701" s="95" t="s">
        <v>5116</v>
      </c>
      <c r="B701" s="95"/>
      <c r="C701" s="95"/>
      <c r="D701" s="95"/>
      <c r="E701" s="95"/>
      <c r="F701" s="95"/>
      <c r="G701" s="95"/>
      <c r="H701" s="95"/>
      <c r="I701" s="95"/>
      <c r="J701" s="95"/>
      <c r="K701" s="95"/>
      <c r="L701" s="95"/>
      <c r="M701" s="95"/>
      <c r="N701" s="95"/>
      <c r="O701" s="95"/>
      <c r="P701" s="95"/>
      <c r="Q701" s="95"/>
      <c r="R701" s="95"/>
      <c r="S701" s="95"/>
      <c r="T701" s="95"/>
      <c r="U701" s="95"/>
      <c r="V701" s="95"/>
      <c r="W701" s="95"/>
      <c r="X701" s="95"/>
      <c r="Y701" s="95"/>
      <c r="Z701" s="95"/>
      <c r="AA701" s="95"/>
    </row>
    <row r="702">
      <c r="A702" s="95" t="s">
        <v>5116</v>
      </c>
      <c r="B702" s="95"/>
      <c r="C702" s="95"/>
      <c r="D702" s="95"/>
      <c r="E702" s="95"/>
      <c r="F702" s="95"/>
      <c r="G702" s="95"/>
      <c r="H702" s="95"/>
      <c r="I702" s="95"/>
      <c r="J702" s="95"/>
      <c r="K702" s="95"/>
      <c r="L702" s="95"/>
      <c r="M702" s="95"/>
      <c r="N702" s="95"/>
      <c r="O702" s="95"/>
      <c r="P702" s="95"/>
      <c r="Q702" s="95"/>
      <c r="R702" s="95"/>
      <c r="S702" s="95"/>
      <c r="T702" s="95"/>
      <c r="U702" s="95"/>
      <c r="V702" s="95"/>
      <c r="W702" s="95"/>
      <c r="X702" s="95"/>
      <c r="Y702" s="95"/>
      <c r="Z702" s="95"/>
      <c r="AA702" s="95"/>
    </row>
    <row r="703">
      <c r="A703" s="95" t="s">
        <v>5116</v>
      </c>
      <c r="B703" s="95"/>
      <c r="C703" s="95"/>
      <c r="D703" s="95"/>
      <c r="E703" s="95"/>
      <c r="F703" s="95"/>
      <c r="G703" s="95"/>
      <c r="H703" s="95"/>
      <c r="I703" s="95"/>
      <c r="J703" s="95"/>
      <c r="K703" s="95"/>
      <c r="L703" s="95"/>
      <c r="M703" s="95"/>
      <c r="N703" s="95"/>
      <c r="O703" s="95"/>
      <c r="P703" s="95"/>
      <c r="Q703" s="95"/>
      <c r="R703" s="95"/>
      <c r="S703" s="95"/>
      <c r="T703" s="95"/>
      <c r="U703" s="95"/>
      <c r="V703" s="95"/>
      <c r="W703" s="95"/>
      <c r="X703" s="95"/>
      <c r="Y703" s="95"/>
      <c r="Z703" s="95"/>
      <c r="AA703" s="95"/>
    </row>
    <row r="704">
      <c r="A704" s="95" t="s">
        <v>5116</v>
      </c>
      <c r="B704" s="95"/>
      <c r="C704" s="95"/>
      <c r="D704" s="95"/>
      <c r="E704" s="95"/>
      <c r="F704" s="95"/>
      <c r="G704" s="95"/>
      <c r="H704" s="95"/>
      <c r="I704" s="95"/>
      <c r="J704" s="95"/>
      <c r="K704" s="95"/>
      <c r="L704" s="95"/>
      <c r="M704" s="95"/>
      <c r="N704" s="95"/>
      <c r="O704" s="95"/>
      <c r="P704" s="95"/>
      <c r="Q704" s="95"/>
      <c r="R704" s="95"/>
      <c r="S704" s="95"/>
      <c r="T704" s="95"/>
      <c r="U704" s="95"/>
      <c r="V704" s="95"/>
      <c r="W704" s="95"/>
      <c r="X704" s="95"/>
      <c r="Y704" s="95"/>
      <c r="Z704" s="95"/>
      <c r="AA704" s="95"/>
    </row>
    <row r="705">
      <c r="A705" s="95" t="s">
        <v>5116</v>
      </c>
      <c r="B705" s="95"/>
      <c r="C705" s="95"/>
      <c r="D705" s="95"/>
      <c r="E705" s="95"/>
      <c r="F705" s="95"/>
      <c r="G705" s="95"/>
      <c r="H705" s="95"/>
      <c r="I705" s="95"/>
      <c r="J705" s="95"/>
      <c r="K705" s="95"/>
      <c r="L705" s="95"/>
      <c r="M705" s="95"/>
      <c r="N705" s="95"/>
      <c r="O705" s="95"/>
      <c r="P705" s="95"/>
      <c r="Q705" s="95"/>
      <c r="R705" s="95"/>
      <c r="S705" s="95"/>
      <c r="T705" s="95"/>
      <c r="U705" s="95"/>
      <c r="V705" s="95"/>
      <c r="W705" s="95"/>
      <c r="X705" s="95"/>
      <c r="Y705" s="95"/>
      <c r="Z705" s="95"/>
      <c r="AA705" s="95"/>
    </row>
    <row r="706">
      <c r="A706" s="95" t="s">
        <v>5116</v>
      </c>
      <c r="B706" s="95"/>
      <c r="C706" s="95"/>
      <c r="D706" s="95"/>
      <c r="E706" s="95"/>
      <c r="F706" s="95"/>
      <c r="G706" s="95"/>
      <c r="H706" s="95"/>
      <c r="I706" s="95"/>
      <c r="J706" s="95"/>
      <c r="K706" s="95"/>
      <c r="L706" s="95"/>
      <c r="M706" s="95"/>
      <c r="N706" s="95"/>
      <c r="O706" s="95"/>
      <c r="P706" s="95"/>
      <c r="Q706" s="95"/>
      <c r="R706" s="95"/>
      <c r="S706" s="95"/>
      <c r="T706" s="95"/>
      <c r="U706" s="95"/>
      <c r="V706" s="95"/>
      <c r="W706" s="95"/>
      <c r="X706" s="95"/>
      <c r="Y706" s="95"/>
      <c r="Z706" s="95"/>
      <c r="AA706" s="95"/>
    </row>
    <row r="707">
      <c r="A707" s="95" t="s">
        <v>5116</v>
      </c>
      <c r="B707" s="95"/>
      <c r="C707" s="95"/>
      <c r="D707" s="95"/>
      <c r="E707" s="95"/>
      <c r="F707" s="95"/>
      <c r="G707" s="95"/>
      <c r="H707" s="95"/>
      <c r="I707" s="95"/>
      <c r="J707" s="95"/>
      <c r="K707" s="95"/>
      <c r="L707" s="95"/>
      <c r="M707" s="95"/>
      <c r="N707" s="95"/>
      <c r="O707" s="95"/>
      <c r="P707" s="95"/>
      <c r="Q707" s="95"/>
      <c r="R707" s="95"/>
      <c r="S707" s="95"/>
      <c r="T707" s="95"/>
      <c r="U707" s="95"/>
      <c r="V707" s="95"/>
      <c r="W707" s="95"/>
      <c r="X707" s="95"/>
      <c r="Y707" s="95"/>
      <c r="Z707" s="95"/>
      <c r="AA707" s="95"/>
    </row>
    <row r="708">
      <c r="A708" s="95" t="s">
        <v>5116</v>
      </c>
      <c r="B708" s="95"/>
      <c r="C708" s="95"/>
      <c r="D708" s="95"/>
      <c r="E708" s="95"/>
      <c r="F708" s="95"/>
      <c r="G708" s="95"/>
      <c r="H708" s="95"/>
      <c r="I708" s="95"/>
      <c r="J708" s="95"/>
      <c r="K708" s="95"/>
      <c r="L708" s="95"/>
      <c r="M708" s="95"/>
      <c r="N708" s="95"/>
      <c r="O708" s="95"/>
      <c r="P708" s="95"/>
      <c r="Q708" s="95"/>
      <c r="R708" s="95"/>
      <c r="S708" s="95"/>
      <c r="T708" s="95"/>
      <c r="U708" s="95"/>
      <c r="V708" s="95"/>
      <c r="W708" s="95"/>
      <c r="X708" s="95"/>
      <c r="Y708" s="95"/>
      <c r="Z708" s="95"/>
      <c r="AA708" s="95"/>
    </row>
    <row r="709">
      <c r="A709" s="95" t="s">
        <v>5116</v>
      </c>
      <c r="B709" s="95"/>
      <c r="C709" s="95"/>
      <c r="D709" s="95"/>
      <c r="E709" s="95"/>
      <c r="F709" s="95"/>
      <c r="G709" s="95"/>
      <c r="H709" s="95"/>
      <c r="I709" s="95"/>
      <c r="J709" s="95"/>
      <c r="K709" s="95"/>
      <c r="L709" s="95"/>
      <c r="M709" s="95"/>
      <c r="N709" s="95"/>
      <c r="O709" s="95"/>
      <c r="P709" s="95"/>
      <c r="Q709" s="95"/>
      <c r="R709" s="95"/>
      <c r="S709" s="95"/>
      <c r="T709" s="95"/>
      <c r="U709" s="95"/>
      <c r="V709" s="95"/>
      <c r="W709" s="95"/>
      <c r="X709" s="95"/>
      <c r="Y709" s="95"/>
      <c r="Z709" s="95"/>
      <c r="AA709" s="95"/>
    </row>
    <row r="710">
      <c r="A710" s="95" t="s">
        <v>5116</v>
      </c>
      <c r="B710" s="95"/>
      <c r="C710" s="95"/>
      <c r="D710" s="95"/>
      <c r="E710" s="95"/>
      <c r="F710" s="95"/>
      <c r="G710" s="95"/>
      <c r="H710" s="95"/>
      <c r="I710" s="95"/>
      <c r="J710" s="95"/>
      <c r="K710" s="95"/>
      <c r="L710" s="95"/>
      <c r="M710" s="95"/>
      <c r="N710" s="95"/>
      <c r="O710" s="95"/>
      <c r="P710" s="95"/>
      <c r="Q710" s="95"/>
      <c r="R710" s="95"/>
      <c r="S710" s="95"/>
      <c r="T710" s="95"/>
      <c r="U710" s="95"/>
      <c r="V710" s="95"/>
      <c r="W710" s="95"/>
      <c r="X710" s="95"/>
      <c r="Y710" s="95"/>
      <c r="Z710" s="95"/>
      <c r="AA710" s="95"/>
    </row>
    <row r="711">
      <c r="A711" s="95" t="s">
        <v>5116</v>
      </c>
      <c r="B711" s="95"/>
      <c r="C711" s="95"/>
      <c r="D711" s="95"/>
      <c r="E711" s="95"/>
      <c r="F711" s="95"/>
      <c r="G711" s="95"/>
      <c r="H711" s="95"/>
      <c r="I711" s="95"/>
      <c r="J711" s="95"/>
      <c r="K711" s="95"/>
      <c r="L711" s="95"/>
      <c r="M711" s="95"/>
      <c r="N711" s="95"/>
      <c r="O711" s="95"/>
      <c r="P711" s="95"/>
      <c r="Q711" s="95"/>
      <c r="R711" s="95"/>
      <c r="S711" s="95"/>
      <c r="T711" s="95"/>
      <c r="U711" s="95"/>
      <c r="V711" s="95"/>
      <c r="W711" s="95"/>
      <c r="X711" s="95"/>
      <c r="Y711" s="95"/>
      <c r="Z711" s="95"/>
      <c r="AA711" s="95"/>
    </row>
    <row r="712">
      <c r="A712" s="95" t="s">
        <v>5116</v>
      </c>
      <c r="B712" s="95"/>
      <c r="C712" s="95"/>
      <c r="D712" s="95"/>
      <c r="E712" s="95"/>
      <c r="F712" s="95"/>
      <c r="G712" s="95"/>
      <c r="H712" s="95"/>
      <c r="I712" s="95"/>
      <c r="J712" s="95"/>
      <c r="K712" s="95"/>
      <c r="L712" s="95"/>
      <c r="M712" s="95"/>
      <c r="N712" s="95"/>
      <c r="O712" s="95"/>
      <c r="P712" s="95"/>
      <c r="Q712" s="95"/>
      <c r="R712" s="95"/>
      <c r="S712" s="95"/>
      <c r="T712" s="95"/>
      <c r="U712" s="95"/>
      <c r="V712" s="95"/>
      <c r="W712" s="95"/>
      <c r="X712" s="95"/>
      <c r="Y712" s="95"/>
      <c r="Z712" s="95"/>
      <c r="AA712" s="95"/>
    </row>
    <row r="713">
      <c r="A713" s="95" t="s">
        <v>5116</v>
      </c>
      <c r="B713" s="95"/>
      <c r="C713" s="95"/>
      <c r="D713" s="95"/>
      <c r="E713" s="95"/>
      <c r="F713" s="95"/>
      <c r="G713" s="95"/>
      <c r="H713" s="95"/>
      <c r="I713" s="95"/>
      <c r="J713" s="95"/>
      <c r="K713" s="95"/>
      <c r="L713" s="95"/>
      <c r="M713" s="95"/>
      <c r="N713" s="95"/>
      <c r="O713" s="95"/>
      <c r="P713" s="95"/>
      <c r="Q713" s="95"/>
      <c r="R713" s="95"/>
      <c r="S713" s="95"/>
      <c r="T713" s="95"/>
      <c r="U713" s="95"/>
      <c r="V713" s="95"/>
      <c r="W713" s="95"/>
      <c r="X713" s="95"/>
      <c r="Y713" s="95"/>
      <c r="Z713" s="95"/>
      <c r="AA713" s="95"/>
    </row>
    <row r="714">
      <c r="A714" s="95" t="s">
        <v>5116</v>
      </c>
      <c r="B714" s="95"/>
      <c r="C714" s="95"/>
      <c r="D714" s="95"/>
      <c r="E714" s="95"/>
      <c r="F714" s="95"/>
      <c r="G714" s="95"/>
      <c r="H714" s="95"/>
      <c r="I714" s="95"/>
      <c r="J714" s="95"/>
      <c r="K714" s="95"/>
      <c r="L714" s="95"/>
      <c r="M714" s="95"/>
      <c r="N714" s="95"/>
      <c r="O714" s="95"/>
      <c r="P714" s="95"/>
      <c r="Q714" s="95"/>
      <c r="R714" s="95"/>
      <c r="S714" s="95"/>
      <c r="T714" s="95"/>
      <c r="U714" s="95"/>
      <c r="V714" s="95"/>
      <c r="W714" s="95"/>
      <c r="X714" s="95"/>
      <c r="Y714" s="95"/>
      <c r="Z714" s="95"/>
      <c r="AA714" s="95"/>
    </row>
    <row r="715">
      <c r="A715" s="95" t="s">
        <v>5116</v>
      </c>
      <c r="B715" s="95"/>
      <c r="C715" s="95"/>
      <c r="D715" s="95"/>
      <c r="E715" s="95"/>
      <c r="F715" s="95"/>
      <c r="G715" s="95"/>
      <c r="H715" s="95"/>
      <c r="I715" s="95"/>
      <c r="J715" s="95"/>
      <c r="K715" s="95"/>
      <c r="L715" s="95"/>
      <c r="M715" s="95"/>
      <c r="N715" s="95"/>
      <c r="O715" s="95"/>
      <c r="P715" s="95"/>
      <c r="Q715" s="95"/>
      <c r="R715" s="95"/>
      <c r="S715" s="95"/>
      <c r="T715" s="95"/>
      <c r="U715" s="95"/>
      <c r="V715" s="95"/>
      <c r="W715" s="95"/>
      <c r="X715" s="95"/>
      <c r="Y715" s="95"/>
      <c r="Z715" s="95"/>
      <c r="AA715" s="95"/>
    </row>
    <row r="716">
      <c r="A716" s="95" t="s">
        <v>5116</v>
      </c>
      <c r="B716" s="95"/>
      <c r="C716" s="95"/>
      <c r="D716" s="95"/>
      <c r="E716" s="95"/>
      <c r="F716" s="95"/>
      <c r="G716" s="95"/>
      <c r="H716" s="95"/>
      <c r="I716" s="95"/>
      <c r="J716" s="95"/>
      <c r="K716" s="95"/>
      <c r="L716" s="95"/>
      <c r="M716" s="95"/>
      <c r="N716" s="95"/>
      <c r="O716" s="95"/>
      <c r="P716" s="95"/>
      <c r="Q716" s="95"/>
      <c r="R716" s="95"/>
      <c r="S716" s="95"/>
      <c r="T716" s="95"/>
      <c r="U716" s="95"/>
      <c r="V716" s="95"/>
      <c r="W716" s="95"/>
      <c r="X716" s="95"/>
      <c r="Y716" s="95"/>
      <c r="Z716" s="95"/>
      <c r="AA716" s="95"/>
    </row>
    <row r="717">
      <c r="A717" s="95" t="s">
        <v>5116</v>
      </c>
      <c r="B717" s="95"/>
      <c r="C717" s="95"/>
      <c r="D717" s="95"/>
      <c r="E717" s="95"/>
      <c r="F717" s="95"/>
      <c r="G717" s="95"/>
      <c r="H717" s="95"/>
      <c r="I717" s="95"/>
      <c r="J717" s="95"/>
      <c r="K717" s="95"/>
      <c r="L717" s="95"/>
      <c r="M717" s="95"/>
      <c r="N717" s="95"/>
      <c r="O717" s="95"/>
      <c r="P717" s="95"/>
      <c r="Q717" s="95"/>
      <c r="R717" s="95"/>
      <c r="S717" s="95"/>
      <c r="T717" s="95"/>
      <c r="U717" s="95"/>
      <c r="V717" s="95"/>
      <c r="W717" s="95"/>
      <c r="X717" s="95"/>
      <c r="Y717" s="95"/>
      <c r="Z717" s="95"/>
      <c r="AA717" s="95"/>
    </row>
    <row r="718">
      <c r="A718" s="95" t="s">
        <v>5116</v>
      </c>
      <c r="B718" s="95"/>
      <c r="C718" s="95"/>
      <c r="D718" s="95"/>
      <c r="E718" s="95"/>
      <c r="F718" s="95"/>
      <c r="G718" s="95"/>
      <c r="H718" s="95"/>
      <c r="I718" s="95"/>
      <c r="J718" s="95"/>
      <c r="K718" s="95"/>
      <c r="L718" s="95"/>
      <c r="M718" s="95"/>
      <c r="N718" s="95"/>
      <c r="O718" s="95"/>
      <c r="P718" s="95"/>
      <c r="Q718" s="95"/>
      <c r="R718" s="95"/>
      <c r="S718" s="95"/>
      <c r="T718" s="95"/>
      <c r="U718" s="95"/>
      <c r="V718" s="95"/>
      <c r="W718" s="95"/>
      <c r="X718" s="95"/>
      <c r="Y718" s="95"/>
      <c r="Z718" s="95"/>
      <c r="AA718" s="95"/>
    </row>
    <row r="719">
      <c r="A719" s="95" t="s">
        <v>5116</v>
      </c>
      <c r="B719" s="95"/>
      <c r="C719" s="95"/>
      <c r="D719" s="95"/>
      <c r="E719" s="95"/>
      <c r="F719" s="95"/>
      <c r="G719" s="95"/>
      <c r="H719" s="95"/>
      <c r="I719" s="95"/>
      <c r="J719" s="95"/>
      <c r="K719" s="95"/>
      <c r="L719" s="95"/>
      <c r="M719" s="95"/>
      <c r="N719" s="95"/>
      <c r="O719" s="95"/>
      <c r="P719" s="95"/>
      <c r="Q719" s="95"/>
      <c r="R719" s="95"/>
      <c r="S719" s="95"/>
      <c r="T719" s="95"/>
      <c r="U719" s="95"/>
      <c r="V719" s="95"/>
      <c r="W719" s="95"/>
      <c r="X719" s="95"/>
      <c r="Y719" s="95"/>
      <c r="Z719" s="95"/>
      <c r="AA719" s="95"/>
    </row>
    <row r="720">
      <c r="A720" s="95" t="s">
        <v>5116</v>
      </c>
      <c r="B720" s="95"/>
      <c r="C720" s="95"/>
      <c r="D720" s="95"/>
      <c r="E720" s="95"/>
      <c r="F720" s="95"/>
      <c r="G720" s="95"/>
      <c r="H720" s="95"/>
      <c r="I720" s="95"/>
      <c r="J720" s="95"/>
      <c r="K720" s="95"/>
      <c r="L720" s="95"/>
      <c r="M720" s="95"/>
      <c r="N720" s="95"/>
      <c r="O720" s="95"/>
      <c r="P720" s="95"/>
      <c r="Q720" s="95"/>
      <c r="R720" s="95"/>
      <c r="S720" s="95"/>
      <c r="T720" s="95"/>
      <c r="U720" s="95"/>
      <c r="V720" s="95"/>
      <c r="W720" s="95"/>
      <c r="X720" s="95"/>
      <c r="Y720" s="95"/>
      <c r="Z720" s="95"/>
      <c r="AA720" s="95"/>
    </row>
    <row r="721">
      <c r="A721" s="95" t="s">
        <v>5116</v>
      </c>
      <c r="B721" s="95"/>
      <c r="C721" s="95"/>
      <c r="D721" s="95"/>
      <c r="E721" s="95"/>
      <c r="F721" s="95"/>
      <c r="G721" s="95"/>
      <c r="H721" s="95"/>
      <c r="I721" s="95"/>
      <c r="J721" s="95"/>
      <c r="K721" s="95"/>
      <c r="L721" s="95"/>
      <c r="M721" s="95"/>
      <c r="N721" s="95"/>
      <c r="O721" s="95"/>
      <c r="P721" s="95"/>
      <c r="Q721" s="95"/>
      <c r="R721" s="95"/>
      <c r="S721" s="95"/>
      <c r="T721" s="95"/>
      <c r="U721" s="95"/>
      <c r="V721" s="95"/>
      <c r="W721" s="95"/>
      <c r="X721" s="95"/>
      <c r="Y721" s="95"/>
      <c r="Z721" s="95"/>
      <c r="AA721" s="95"/>
    </row>
    <row r="722">
      <c r="A722" s="95" t="s">
        <v>5116</v>
      </c>
      <c r="B722" s="95"/>
      <c r="C722" s="95"/>
      <c r="D722" s="95"/>
      <c r="E722" s="95"/>
      <c r="F722" s="95"/>
      <c r="G722" s="95"/>
      <c r="H722" s="95"/>
      <c r="I722" s="95"/>
      <c r="J722" s="95"/>
      <c r="K722" s="95"/>
      <c r="L722" s="95"/>
      <c r="M722" s="95"/>
      <c r="N722" s="95"/>
      <c r="O722" s="95"/>
      <c r="P722" s="95"/>
      <c r="Q722" s="95"/>
      <c r="R722" s="95"/>
      <c r="S722" s="95"/>
      <c r="T722" s="95"/>
      <c r="U722" s="95"/>
      <c r="V722" s="95"/>
      <c r="W722" s="95"/>
      <c r="X722" s="95"/>
      <c r="Y722" s="95"/>
      <c r="Z722" s="95"/>
      <c r="AA722" s="95"/>
    </row>
    <row r="723">
      <c r="A723" s="95" t="s">
        <v>5116</v>
      </c>
      <c r="B723" s="95"/>
      <c r="C723" s="95"/>
      <c r="D723" s="95"/>
      <c r="E723" s="95"/>
      <c r="F723" s="95"/>
      <c r="G723" s="95"/>
      <c r="H723" s="95"/>
      <c r="I723" s="95"/>
      <c r="J723" s="95"/>
      <c r="K723" s="95"/>
      <c r="L723" s="95"/>
      <c r="M723" s="95"/>
      <c r="N723" s="95"/>
      <c r="O723" s="95"/>
      <c r="P723" s="95"/>
      <c r="Q723" s="95"/>
      <c r="R723" s="95"/>
      <c r="S723" s="95"/>
      <c r="T723" s="95"/>
      <c r="U723" s="95"/>
      <c r="V723" s="95"/>
      <c r="W723" s="95"/>
      <c r="X723" s="95"/>
      <c r="Y723" s="95"/>
      <c r="Z723" s="95"/>
      <c r="AA723" s="95"/>
    </row>
    <row r="724">
      <c r="A724" s="95" t="s">
        <v>5116</v>
      </c>
      <c r="B724" s="95"/>
      <c r="C724" s="95"/>
      <c r="D724" s="95"/>
      <c r="E724" s="95"/>
      <c r="F724" s="95"/>
      <c r="G724" s="95"/>
      <c r="H724" s="95"/>
      <c r="I724" s="95"/>
      <c r="J724" s="95"/>
      <c r="K724" s="95"/>
      <c r="L724" s="95"/>
      <c r="M724" s="95"/>
      <c r="N724" s="95"/>
      <c r="O724" s="95"/>
      <c r="P724" s="95"/>
      <c r="Q724" s="95"/>
      <c r="R724" s="95"/>
      <c r="S724" s="95"/>
      <c r="T724" s="95"/>
      <c r="U724" s="95"/>
      <c r="V724" s="95"/>
      <c r="W724" s="95"/>
      <c r="X724" s="95"/>
      <c r="Y724" s="95"/>
      <c r="Z724" s="95"/>
      <c r="AA724" s="95"/>
    </row>
    <row r="725">
      <c r="A725" s="95" t="s">
        <v>5116</v>
      </c>
      <c r="B725" s="95"/>
      <c r="C725" s="95"/>
      <c r="D725" s="95"/>
      <c r="E725" s="95"/>
      <c r="F725" s="95"/>
      <c r="G725" s="95"/>
      <c r="H725" s="95"/>
      <c r="I725" s="95"/>
      <c r="J725" s="95"/>
      <c r="K725" s="95"/>
      <c r="L725" s="95"/>
      <c r="M725" s="95"/>
      <c r="N725" s="95"/>
      <c r="O725" s="95"/>
      <c r="P725" s="95"/>
      <c r="Q725" s="95"/>
      <c r="R725" s="95"/>
      <c r="S725" s="95"/>
      <c r="T725" s="95"/>
      <c r="U725" s="95"/>
      <c r="V725" s="95"/>
      <c r="W725" s="95"/>
      <c r="X725" s="95"/>
      <c r="Y725" s="95"/>
      <c r="Z725" s="95"/>
      <c r="AA725" s="95"/>
    </row>
    <row r="726">
      <c r="A726" s="95" t="s">
        <v>5116</v>
      </c>
      <c r="B726" s="95"/>
      <c r="C726" s="95"/>
      <c r="D726" s="95"/>
      <c r="E726" s="95"/>
      <c r="F726" s="95"/>
      <c r="G726" s="95"/>
      <c r="H726" s="95"/>
      <c r="I726" s="95"/>
      <c r="J726" s="95"/>
      <c r="K726" s="95"/>
      <c r="L726" s="95"/>
      <c r="M726" s="95"/>
      <c r="N726" s="95"/>
      <c r="O726" s="95"/>
      <c r="P726" s="95"/>
      <c r="Q726" s="95"/>
      <c r="R726" s="95"/>
      <c r="S726" s="95"/>
      <c r="T726" s="95"/>
      <c r="U726" s="95"/>
      <c r="V726" s="95"/>
      <c r="W726" s="95"/>
      <c r="X726" s="95"/>
      <c r="Y726" s="95"/>
      <c r="Z726" s="95"/>
      <c r="AA726" s="95"/>
    </row>
    <row r="727">
      <c r="A727" s="95" t="s">
        <v>5116</v>
      </c>
      <c r="B727" s="95"/>
      <c r="C727" s="95"/>
      <c r="D727" s="95"/>
      <c r="E727" s="95"/>
      <c r="F727" s="95"/>
      <c r="G727" s="95"/>
      <c r="H727" s="95"/>
      <c r="I727" s="95"/>
      <c r="J727" s="95"/>
      <c r="K727" s="95"/>
      <c r="L727" s="95"/>
      <c r="M727" s="95"/>
      <c r="N727" s="95"/>
      <c r="O727" s="95"/>
      <c r="P727" s="95"/>
      <c r="Q727" s="95"/>
      <c r="R727" s="95"/>
      <c r="S727" s="95"/>
      <c r="T727" s="95"/>
      <c r="U727" s="95"/>
      <c r="V727" s="95"/>
      <c r="W727" s="95"/>
      <c r="X727" s="95"/>
      <c r="Y727" s="95"/>
      <c r="Z727" s="95"/>
      <c r="AA727" s="95"/>
    </row>
    <row r="728">
      <c r="A728" s="95" t="s">
        <v>5116</v>
      </c>
      <c r="B728" s="95"/>
      <c r="C728" s="95"/>
      <c r="D728" s="95"/>
      <c r="E728" s="95"/>
      <c r="F728" s="95"/>
      <c r="G728" s="95"/>
      <c r="H728" s="95"/>
      <c r="I728" s="95"/>
      <c r="J728" s="95"/>
      <c r="K728" s="95"/>
      <c r="L728" s="95"/>
      <c r="M728" s="95"/>
      <c r="N728" s="95"/>
      <c r="O728" s="95"/>
      <c r="P728" s="95"/>
      <c r="Q728" s="95"/>
      <c r="R728" s="95"/>
      <c r="S728" s="95"/>
      <c r="T728" s="95"/>
      <c r="U728" s="95"/>
      <c r="V728" s="95"/>
      <c r="W728" s="95"/>
      <c r="X728" s="95"/>
      <c r="Y728" s="95"/>
      <c r="Z728" s="95"/>
      <c r="AA728" s="95"/>
    </row>
    <row r="729">
      <c r="A729" s="95" t="s">
        <v>5116</v>
      </c>
      <c r="B729" s="95"/>
      <c r="C729" s="95"/>
      <c r="D729" s="95"/>
      <c r="E729" s="95"/>
      <c r="F729" s="95"/>
      <c r="G729" s="95"/>
      <c r="H729" s="95"/>
      <c r="I729" s="95"/>
      <c r="J729" s="95"/>
      <c r="K729" s="95"/>
      <c r="L729" s="95"/>
      <c r="M729" s="95"/>
      <c r="N729" s="95"/>
      <c r="O729" s="95"/>
      <c r="P729" s="95"/>
      <c r="Q729" s="95"/>
      <c r="R729" s="95"/>
      <c r="S729" s="95"/>
      <c r="T729" s="95"/>
      <c r="U729" s="95"/>
      <c r="V729" s="95"/>
      <c r="W729" s="95"/>
      <c r="X729" s="95"/>
      <c r="Y729" s="95"/>
      <c r="Z729" s="95"/>
      <c r="AA729" s="95"/>
    </row>
    <row r="730">
      <c r="A730" s="95" t="s">
        <v>5116</v>
      </c>
      <c r="B730" s="95"/>
      <c r="C730" s="95"/>
      <c r="D730" s="95"/>
      <c r="E730" s="95"/>
      <c r="F730" s="95"/>
      <c r="G730" s="95"/>
      <c r="H730" s="95"/>
      <c r="I730" s="95"/>
      <c r="J730" s="95"/>
      <c r="K730" s="95"/>
      <c r="L730" s="95"/>
      <c r="M730" s="95"/>
      <c r="N730" s="95"/>
      <c r="O730" s="95"/>
      <c r="P730" s="95"/>
      <c r="Q730" s="95"/>
      <c r="R730" s="95"/>
      <c r="S730" s="95"/>
      <c r="T730" s="95"/>
      <c r="U730" s="95"/>
      <c r="V730" s="95"/>
      <c r="W730" s="95"/>
      <c r="X730" s="95"/>
      <c r="Y730" s="95"/>
      <c r="Z730" s="95"/>
      <c r="AA730" s="95"/>
    </row>
    <row r="731">
      <c r="A731" s="95" t="s">
        <v>5116</v>
      </c>
      <c r="B731" s="95"/>
      <c r="C731" s="95"/>
      <c r="D731" s="95"/>
      <c r="E731" s="95"/>
      <c r="F731" s="95"/>
      <c r="G731" s="95"/>
      <c r="H731" s="95"/>
      <c r="I731" s="95"/>
      <c r="J731" s="95"/>
      <c r="K731" s="95"/>
      <c r="L731" s="95"/>
      <c r="M731" s="95"/>
      <c r="N731" s="95"/>
      <c r="O731" s="95"/>
      <c r="P731" s="95"/>
      <c r="Q731" s="95"/>
      <c r="R731" s="95"/>
      <c r="S731" s="95"/>
      <c r="T731" s="95"/>
      <c r="U731" s="95"/>
      <c r="V731" s="95"/>
      <c r="W731" s="95"/>
      <c r="X731" s="95"/>
      <c r="Y731" s="95"/>
      <c r="Z731" s="95"/>
      <c r="AA731" s="95"/>
    </row>
    <row r="732">
      <c r="A732" s="95" t="s">
        <v>5116</v>
      </c>
      <c r="B732" s="95"/>
      <c r="C732" s="95"/>
      <c r="D732" s="95"/>
      <c r="E732" s="95"/>
      <c r="F732" s="95"/>
      <c r="G732" s="95"/>
      <c r="H732" s="95"/>
      <c r="I732" s="95"/>
      <c r="J732" s="95"/>
      <c r="K732" s="95"/>
      <c r="L732" s="95"/>
      <c r="M732" s="95"/>
      <c r="N732" s="95"/>
      <c r="O732" s="95"/>
      <c r="P732" s="95"/>
      <c r="Q732" s="95"/>
      <c r="R732" s="95"/>
      <c r="S732" s="95"/>
      <c r="T732" s="95"/>
      <c r="U732" s="95"/>
      <c r="V732" s="95"/>
      <c r="W732" s="95"/>
      <c r="X732" s="95"/>
      <c r="Y732" s="95"/>
      <c r="Z732" s="95"/>
      <c r="AA732" s="95"/>
    </row>
    <row r="733">
      <c r="A733" s="95" t="s">
        <v>5116</v>
      </c>
      <c r="B733" s="95"/>
      <c r="C733" s="95"/>
      <c r="D733" s="95"/>
      <c r="E733" s="95"/>
      <c r="F733" s="95"/>
      <c r="G733" s="95"/>
      <c r="H733" s="95"/>
      <c r="I733" s="95"/>
      <c r="J733" s="95"/>
      <c r="K733" s="95"/>
      <c r="L733" s="95"/>
      <c r="M733" s="95"/>
      <c r="N733" s="95"/>
      <c r="O733" s="95"/>
      <c r="P733" s="95"/>
      <c r="Q733" s="95"/>
      <c r="R733" s="95"/>
      <c r="S733" s="95"/>
      <c r="T733" s="95"/>
      <c r="U733" s="95"/>
      <c r="V733" s="95"/>
      <c r="W733" s="95"/>
      <c r="X733" s="95"/>
      <c r="Y733" s="95"/>
      <c r="Z733" s="95"/>
      <c r="AA733" s="95"/>
    </row>
    <row r="734">
      <c r="A734" s="95" t="s">
        <v>5116</v>
      </c>
      <c r="B734" s="95"/>
      <c r="C734" s="95"/>
      <c r="D734" s="95"/>
      <c r="E734" s="95"/>
      <c r="F734" s="95"/>
      <c r="G734" s="95"/>
      <c r="H734" s="95"/>
      <c r="I734" s="95"/>
      <c r="J734" s="95"/>
      <c r="K734" s="95"/>
      <c r="L734" s="95"/>
      <c r="M734" s="95"/>
      <c r="N734" s="95"/>
      <c r="O734" s="95"/>
      <c r="P734" s="95"/>
      <c r="Q734" s="95"/>
      <c r="R734" s="95"/>
      <c r="S734" s="95"/>
      <c r="T734" s="95"/>
      <c r="U734" s="95"/>
      <c r="V734" s="95"/>
      <c r="W734" s="95"/>
      <c r="X734" s="95"/>
      <c r="Y734" s="95"/>
      <c r="Z734" s="95"/>
      <c r="AA734" s="95"/>
    </row>
    <row r="735">
      <c r="A735" s="95" t="s">
        <v>5116</v>
      </c>
      <c r="B735" s="95"/>
      <c r="C735" s="95"/>
      <c r="D735" s="95"/>
      <c r="E735" s="95"/>
      <c r="F735" s="95"/>
      <c r="G735" s="95"/>
      <c r="H735" s="95"/>
      <c r="I735" s="95"/>
      <c r="J735" s="95"/>
      <c r="K735" s="95"/>
      <c r="L735" s="95"/>
      <c r="M735" s="95"/>
      <c r="N735" s="95"/>
      <c r="O735" s="95"/>
      <c r="P735" s="95"/>
      <c r="Q735" s="95"/>
      <c r="R735" s="95"/>
      <c r="S735" s="95"/>
      <c r="T735" s="95"/>
      <c r="U735" s="95"/>
      <c r="V735" s="95"/>
      <c r="W735" s="95"/>
      <c r="X735" s="95"/>
      <c r="Y735" s="95"/>
      <c r="Z735" s="95"/>
      <c r="AA735" s="95"/>
    </row>
    <row r="736">
      <c r="A736" s="95" t="s">
        <v>5116</v>
      </c>
      <c r="B736" s="95"/>
      <c r="C736" s="95"/>
      <c r="D736" s="95"/>
      <c r="E736" s="95"/>
      <c r="F736" s="95"/>
      <c r="G736" s="95"/>
      <c r="H736" s="95"/>
      <c r="I736" s="95"/>
      <c r="J736" s="95"/>
      <c r="K736" s="95"/>
      <c r="L736" s="95"/>
      <c r="M736" s="95"/>
      <c r="N736" s="95"/>
      <c r="O736" s="95"/>
      <c r="P736" s="95"/>
      <c r="Q736" s="95"/>
      <c r="R736" s="95"/>
      <c r="S736" s="95"/>
      <c r="T736" s="95"/>
      <c r="U736" s="95"/>
      <c r="V736" s="95"/>
      <c r="W736" s="95"/>
      <c r="X736" s="95"/>
      <c r="Y736" s="95"/>
      <c r="Z736" s="95"/>
      <c r="AA736" s="95"/>
    </row>
    <row r="737">
      <c r="A737" s="95" t="s">
        <v>5116</v>
      </c>
      <c r="B737" s="95"/>
      <c r="C737" s="95"/>
      <c r="D737" s="95"/>
      <c r="E737" s="95"/>
      <c r="F737" s="95"/>
      <c r="G737" s="95"/>
      <c r="H737" s="95"/>
      <c r="I737" s="95"/>
      <c r="J737" s="95"/>
      <c r="K737" s="95"/>
      <c r="L737" s="95"/>
      <c r="M737" s="95"/>
      <c r="N737" s="95"/>
      <c r="O737" s="95"/>
      <c r="P737" s="95"/>
      <c r="Q737" s="95"/>
      <c r="R737" s="95"/>
      <c r="S737" s="95"/>
      <c r="T737" s="95"/>
      <c r="U737" s="95"/>
      <c r="V737" s="95"/>
      <c r="W737" s="95"/>
      <c r="X737" s="95"/>
      <c r="Y737" s="95"/>
      <c r="Z737" s="95"/>
      <c r="AA737" s="95"/>
    </row>
    <row r="738">
      <c r="A738" s="95" t="s">
        <v>5116</v>
      </c>
      <c r="B738" s="95"/>
      <c r="C738" s="95"/>
      <c r="D738" s="95"/>
      <c r="E738" s="95"/>
      <c r="F738" s="95"/>
      <c r="G738" s="95"/>
      <c r="H738" s="95"/>
      <c r="I738" s="95"/>
      <c r="J738" s="95"/>
      <c r="K738" s="95"/>
      <c r="L738" s="95"/>
      <c r="M738" s="95"/>
      <c r="N738" s="95"/>
      <c r="O738" s="95"/>
      <c r="P738" s="95"/>
      <c r="Q738" s="95"/>
      <c r="R738" s="95"/>
      <c r="S738" s="95"/>
      <c r="T738" s="95"/>
      <c r="U738" s="95"/>
      <c r="V738" s="95"/>
      <c r="W738" s="95"/>
      <c r="X738" s="95"/>
      <c r="Y738" s="95"/>
      <c r="Z738" s="95"/>
      <c r="AA738" s="95"/>
    </row>
    <row r="739">
      <c r="A739" s="95" t="s">
        <v>5116</v>
      </c>
      <c r="B739" s="95"/>
      <c r="C739" s="95"/>
      <c r="D739" s="95"/>
      <c r="E739" s="95"/>
      <c r="F739" s="95"/>
      <c r="G739" s="95"/>
      <c r="H739" s="95"/>
      <c r="I739" s="95"/>
      <c r="J739" s="95"/>
      <c r="K739" s="95"/>
      <c r="L739" s="95"/>
      <c r="M739" s="95"/>
      <c r="N739" s="95"/>
      <c r="O739" s="95"/>
      <c r="P739" s="95"/>
      <c r="Q739" s="95"/>
      <c r="R739" s="95"/>
      <c r="S739" s="95"/>
      <c r="T739" s="95"/>
      <c r="U739" s="95"/>
      <c r="V739" s="95"/>
      <c r="W739" s="95"/>
      <c r="X739" s="95"/>
      <c r="Y739" s="95"/>
      <c r="Z739" s="95"/>
      <c r="AA739" s="95"/>
    </row>
    <row r="740">
      <c r="A740" s="95" t="s">
        <v>5116</v>
      </c>
      <c r="B740" s="95"/>
      <c r="C740" s="95"/>
      <c r="D740" s="95"/>
      <c r="E740" s="95"/>
      <c r="F740" s="95"/>
      <c r="G740" s="95"/>
      <c r="H740" s="95"/>
      <c r="I740" s="95"/>
      <c r="J740" s="95"/>
      <c r="K740" s="95"/>
      <c r="L740" s="95"/>
      <c r="M740" s="95"/>
      <c r="N740" s="95"/>
      <c r="O740" s="95"/>
      <c r="P740" s="95"/>
      <c r="Q740" s="95"/>
      <c r="R740" s="95"/>
      <c r="S740" s="95"/>
      <c r="T740" s="95"/>
      <c r="U740" s="95"/>
      <c r="V740" s="95"/>
      <c r="W740" s="95"/>
      <c r="X740" s="95"/>
      <c r="Y740" s="95"/>
      <c r="Z740" s="95"/>
      <c r="AA740" s="95"/>
    </row>
    <row r="741">
      <c r="A741" s="95" t="s">
        <v>5116</v>
      </c>
      <c r="B741" s="95"/>
      <c r="C741" s="95"/>
      <c r="D741" s="95"/>
      <c r="E741" s="95"/>
      <c r="F741" s="95"/>
      <c r="G741" s="95"/>
      <c r="H741" s="95"/>
      <c r="I741" s="95"/>
      <c r="J741" s="95"/>
      <c r="K741" s="95"/>
      <c r="L741" s="95"/>
      <c r="M741" s="95"/>
      <c r="N741" s="95"/>
      <c r="O741" s="95"/>
      <c r="P741" s="95"/>
      <c r="Q741" s="95"/>
      <c r="R741" s="95"/>
      <c r="S741" s="95"/>
      <c r="T741" s="95"/>
      <c r="U741" s="95"/>
      <c r="V741" s="95"/>
      <c r="W741" s="95"/>
      <c r="X741" s="95"/>
      <c r="Y741" s="95"/>
      <c r="Z741" s="95"/>
      <c r="AA741" s="95"/>
    </row>
    <row r="742">
      <c r="A742" s="95" t="s">
        <v>5116</v>
      </c>
      <c r="B742" s="95"/>
      <c r="C742" s="95"/>
      <c r="D742" s="95"/>
      <c r="E742" s="95"/>
      <c r="F742" s="95"/>
      <c r="G742" s="95"/>
      <c r="H742" s="95"/>
      <c r="I742" s="95"/>
      <c r="J742" s="95"/>
      <c r="K742" s="95"/>
      <c r="L742" s="95"/>
      <c r="M742" s="95"/>
      <c r="N742" s="95"/>
      <c r="O742" s="95"/>
      <c r="P742" s="95"/>
      <c r="Q742" s="95"/>
      <c r="R742" s="95"/>
      <c r="S742" s="95"/>
      <c r="T742" s="95"/>
      <c r="U742" s="95"/>
      <c r="V742" s="95"/>
      <c r="W742" s="95"/>
      <c r="X742" s="95"/>
      <c r="Y742" s="95"/>
      <c r="Z742" s="95"/>
      <c r="AA742" s="95"/>
    </row>
    <row r="743">
      <c r="A743" s="95" t="s">
        <v>5116</v>
      </c>
      <c r="B743" s="95"/>
      <c r="C743" s="95"/>
      <c r="D743" s="95"/>
      <c r="E743" s="95"/>
      <c r="F743" s="95"/>
      <c r="G743" s="95"/>
      <c r="H743" s="95"/>
      <c r="I743" s="95"/>
      <c r="J743" s="95"/>
      <c r="K743" s="95"/>
      <c r="L743" s="95"/>
      <c r="M743" s="95"/>
      <c r="N743" s="95"/>
      <c r="O743" s="95"/>
      <c r="P743" s="95"/>
      <c r="Q743" s="95"/>
      <c r="R743" s="95"/>
      <c r="S743" s="95"/>
      <c r="T743" s="95"/>
      <c r="U743" s="95"/>
      <c r="V743" s="95"/>
      <c r="W743" s="95"/>
      <c r="X743" s="95"/>
      <c r="Y743" s="95"/>
      <c r="Z743" s="95"/>
      <c r="AA743" s="95"/>
    </row>
    <row r="744">
      <c r="A744" s="95" t="s">
        <v>5116</v>
      </c>
      <c r="B744" s="95"/>
      <c r="C744" s="95"/>
      <c r="D744" s="95"/>
      <c r="E744" s="95"/>
      <c r="F744" s="95"/>
      <c r="G744" s="95"/>
      <c r="H744" s="95"/>
      <c r="I744" s="95"/>
      <c r="J744" s="95"/>
      <c r="K744" s="95"/>
      <c r="L744" s="95"/>
      <c r="M744" s="95"/>
      <c r="N744" s="95"/>
      <c r="O744" s="95"/>
      <c r="P744" s="95"/>
      <c r="Q744" s="95"/>
      <c r="R744" s="95"/>
      <c r="S744" s="95"/>
      <c r="T744" s="95"/>
      <c r="U744" s="95"/>
      <c r="V744" s="95"/>
      <c r="W744" s="95"/>
      <c r="X744" s="95"/>
      <c r="Y744" s="95"/>
      <c r="Z744" s="95"/>
      <c r="AA744" s="95"/>
    </row>
    <row r="745">
      <c r="A745" s="95" t="s">
        <v>5116</v>
      </c>
      <c r="B745" s="95"/>
      <c r="C745" s="95"/>
      <c r="D745" s="95"/>
      <c r="E745" s="95"/>
      <c r="F745" s="95"/>
      <c r="G745" s="95"/>
      <c r="H745" s="95"/>
      <c r="I745" s="95"/>
      <c r="J745" s="95"/>
      <c r="K745" s="95"/>
      <c r="L745" s="95"/>
      <c r="M745" s="95"/>
      <c r="N745" s="95"/>
      <c r="O745" s="95"/>
      <c r="P745" s="95"/>
      <c r="Q745" s="95"/>
      <c r="R745" s="95"/>
      <c r="S745" s="95"/>
      <c r="T745" s="95"/>
      <c r="U745" s="95"/>
      <c r="V745" s="95"/>
      <c r="W745" s="95"/>
      <c r="X745" s="95"/>
      <c r="Y745" s="95"/>
      <c r="Z745" s="95"/>
      <c r="AA745" s="95"/>
    </row>
    <row r="746">
      <c r="A746" s="95" t="s">
        <v>5116</v>
      </c>
      <c r="B746" s="95"/>
      <c r="C746" s="95"/>
      <c r="D746" s="95"/>
      <c r="E746" s="95"/>
      <c r="F746" s="95"/>
      <c r="G746" s="95"/>
      <c r="H746" s="95"/>
      <c r="I746" s="95"/>
      <c r="J746" s="95"/>
      <c r="K746" s="95"/>
      <c r="L746" s="95"/>
      <c r="M746" s="95"/>
      <c r="N746" s="95"/>
      <c r="O746" s="95"/>
      <c r="P746" s="95"/>
      <c r="Q746" s="95"/>
      <c r="R746" s="95"/>
      <c r="S746" s="95"/>
      <c r="T746" s="95"/>
      <c r="U746" s="95"/>
      <c r="V746" s="95"/>
      <c r="W746" s="95"/>
      <c r="X746" s="95"/>
      <c r="Y746" s="95"/>
      <c r="Z746" s="95"/>
      <c r="AA746" s="95"/>
    </row>
    <row r="747">
      <c r="A747" s="95" t="s">
        <v>5116</v>
      </c>
      <c r="B747" s="95"/>
      <c r="C747" s="95"/>
      <c r="D747" s="95"/>
      <c r="E747" s="95"/>
      <c r="F747" s="95"/>
      <c r="G747" s="95"/>
      <c r="H747" s="95"/>
      <c r="I747" s="95"/>
      <c r="J747" s="95"/>
      <c r="K747" s="95"/>
      <c r="L747" s="95"/>
      <c r="M747" s="95"/>
      <c r="N747" s="95"/>
      <c r="O747" s="95"/>
      <c r="P747" s="95"/>
      <c r="Q747" s="95"/>
      <c r="R747" s="95"/>
      <c r="S747" s="95"/>
      <c r="T747" s="95"/>
      <c r="U747" s="95"/>
      <c r="V747" s="95"/>
      <c r="W747" s="95"/>
      <c r="X747" s="95"/>
      <c r="Y747" s="95"/>
      <c r="Z747" s="95"/>
      <c r="AA747" s="95"/>
    </row>
    <row r="748">
      <c r="A748" s="95" t="s">
        <v>5116</v>
      </c>
      <c r="B748" s="95"/>
      <c r="C748" s="95"/>
      <c r="D748" s="95"/>
      <c r="E748" s="95"/>
      <c r="F748" s="95"/>
      <c r="G748" s="95"/>
      <c r="H748" s="95"/>
      <c r="I748" s="95"/>
      <c r="J748" s="95"/>
      <c r="K748" s="95"/>
      <c r="L748" s="95"/>
      <c r="M748" s="95"/>
      <c r="N748" s="95"/>
      <c r="O748" s="95"/>
      <c r="P748" s="95"/>
      <c r="Q748" s="95"/>
      <c r="R748" s="95"/>
      <c r="S748" s="95"/>
      <c r="T748" s="95"/>
      <c r="U748" s="95"/>
      <c r="V748" s="95"/>
      <c r="W748" s="95"/>
      <c r="X748" s="95"/>
      <c r="Y748" s="95"/>
      <c r="Z748" s="95"/>
      <c r="AA748" s="95"/>
    </row>
    <row r="749">
      <c r="A749" s="95" t="s">
        <v>5116</v>
      </c>
      <c r="B749" s="95"/>
      <c r="C749" s="95"/>
      <c r="D749" s="95"/>
      <c r="E749" s="95"/>
      <c r="F749" s="95"/>
      <c r="G749" s="95"/>
      <c r="H749" s="95"/>
      <c r="I749" s="95"/>
      <c r="J749" s="95"/>
      <c r="K749" s="95"/>
      <c r="L749" s="95"/>
      <c r="M749" s="95"/>
      <c r="N749" s="95"/>
      <c r="O749" s="95"/>
      <c r="P749" s="95"/>
      <c r="Q749" s="95"/>
      <c r="R749" s="95"/>
      <c r="S749" s="95"/>
      <c r="T749" s="95"/>
      <c r="U749" s="95"/>
      <c r="V749" s="95"/>
      <c r="W749" s="95"/>
      <c r="X749" s="95"/>
      <c r="Y749" s="95"/>
      <c r="Z749" s="95"/>
      <c r="AA749" s="95"/>
    </row>
    <row r="750">
      <c r="A750" s="95" t="s">
        <v>5116</v>
      </c>
      <c r="B750" s="95"/>
      <c r="C750" s="95"/>
      <c r="D750" s="95"/>
      <c r="E750" s="95"/>
      <c r="F750" s="95"/>
      <c r="G750" s="95"/>
      <c r="H750" s="95"/>
      <c r="I750" s="95"/>
      <c r="J750" s="95"/>
      <c r="K750" s="95"/>
      <c r="L750" s="95"/>
      <c r="M750" s="95"/>
      <c r="N750" s="95"/>
      <c r="O750" s="95"/>
      <c r="P750" s="95"/>
      <c r="Q750" s="95"/>
      <c r="R750" s="95"/>
      <c r="S750" s="95"/>
      <c r="T750" s="95"/>
      <c r="U750" s="95"/>
      <c r="V750" s="95"/>
      <c r="W750" s="95"/>
      <c r="X750" s="95"/>
      <c r="Y750" s="95"/>
      <c r="Z750" s="95"/>
      <c r="AA750" s="95"/>
    </row>
    <row r="751">
      <c r="A751" s="95" t="s">
        <v>5116</v>
      </c>
      <c r="B751" s="95"/>
      <c r="C751" s="95"/>
      <c r="D751" s="95"/>
      <c r="E751" s="95"/>
      <c r="F751" s="95"/>
      <c r="G751" s="95"/>
      <c r="H751" s="95"/>
      <c r="I751" s="95"/>
      <c r="J751" s="95"/>
      <c r="K751" s="95"/>
      <c r="L751" s="95"/>
      <c r="M751" s="95"/>
      <c r="N751" s="95"/>
      <c r="O751" s="95"/>
      <c r="P751" s="95"/>
      <c r="Q751" s="95"/>
      <c r="R751" s="95"/>
      <c r="S751" s="95"/>
      <c r="T751" s="95"/>
      <c r="U751" s="95"/>
      <c r="V751" s="95"/>
      <c r="W751" s="95"/>
      <c r="X751" s="95"/>
      <c r="Y751" s="95"/>
      <c r="Z751" s="95"/>
      <c r="AA751" s="95"/>
    </row>
    <row r="752">
      <c r="A752" s="95" t="s">
        <v>5116</v>
      </c>
      <c r="B752" s="95"/>
      <c r="C752" s="95"/>
      <c r="D752" s="95"/>
      <c r="E752" s="95"/>
      <c r="F752" s="95"/>
      <c r="G752" s="95"/>
      <c r="H752" s="95"/>
      <c r="I752" s="95"/>
      <c r="J752" s="95"/>
      <c r="K752" s="95"/>
      <c r="L752" s="95"/>
      <c r="M752" s="95"/>
      <c r="N752" s="95"/>
      <c r="O752" s="95"/>
      <c r="P752" s="95"/>
      <c r="Q752" s="95"/>
      <c r="R752" s="95"/>
      <c r="S752" s="95"/>
      <c r="T752" s="95"/>
      <c r="U752" s="95"/>
      <c r="V752" s="95"/>
      <c r="W752" s="95"/>
      <c r="X752" s="95"/>
      <c r="Y752" s="95"/>
      <c r="Z752" s="95"/>
      <c r="AA752" s="95"/>
    </row>
    <row r="753">
      <c r="A753" s="95" t="s">
        <v>5116</v>
      </c>
      <c r="B753" s="95"/>
      <c r="C753" s="95"/>
      <c r="D753" s="95"/>
      <c r="E753" s="95"/>
      <c r="F753" s="95"/>
      <c r="G753" s="95"/>
      <c r="H753" s="95"/>
      <c r="I753" s="95"/>
      <c r="J753" s="95"/>
      <c r="K753" s="95"/>
      <c r="L753" s="95"/>
      <c r="M753" s="95"/>
      <c r="N753" s="95"/>
      <c r="O753" s="95"/>
      <c r="P753" s="95"/>
      <c r="Q753" s="95"/>
      <c r="R753" s="95"/>
      <c r="S753" s="95"/>
      <c r="T753" s="95"/>
      <c r="U753" s="95"/>
      <c r="V753" s="95"/>
      <c r="W753" s="95"/>
      <c r="X753" s="95"/>
      <c r="Y753" s="95"/>
      <c r="Z753" s="95"/>
      <c r="AA753" s="95"/>
    </row>
    <row r="754">
      <c r="A754" s="95" t="s">
        <v>5116</v>
      </c>
      <c r="B754" s="95"/>
      <c r="C754" s="95"/>
      <c r="D754" s="95"/>
      <c r="E754" s="95"/>
      <c r="F754" s="95"/>
      <c r="G754" s="95"/>
      <c r="H754" s="95"/>
      <c r="I754" s="95"/>
      <c r="J754" s="95"/>
      <c r="K754" s="95"/>
      <c r="L754" s="95"/>
      <c r="M754" s="95"/>
      <c r="N754" s="95"/>
      <c r="O754" s="95"/>
      <c r="P754" s="95"/>
      <c r="Q754" s="95"/>
      <c r="R754" s="95"/>
      <c r="S754" s="95"/>
      <c r="T754" s="95"/>
      <c r="U754" s="95"/>
      <c r="V754" s="95"/>
      <c r="W754" s="95"/>
      <c r="X754" s="95"/>
      <c r="Y754" s="95"/>
      <c r="Z754" s="95"/>
      <c r="AA754" s="95"/>
    </row>
    <row r="755">
      <c r="A755" s="95" t="s">
        <v>5116</v>
      </c>
      <c r="B755" s="95"/>
      <c r="C755" s="95"/>
      <c r="D755" s="95"/>
      <c r="E755" s="95"/>
      <c r="F755" s="95"/>
      <c r="G755" s="95"/>
      <c r="H755" s="95"/>
      <c r="I755" s="95"/>
      <c r="J755" s="95"/>
      <c r="K755" s="95"/>
      <c r="L755" s="95"/>
      <c r="M755" s="95"/>
      <c r="N755" s="95"/>
      <c r="O755" s="95"/>
      <c r="P755" s="95"/>
      <c r="Q755" s="95"/>
      <c r="R755" s="95"/>
      <c r="S755" s="95"/>
      <c r="T755" s="95"/>
      <c r="U755" s="95"/>
      <c r="V755" s="95"/>
      <c r="W755" s="95"/>
      <c r="X755" s="95"/>
      <c r="Y755" s="95"/>
      <c r="Z755" s="95"/>
      <c r="AA755" s="95"/>
    </row>
    <row r="756">
      <c r="A756" s="95" t="s">
        <v>5116</v>
      </c>
      <c r="B756" s="95"/>
      <c r="C756" s="95"/>
      <c r="D756" s="95"/>
      <c r="E756" s="95"/>
      <c r="F756" s="95"/>
      <c r="G756" s="95"/>
      <c r="H756" s="95"/>
      <c r="I756" s="95"/>
      <c r="J756" s="95"/>
      <c r="K756" s="95"/>
      <c r="L756" s="95"/>
      <c r="M756" s="95"/>
      <c r="N756" s="95"/>
      <c r="O756" s="95"/>
      <c r="P756" s="95"/>
      <c r="Q756" s="95"/>
      <c r="R756" s="95"/>
      <c r="S756" s="95"/>
      <c r="T756" s="95"/>
      <c r="U756" s="95"/>
      <c r="V756" s="95"/>
      <c r="W756" s="95"/>
      <c r="X756" s="95"/>
      <c r="Y756" s="95"/>
      <c r="Z756" s="95"/>
      <c r="AA756" s="95"/>
    </row>
    <row r="757">
      <c r="A757" s="95" t="s">
        <v>5116</v>
      </c>
      <c r="B757" s="95"/>
      <c r="C757" s="95"/>
      <c r="D757" s="95"/>
      <c r="E757" s="95"/>
      <c r="F757" s="95"/>
      <c r="G757" s="95"/>
      <c r="H757" s="95"/>
      <c r="I757" s="95"/>
      <c r="J757" s="95"/>
      <c r="K757" s="95"/>
      <c r="L757" s="95"/>
      <c r="M757" s="95"/>
      <c r="N757" s="95"/>
      <c r="O757" s="95"/>
      <c r="P757" s="95"/>
      <c r="Q757" s="95"/>
      <c r="R757" s="95"/>
      <c r="S757" s="95"/>
      <c r="T757" s="95"/>
      <c r="U757" s="95"/>
      <c r="V757" s="95"/>
      <c r="W757" s="95"/>
      <c r="X757" s="95"/>
      <c r="Y757" s="95"/>
      <c r="Z757" s="95"/>
      <c r="AA757" s="95"/>
    </row>
    <row r="758">
      <c r="A758" s="95" t="s">
        <v>5116</v>
      </c>
      <c r="B758" s="95"/>
      <c r="C758" s="95"/>
      <c r="D758" s="95"/>
      <c r="E758" s="95"/>
      <c r="F758" s="95"/>
      <c r="G758" s="95"/>
      <c r="H758" s="95"/>
      <c r="I758" s="95"/>
      <c r="J758" s="95"/>
      <c r="K758" s="95"/>
      <c r="L758" s="95"/>
      <c r="M758" s="95"/>
      <c r="N758" s="95"/>
      <c r="O758" s="95"/>
      <c r="P758" s="95"/>
      <c r="Q758" s="95"/>
      <c r="R758" s="95"/>
      <c r="S758" s="95"/>
      <c r="T758" s="95"/>
      <c r="U758" s="95"/>
      <c r="V758" s="95"/>
      <c r="W758" s="95"/>
      <c r="X758" s="95"/>
      <c r="Y758" s="95"/>
      <c r="Z758" s="95"/>
      <c r="AA758" s="95"/>
    </row>
    <row r="759">
      <c r="A759" s="95" t="s">
        <v>5116</v>
      </c>
      <c r="B759" s="95"/>
      <c r="C759" s="95"/>
      <c r="D759" s="95"/>
      <c r="E759" s="95"/>
      <c r="F759" s="95"/>
      <c r="G759" s="95"/>
      <c r="H759" s="95"/>
      <c r="I759" s="95"/>
      <c r="J759" s="95"/>
      <c r="K759" s="95"/>
      <c r="L759" s="95"/>
      <c r="M759" s="95"/>
      <c r="N759" s="95"/>
      <c r="O759" s="95"/>
      <c r="P759" s="95"/>
      <c r="Q759" s="95"/>
      <c r="R759" s="95"/>
      <c r="S759" s="95"/>
      <c r="T759" s="95"/>
      <c r="U759" s="95"/>
      <c r="V759" s="95"/>
      <c r="W759" s="95"/>
      <c r="X759" s="95"/>
      <c r="Y759" s="95"/>
      <c r="Z759" s="95"/>
      <c r="AA759" s="95"/>
    </row>
    <row r="760">
      <c r="A760" s="95" t="s">
        <v>5116</v>
      </c>
      <c r="B760" s="95"/>
      <c r="C760" s="95"/>
      <c r="D760" s="95"/>
      <c r="E760" s="95"/>
      <c r="F760" s="95"/>
      <c r="G760" s="95"/>
      <c r="H760" s="95"/>
      <c r="I760" s="95"/>
      <c r="J760" s="95"/>
      <c r="K760" s="95"/>
      <c r="L760" s="95"/>
      <c r="M760" s="95"/>
      <c r="N760" s="95"/>
      <c r="O760" s="95"/>
      <c r="P760" s="95"/>
      <c r="Q760" s="95"/>
      <c r="R760" s="95"/>
      <c r="S760" s="95"/>
      <c r="T760" s="95"/>
      <c r="U760" s="95"/>
      <c r="V760" s="95"/>
      <c r="W760" s="95"/>
      <c r="X760" s="95"/>
      <c r="Y760" s="95"/>
      <c r="Z760" s="95"/>
      <c r="AA760" s="95"/>
    </row>
    <row r="761">
      <c r="A761" s="95" t="s">
        <v>5116</v>
      </c>
      <c r="B761" s="95"/>
      <c r="C761" s="95"/>
      <c r="D761" s="95"/>
      <c r="E761" s="95"/>
      <c r="F761" s="95"/>
      <c r="G761" s="95"/>
      <c r="H761" s="95"/>
      <c r="I761" s="95"/>
      <c r="J761" s="95"/>
      <c r="K761" s="95"/>
      <c r="L761" s="95"/>
      <c r="M761" s="95"/>
      <c r="N761" s="95"/>
      <c r="O761" s="95"/>
      <c r="P761" s="95"/>
      <c r="Q761" s="95"/>
      <c r="R761" s="95"/>
      <c r="S761" s="95"/>
      <c r="T761" s="95"/>
      <c r="U761" s="95"/>
      <c r="V761" s="95"/>
      <c r="W761" s="95"/>
      <c r="X761" s="95"/>
      <c r="Y761" s="95"/>
      <c r="Z761" s="95"/>
      <c r="AA761" s="95"/>
    </row>
    <row r="762">
      <c r="A762" s="95" t="s">
        <v>5116</v>
      </c>
      <c r="B762" s="95"/>
      <c r="C762" s="95"/>
      <c r="D762" s="95"/>
      <c r="E762" s="95"/>
      <c r="F762" s="95"/>
      <c r="G762" s="95"/>
      <c r="H762" s="95"/>
      <c r="I762" s="95"/>
      <c r="J762" s="95"/>
      <c r="K762" s="95"/>
      <c r="L762" s="95"/>
      <c r="M762" s="95"/>
      <c r="N762" s="95"/>
      <c r="O762" s="95"/>
      <c r="P762" s="95"/>
      <c r="Q762" s="95"/>
      <c r="R762" s="95"/>
      <c r="S762" s="95"/>
      <c r="T762" s="95"/>
      <c r="U762" s="95"/>
      <c r="V762" s="95"/>
      <c r="W762" s="95"/>
      <c r="X762" s="95"/>
      <c r="Y762" s="95"/>
      <c r="Z762" s="95"/>
      <c r="AA762" s="95"/>
    </row>
    <row r="763">
      <c r="A763" s="95" t="s">
        <v>5116</v>
      </c>
      <c r="B763" s="95"/>
      <c r="C763" s="95"/>
      <c r="D763" s="95"/>
      <c r="E763" s="95"/>
      <c r="F763" s="95"/>
      <c r="G763" s="95"/>
      <c r="H763" s="95"/>
      <c r="I763" s="95"/>
      <c r="J763" s="95"/>
      <c r="K763" s="95"/>
      <c r="L763" s="95"/>
      <c r="M763" s="95"/>
      <c r="N763" s="95"/>
      <c r="O763" s="95"/>
      <c r="P763" s="95"/>
      <c r="Q763" s="95"/>
      <c r="R763" s="95"/>
      <c r="S763" s="95"/>
      <c r="T763" s="95"/>
      <c r="U763" s="95"/>
      <c r="V763" s="95"/>
      <c r="W763" s="95"/>
      <c r="X763" s="95"/>
      <c r="Y763" s="95"/>
      <c r="Z763" s="95"/>
      <c r="AA763" s="95"/>
    </row>
    <row r="764">
      <c r="A764" s="95" t="s">
        <v>5116</v>
      </c>
      <c r="B764" s="95"/>
      <c r="C764" s="95"/>
      <c r="D764" s="95"/>
      <c r="E764" s="95"/>
      <c r="F764" s="95"/>
      <c r="G764" s="95"/>
      <c r="H764" s="95"/>
      <c r="I764" s="95"/>
      <c r="J764" s="95"/>
      <c r="K764" s="95"/>
      <c r="L764" s="95"/>
      <c r="M764" s="95"/>
      <c r="N764" s="95"/>
      <c r="O764" s="95"/>
      <c r="P764" s="95"/>
      <c r="Q764" s="95"/>
      <c r="R764" s="95"/>
      <c r="S764" s="95"/>
      <c r="T764" s="95"/>
      <c r="U764" s="95"/>
      <c r="V764" s="95"/>
      <c r="W764" s="95"/>
      <c r="X764" s="95"/>
      <c r="Y764" s="95"/>
      <c r="Z764" s="95"/>
      <c r="AA764" s="95"/>
    </row>
    <row r="765">
      <c r="A765" s="95" t="s">
        <v>5116</v>
      </c>
      <c r="B765" s="95"/>
      <c r="C765" s="95"/>
      <c r="D765" s="95"/>
      <c r="E765" s="95"/>
      <c r="F765" s="95"/>
      <c r="G765" s="95"/>
      <c r="H765" s="95"/>
      <c r="I765" s="95"/>
      <c r="J765" s="95"/>
      <c r="K765" s="95"/>
      <c r="L765" s="95"/>
      <c r="M765" s="95"/>
      <c r="N765" s="95"/>
      <c r="O765" s="95"/>
      <c r="P765" s="95"/>
      <c r="Q765" s="95"/>
      <c r="R765" s="95"/>
      <c r="S765" s="95"/>
      <c r="T765" s="95"/>
      <c r="U765" s="95"/>
      <c r="V765" s="95"/>
      <c r="W765" s="95"/>
      <c r="X765" s="95"/>
      <c r="Y765" s="95"/>
      <c r="Z765" s="95"/>
      <c r="AA765" s="95"/>
    </row>
    <row r="766">
      <c r="A766" s="95" t="s">
        <v>5116</v>
      </c>
      <c r="B766" s="95"/>
      <c r="C766" s="95"/>
      <c r="D766" s="95"/>
      <c r="E766" s="95"/>
      <c r="F766" s="95"/>
      <c r="G766" s="95"/>
      <c r="H766" s="95"/>
      <c r="I766" s="95"/>
      <c r="J766" s="95"/>
      <c r="K766" s="95"/>
      <c r="L766" s="95"/>
      <c r="M766" s="95"/>
      <c r="N766" s="95"/>
      <c r="O766" s="95"/>
      <c r="P766" s="95"/>
      <c r="Q766" s="95"/>
      <c r="R766" s="95"/>
      <c r="S766" s="95"/>
      <c r="T766" s="95"/>
      <c r="U766" s="95"/>
      <c r="V766" s="95"/>
      <c r="W766" s="95"/>
      <c r="X766" s="95"/>
      <c r="Y766" s="95"/>
      <c r="Z766" s="95"/>
      <c r="AA766" s="95"/>
    </row>
    <row r="767">
      <c r="A767" s="95" t="s">
        <v>5116</v>
      </c>
      <c r="B767" s="95"/>
      <c r="C767" s="95"/>
      <c r="D767" s="95"/>
      <c r="E767" s="95"/>
      <c r="F767" s="95"/>
      <c r="G767" s="95"/>
      <c r="H767" s="95"/>
      <c r="I767" s="95"/>
      <c r="J767" s="95"/>
      <c r="K767" s="95"/>
      <c r="L767" s="95"/>
      <c r="M767" s="95"/>
      <c r="N767" s="95"/>
      <c r="O767" s="95"/>
      <c r="P767" s="95"/>
      <c r="Q767" s="95"/>
      <c r="R767" s="95"/>
      <c r="S767" s="95"/>
      <c r="T767" s="95"/>
      <c r="U767" s="95"/>
      <c r="V767" s="95"/>
      <c r="W767" s="95"/>
      <c r="X767" s="95"/>
      <c r="Y767" s="95"/>
      <c r="Z767" s="95"/>
      <c r="AA767" s="95"/>
    </row>
    <row r="768">
      <c r="A768" s="95" t="s">
        <v>5116</v>
      </c>
      <c r="B768" s="95"/>
      <c r="C768" s="95"/>
      <c r="D768" s="95"/>
      <c r="E768" s="95"/>
      <c r="F768" s="95"/>
      <c r="G768" s="95"/>
      <c r="H768" s="95"/>
      <c r="I768" s="95"/>
      <c r="J768" s="95"/>
      <c r="K768" s="95"/>
      <c r="L768" s="95"/>
      <c r="M768" s="95"/>
      <c r="N768" s="95"/>
      <c r="O768" s="95"/>
      <c r="P768" s="95"/>
      <c r="Q768" s="95"/>
      <c r="R768" s="95"/>
      <c r="S768" s="95"/>
      <c r="T768" s="95"/>
      <c r="U768" s="95"/>
      <c r="V768" s="95"/>
      <c r="W768" s="95"/>
      <c r="X768" s="95"/>
      <c r="Y768" s="95"/>
      <c r="Z768" s="95"/>
      <c r="AA768" s="95"/>
    </row>
    <row r="769">
      <c r="A769" s="95" t="s">
        <v>5116</v>
      </c>
      <c r="B769" s="95"/>
      <c r="C769" s="95"/>
      <c r="D769" s="95"/>
      <c r="E769" s="95"/>
      <c r="F769" s="95"/>
      <c r="G769" s="95"/>
      <c r="H769" s="95"/>
      <c r="I769" s="95"/>
      <c r="J769" s="95"/>
      <c r="K769" s="95"/>
      <c r="L769" s="95"/>
      <c r="M769" s="95"/>
      <c r="N769" s="95"/>
      <c r="O769" s="95"/>
      <c r="P769" s="95"/>
      <c r="Q769" s="95"/>
      <c r="R769" s="95"/>
      <c r="S769" s="95"/>
      <c r="T769" s="95"/>
      <c r="U769" s="95"/>
      <c r="V769" s="95"/>
      <c r="W769" s="95"/>
      <c r="X769" s="95"/>
      <c r="Y769" s="95"/>
      <c r="Z769" s="95"/>
      <c r="AA769" s="95"/>
    </row>
    <row r="770">
      <c r="A770" s="95" t="s">
        <v>5116</v>
      </c>
      <c r="B770" s="95"/>
      <c r="C770" s="95"/>
      <c r="D770" s="95"/>
      <c r="E770" s="95"/>
      <c r="F770" s="95"/>
      <c r="G770" s="95"/>
      <c r="H770" s="95"/>
      <c r="I770" s="95"/>
      <c r="J770" s="95"/>
      <c r="K770" s="95"/>
      <c r="L770" s="95"/>
      <c r="M770" s="95"/>
      <c r="N770" s="95"/>
      <c r="O770" s="95"/>
      <c r="P770" s="95"/>
      <c r="Q770" s="95"/>
      <c r="R770" s="95"/>
      <c r="S770" s="95"/>
      <c r="T770" s="95"/>
      <c r="U770" s="95"/>
      <c r="V770" s="95"/>
      <c r="W770" s="95"/>
      <c r="X770" s="95"/>
      <c r="Y770" s="95"/>
      <c r="Z770" s="95"/>
      <c r="AA770" s="95"/>
    </row>
    <row r="771">
      <c r="A771" s="95" t="s">
        <v>5116</v>
      </c>
      <c r="B771" s="95"/>
      <c r="C771" s="95"/>
      <c r="D771" s="95"/>
      <c r="E771" s="95"/>
      <c r="F771" s="95"/>
      <c r="G771" s="95"/>
      <c r="H771" s="95"/>
      <c r="I771" s="95"/>
      <c r="J771" s="95"/>
      <c r="K771" s="95"/>
      <c r="L771" s="95"/>
      <c r="M771" s="95"/>
      <c r="N771" s="95"/>
      <c r="O771" s="95"/>
      <c r="P771" s="95"/>
      <c r="Q771" s="95"/>
      <c r="R771" s="95"/>
      <c r="S771" s="95"/>
      <c r="T771" s="95"/>
      <c r="U771" s="95"/>
      <c r="V771" s="95"/>
      <c r="W771" s="95"/>
      <c r="X771" s="95"/>
      <c r="Y771" s="95"/>
      <c r="Z771" s="95"/>
      <c r="AA771" s="95"/>
    </row>
    <row r="772">
      <c r="A772" s="95" t="s">
        <v>5116</v>
      </c>
      <c r="B772" s="95"/>
      <c r="C772" s="95"/>
      <c r="D772" s="95"/>
      <c r="E772" s="95"/>
      <c r="F772" s="95"/>
      <c r="G772" s="95"/>
      <c r="H772" s="95"/>
      <c r="I772" s="95"/>
      <c r="J772" s="95"/>
      <c r="K772" s="95"/>
      <c r="L772" s="95"/>
      <c r="M772" s="95"/>
      <c r="N772" s="95"/>
      <c r="O772" s="95"/>
      <c r="P772" s="95"/>
      <c r="Q772" s="95"/>
      <c r="R772" s="95"/>
      <c r="S772" s="95"/>
      <c r="T772" s="95"/>
      <c r="U772" s="95"/>
      <c r="V772" s="95"/>
      <c r="W772" s="95"/>
      <c r="X772" s="95"/>
      <c r="Y772" s="95"/>
      <c r="Z772" s="95"/>
      <c r="AA772" s="95"/>
    </row>
    <row r="773">
      <c r="A773" s="95" t="s">
        <v>5116</v>
      </c>
      <c r="B773" s="95"/>
      <c r="C773" s="95"/>
      <c r="D773" s="95"/>
      <c r="E773" s="95"/>
      <c r="F773" s="95"/>
      <c r="G773" s="95"/>
      <c r="H773" s="95"/>
      <c r="I773" s="95"/>
      <c r="J773" s="95"/>
      <c r="K773" s="95"/>
      <c r="L773" s="95"/>
      <c r="M773" s="95"/>
      <c r="N773" s="95"/>
      <c r="O773" s="95"/>
      <c r="P773" s="95"/>
      <c r="Q773" s="95"/>
      <c r="R773" s="95"/>
      <c r="S773" s="95"/>
      <c r="T773" s="95"/>
      <c r="U773" s="95"/>
      <c r="V773" s="95"/>
      <c r="W773" s="95"/>
      <c r="X773" s="95"/>
      <c r="Y773" s="95"/>
      <c r="Z773" s="95"/>
      <c r="AA773" s="95"/>
    </row>
    <row r="774">
      <c r="A774" s="95" t="s">
        <v>5116</v>
      </c>
      <c r="B774" s="95"/>
      <c r="C774" s="95"/>
      <c r="D774" s="95"/>
      <c r="E774" s="95"/>
      <c r="F774" s="95"/>
      <c r="G774" s="95"/>
      <c r="H774" s="95"/>
      <c r="I774" s="95"/>
      <c r="J774" s="95"/>
      <c r="K774" s="95"/>
      <c r="L774" s="95"/>
      <c r="M774" s="95"/>
      <c r="N774" s="95"/>
      <c r="O774" s="95"/>
      <c r="P774" s="95"/>
      <c r="Q774" s="95"/>
      <c r="R774" s="95"/>
      <c r="S774" s="95"/>
      <c r="T774" s="95"/>
      <c r="U774" s="95"/>
      <c r="V774" s="95"/>
      <c r="W774" s="95"/>
      <c r="X774" s="95"/>
      <c r="Y774" s="95"/>
      <c r="Z774" s="95"/>
      <c r="AA774" s="95"/>
    </row>
    <row r="775">
      <c r="A775" s="95" t="s">
        <v>5116</v>
      </c>
      <c r="B775" s="95"/>
      <c r="C775" s="95"/>
      <c r="D775" s="95"/>
      <c r="E775" s="95"/>
      <c r="F775" s="95"/>
      <c r="G775" s="95"/>
      <c r="H775" s="95"/>
      <c r="I775" s="95"/>
      <c r="J775" s="95"/>
      <c r="K775" s="95"/>
      <c r="L775" s="95"/>
      <c r="M775" s="95"/>
      <c r="N775" s="95"/>
      <c r="O775" s="95"/>
      <c r="P775" s="95"/>
      <c r="Q775" s="95"/>
      <c r="R775" s="95"/>
      <c r="S775" s="95"/>
      <c r="T775" s="95"/>
      <c r="U775" s="95"/>
      <c r="V775" s="95"/>
      <c r="W775" s="95"/>
      <c r="X775" s="95"/>
      <c r="Y775" s="95"/>
      <c r="Z775" s="95"/>
      <c r="AA775" s="95"/>
    </row>
    <row r="776">
      <c r="A776" s="95" t="s">
        <v>5116</v>
      </c>
      <c r="B776" s="95"/>
      <c r="C776" s="95"/>
      <c r="D776" s="95"/>
      <c r="E776" s="95"/>
      <c r="F776" s="95"/>
      <c r="G776" s="95"/>
      <c r="H776" s="95"/>
      <c r="I776" s="95"/>
      <c r="J776" s="95"/>
      <c r="K776" s="95"/>
      <c r="L776" s="95"/>
      <c r="M776" s="95"/>
      <c r="N776" s="95"/>
      <c r="O776" s="95"/>
      <c r="P776" s="95"/>
      <c r="Q776" s="95"/>
      <c r="R776" s="95"/>
      <c r="S776" s="95"/>
      <c r="T776" s="95"/>
      <c r="U776" s="95"/>
      <c r="V776" s="95"/>
      <c r="W776" s="95"/>
      <c r="X776" s="95"/>
      <c r="Y776" s="95"/>
      <c r="Z776" s="95"/>
      <c r="AA776" s="95"/>
    </row>
    <row r="777">
      <c r="A777" s="95" t="s">
        <v>5116</v>
      </c>
      <c r="B777" s="95"/>
      <c r="C777" s="95"/>
      <c r="D777" s="95"/>
      <c r="E777" s="95"/>
      <c r="F777" s="95"/>
      <c r="G777" s="95"/>
      <c r="H777" s="95"/>
      <c r="I777" s="95"/>
      <c r="J777" s="95"/>
      <c r="K777" s="95"/>
      <c r="L777" s="95"/>
      <c r="M777" s="95"/>
      <c r="N777" s="95"/>
      <c r="O777" s="95"/>
      <c r="P777" s="95"/>
      <c r="Q777" s="95"/>
      <c r="R777" s="95"/>
      <c r="S777" s="95"/>
      <c r="T777" s="95"/>
      <c r="U777" s="95"/>
      <c r="V777" s="95"/>
      <c r="W777" s="95"/>
      <c r="X777" s="95"/>
      <c r="Y777" s="95"/>
      <c r="Z777" s="95"/>
      <c r="AA777" s="95"/>
    </row>
    <row r="778">
      <c r="A778" s="95" t="s">
        <v>5116</v>
      </c>
      <c r="B778" s="95"/>
      <c r="C778" s="95"/>
      <c r="D778" s="95"/>
      <c r="E778" s="95"/>
      <c r="F778" s="95"/>
      <c r="G778" s="95"/>
      <c r="H778" s="95"/>
      <c r="I778" s="95"/>
      <c r="J778" s="95"/>
      <c r="K778" s="95"/>
      <c r="L778" s="95"/>
      <c r="M778" s="95"/>
      <c r="N778" s="95"/>
      <c r="O778" s="95"/>
      <c r="P778" s="95"/>
      <c r="Q778" s="95"/>
      <c r="R778" s="95"/>
      <c r="S778" s="95"/>
      <c r="T778" s="95"/>
      <c r="U778" s="95"/>
      <c r="V778" s="95"/>
      <c r="W778" s="95"/>
      <c r="X778" s="95"/>
      <c r="Y778" s="95"/>
      <c r="Z778" s="95"/>
      <c r="AA778" s="95"/>
    </row>
    <row r="779">
      <c r="A779" s="95" t="s">
        <v>5116</v>
      </c>
      <c r="B779" s="95"/>
      <c r="C779" s="95"/>
      <c r="D779" s="95"/>
      <c r="E779" s="95"/>
      <c r="F779" s="95"/>
      <c r="G779" s="95"/>
      <c r="H779" s="95"/>
      <c r="I779" s="95"/>
      <c r="J779" s="95"/>
      <c r="K779" s="95"/>
      <c r="L779" s="95"/>
      <c r="M779" s="95"/>
      <c r="N779" s="95"/>
      <c r="O779" s="95"/>
      <c r="P779" s="95"/>
      <c r="Q779" s="95"/>
      <c r="R779" s="95"/>
      <c r="S779" s="95"/>
      <c r="T779" s="95"/>
      <c r="U779" s="95"/>
      <c r="V779" s="95"/>
      <c r="W779" s="95"/>
      <c r="X779" s="95"/>
      <c r="Y779" s="95"/>
      <c r="Z779" s="95"/>
      <c r="AA779" s="95"/>
    </row>
    <row r="780">
      <c r="A780" s="95" t="s">
        <v>5116</v>
      </c>
      <c r="B780" s="95"/>
      <c r="C780" s="95"/>
      <c r="D780" s="95"/>
      <c r="E780" s="95"/>
      <c r="F780" s="95"/>
      <c r="G780" s="95"/>
      <c r="H780" s="95"/>
      <c r="I780" s="95"/>
      <c r="J780" s="95"/>
      <c r="K780" s="95"/>
      <c r="L780" s="95"/>
      <c r="M780" s="95"/>
      <c r="N780" s="95"/>
      <c r="O780" s="95"/>
      <c r="P780" s="95"/>
      <c r="Q780" s="95"/>
      <c r="R780" s="95"/>
      <c r="S780" s="95"/>
      <c r="T780" s="95"/>
      <c r="U780" s="95"/>
      <c r="V780" s="95"/>
      <c r="W780" s="95"/>
      <c r="X780" s="95"/>
      <c r="Y780" s="95"/>
      <c r="Z780" s="95"/>
      <c r="AA780" s="95"/>
    </row>
    <row r="781">
      <c r="A781" s="95" t="s">
        <v>5116</v>
      </c>
      <c r="B781" s="95"/>
      <c r="C781" s="95"/>
      <c r="D781" s="95"/>
      <c r="E781" s="95"/>
      <c r="F781" s="95"/>
      <c r="G781" s="95"/>
      <c r="H781" s="95"/>
      <c r="I781" s="95"/>
      <c r="J781" s="95"/>
      <c r="K781" s="95"/>
      <c r="L781" s="95"/>
      <c r="M781" s="95"/>
      <c r="N781" s="95"/>
      <c r="O781" s="95"/>
      <c r="P781" s="95"/>
      <c r="Q781" s="95"/>
      <c r="R781" s="95"/>
      <c r="S781" s="95"/>
      <c r="T781" s="95"/>
      <c r="U781" s="95"/>
      <c r="V781" s="95"/>
      <c r="W781" s="95"/>
      <c r="X781" s="95"/>
      <c r="Y781" s="95"/>
      <c r="Z781" s="95"/>
      <c r="AA781" s="95"/>
    </row>
    <row r="782">
      <c r="A782" s="95" t="s">
        <v>5116</v>
      </c>
      <c r="B782" s="95"/>
      <c r="C782" s="95"/>
      <c r="D782" s="95"/>
      <c r="E782" s="95"/>
      <c r="F782" s="95"/>
      <c r="G782" s="95"/>
      <c r="H782" s="95"/>
      <c r="I782" s="95"/>
      <c r="J782" s="95"/>
      <c r="K782" s="95"/>
      <c r="L782" s="95"/>
      <c r="M782" s="95"/>
      <c r="N782" s="95"/>
      <c r="O782" s="95"/>
      <c r="P782" s="95"/>
      <c r="Q782" s="95"/>
      <c r="R782" s="95"/>
      <c r="S782" s="95"/>
      <c r="T782" s="95"/>
      <c r="U782" s="95"/>
      <c r="V782" s="95"/>
      <c r="W782" s="95"/>
      <c r="X782" s="95"/>
      <c r="Y782" s="95"/>
      <c r="Z782" s="95"/>
      <c r="AA782" s="95"/>
    </row>
    <row r="783">
      <c r="A783" s="95" t="s">
        <v>5116</v>
      </c>
      <c r="B783" s="95"/>
      <c r="C783" s="95"/>
      <c r="D783" s="95"/>
      <c r="E783" s="95"/>
      <c r="F783" s="95"/>
      <c r="G783" s="95"/>
      <c r="H783" s="95"/>
      <c r="I783" s="95"/>
      <c r="J783" s="95"/>
      <c r="K783" s="95"/>
      <c r="L783" s="95"/>
      <c r="M783" s="95"/>
      <c r="N783" s="95"/>
      <c r="O783" s="95"/>
      <c r="P783" s="95"/>
      <c r="Q783" s="95"/>
      <c r="R783" s="95"/>
      <c r="S783" s="95"/>
      <c r="T783" s="95"/>
      <c r="U783" s="95"/>
      <c r="V783" s="95"/>
      <c r="W783" s="95"/>
      <c r="X783" s="95"/>
      <c r="Y783" s="95"/>
      <c r="Z783" s="95"/>
      <c r="AA783" s="95"/>
    </row>
    <row r="784">
      <c r="A784" s="95" t="s">
        <v>5116</v>
      </c>
      <c r="B784" s="95"/>
      <c r="C784" s="95"/>
      <c r="D784" s="95"/>
      <c r="E784" s="95"/>
      <c r="F784" s="95"/>
      <c r="G784" s="95"/>
      <c r="H784" s="95"/>
      <c r="I784" s="95"/>
      <c r="J784" s="95"/>
      <c r="K784" s="95"/>
      <c r="L784" s="95"/>
      <c r="M784" s="95"/>
      <c r="N784" s="95"/>
      <c r="O784" s="95"/>
      <c r="P784" s="95"/>
      <c r="Q784" s="95"/>
      <c r="R784" s="95"/>
      <c r="S784" s="95"/>
      <c r="T784" s="95"/>
      <c r="U784" s="95"/>
      <c r="V784" s="95"/>
      <c r="W784" s="95"/>
      <c r="X784" s="95"/>
      <c r="Y784" s="95"/>
      <c r="Z784" s="95"/>
      <c r="AA784" s="95"/>
    </row>
    <row r="785">
      <c r="A785" s="95" t="s">
        <v>5116</v>
      </c>
      <c r="B785" s="95"/>
      <c r="C785" s="95"/>
      <c r="D785" s="95"/>
      <c r="E785" s="95"/>
      <c r="F785" s="95"/>
      <c r="G785" s="95"/>
      <c r="H785" s="95"/>
      <c r="I785" s="95"/>
      <c r="J785" s="95"/>
      <c r="K785" s="95"/>
      <c r="L785" s="95"/>
      <c r="M785" s="95"/>
      <c r="N785" s="95"/>
      <c r="O785" s="95"/>
      <c r="P785" s="95"/>
      <c r="Q785" s="95"/>
      <c r="R785" s="95"/>
      <c r="S785" s="95"/>
      <c r="T785" s="95"/>
      <c r="U785" s="95"/>
      <c r="V785" s="95"/>
      <c r="W785" s="95"/>
      <c r="X785" s="95"/>
      <c r="Y785" s="95"/>
      <c r="Z785" s="95"/>
      <c r="AA785" s="95"/>
    </row>
    <row r="786">
      <c r="A786" s="95" t="s">
        <v>5116</v>
      </c>
      <c r="B786" s="95"/>
      <c r="C786" s="95"/>
      <c r="D786" s="95"/>
      <c r="E786" s="95"/>
      <c r="F786" s="95"/>
      <c r="G786" s="95"/>
      <c r="H786" s="95"/>
      <c r="I786" s="95"/>
      <c r="J786" s="95"/>
      <c r="K786" s="95"/>
      <c r="L786" s="95"/>
      <c r="M786" s="95"/>
      <c r="N786" s="95"/>
      <c r="O786" s="95"/>
      <c r="P786" s="95"/>
      <c r="Q786" s="95"/>
      <c r="R786" s="95"/>
      <c r="S786" s="95"/>
      <c r="T786" s="95"/>
      <c r="U786" s="95"/>
      <c r="V786" s="95"/>
      <c r="W786" s="95"/>
      <c r="X786" s="95"/>
      <c r="Y786" s="95"/>
      <c r="Z786" s="95"/>
      <c r="AA786" s="95"/>
    </row>
    <row r="787">
      <c r="A787" s="95" t="s">
        <v>5116</v>
      </c>
      <c r="B787" s="95"/>
      <c r="C787" s="95"/>
      <c r="D787" s="95"/>
      <c r="E787" s="95"/>
      <c r="F787" s="95"/>
      <c r="G787" s="95"/>
      <c r="H787" s="95"/>
      <c r="I787" s="95"/>
      <c r="J787" s="95"/>
      <c r="K787" s="95"/>
      <c r="L787" s="95"/>
      <c r="M787" s="95"/>
      <c r="N787" s="95"/>
      <c r="O787" s="95"/>
      <c r="P787" s="95"/>
      <c r="Q787" s="95"/>
      <c r="R787" s="95"/>
      <c r="S787" s="95"/>
      <c r="T787" s="95"/>
      <c r="U787" s="95"/>
      <c r="V787" s="95"/>
      <c r="W787" s="95"/>
      <c r="X787" s="95"/>
      <c r="Y787" s="95"/>
      <c r="Z787" s="95"/>
      <c r="AA787" s="95"/>
    </row>
    <row r="788">
      <c r="A788" s="95" t="s">
        <v>5116</v>
      </c>
      <c r="B788" s="95"/>
      <c r="C788" s="95"/>
      <c r="D788" s="95"/>
      <c r="E788" s="95"/>
      <c r="F788" s="95"/>
      <c r="G788" s="95"/>
      <c r="H788" s="95"/>
      <c r="I788" s="95"/>
      <c r="J788" s="95"/>
      <c r="K788" s="95"/>
      <c r="L788" s="95"/>
      <c r="M788" s="95"/>
      <c r="N788" s="95"/>
      <c r="O788" s="95"/>
      <c r="P788" s="95"/>
      <c r="Q788" s="95"/>
      <c r="R788" s="95"/>
      <c r="S788" s="95"/>
      <c r="T788" s="95"/>
      <c r="U788" s="95"/>
      <c r="V788" s="95"/>
      <c r="W788" s="95"/>
      <c r="X788" s="95"/>
      <c r="Y788" s="95"/>
      <c r="Z788" s="95"/>
      <c r="AA788" s="95"/>
    </row>
    <row r="789">
      <c r="A789" s="95" t="s">
        <v>5116</v>
      </c>
      <c r="B789" s="95"/>
      <c r="C789" s="95"/>
      <c r="D789" s="95"/>
      <c r="E789" s="95"/>
      <c r="F789" s="95"/>
      <c r="G789" s="95"/>
      <c r="H789" s="95"/>
      <c r="I789" s="95"/>
      <c r="J789" s="95"/>
      <c r="K789" s="95"/>
      <c r="L789" s="95"/>
      <c r="M789" s="95"/>
      <c r="N789" s="95"/>
      <c r="O789" s="95"/>
      <c r="P789" s="95"/>
      <c r="Q789" s="95"/>
      <c r="R789" s="95"/>
      <c r="S789" s="95"/>
      <c r="T789" s="95"/>
      <c r="U789" s="95"/>
      <c r="V789" s="95"/>
      <c r="W789" s="95"/>
      <c r="X789" s="95"/>
      <c r="Y789" s="95"/>
      <c r="Z789" s="95"/>
      <c r="AA789" s="95"/>
    </row>
    <row r="790">
      <c r="A790" s="95" t="s">
        <v>5116</v>
      </c>
      <c r="B790" s="95"/>
      <c r="C790" s="95"/>
      <c r="D790" s="95"/>
      <c r="E790" s="95"/>
      <c r="F790" s="95"/>
      <c r="G790" s="95"/>
      <c r="H790" s="95"/>
      <c r="I790" s="95"/>
      <c r="J790" s="95"/>
      <c r="K790" s="95"/>
      <c r="L790" s="95"/>
      <c r="M790" s="95"/>
      <c r="N790" s="95"/>
      <c r="O790" s="95"/>
      <c r="P790" s="95"/>
      <c r="Q790" s="95"/>
      <c r="R790" s="95"/>
      <c r="S790" s="95"/>
      <c r="T790" s="95"/>
      <c r="U790" s="95"/>
      <c r="V790" s="95"/>
      <c r="W790" s="95"/>
      <c r="X790" s="95"/>
      <c r="Y790" s="95"/>
      <c r="Z790" s="95"/>
      <c r="AA790" s="95"/>
    </row>
    <row r="791">
      <c r="A791" s="95" t="s">
        <v>5116</v>
      </c>
      <c r="B791" s="95"/>
      <c r="C791" s="95"/>
      <c r="D791" s="95"/>
      <c r="E791" s="95"/>
      <c r="F791" s="95"/>
      <c r="G791" s="95"/>
      <c r="H791" s="95"/>
      <c r="I791" s="95"/>
      <c r="J791" s="95"/>
      <c r="K791" s="95"/>
      <c r="L791" s="95"/>
      <c r="M791" s="95"/>
      <c r="N791" s="95"/>
      <c r="O791" s="95"/>
      <c r="P791" s="95"/>
      <c r="Q791" s="95"/>
      <c r="R791" s="95"/>
      <c r="S791" s="95"/>
      <c r="T791" s="95"/>
      <c r="U791" s="95"/>
      <c r="V791" s="95"/>
      <c r="W791" s="95"/>
      <c r="X791" s="95"/>
      <c r="Y791" s="95"/>
      <c r="Z791" s="95"/>
      <c r="AA791" s="95"/>
    </row>
    <row r="792">
      <c r="A792" s="95" t="s">
        <v>5116</v>
      </c>
      <c r="B792" s="95"/>
      <c r="C792" s="95"/>
      <c r="D792" s="95"/>
      <c r="E792" s="95"/>
      <c r="F792" s="95"/>
      <c r="G792" s="95"/>
      <c r="H792" s="95"/>
      <c r="I792" s="95"/>
      <c r="J792" s="95"/>
      <c r="K792" s="95"/>
      <c r="L792" s="95"/>
      <c r="M792" s="95"/>
      <c r="N792" s="95"/>
      <c r="O792" s="95"/>
      <c r="P792" s="95"/>
      <c r="Q792" s="95"/>
      <c r="R792" s="95"/>
      <c r="S792" s="95"/>
      <c r="T792" s="95"/>
      <c r="U792" s="95"/>
      <c r="V792" s="95"/>
      <c r="W792" s="95"/>
      <c r="X792" s="95"/>
      <c r="Y792" s="95"/>
      <c r="Z792" s="95"/>
      <c r="AA792" s="95"/>
    </row>
    <row r="793">
      <c r="A793" s="95" t="s">
        <v>5116</v>
      </c>
      <c r="B793" s="95"/>
      <c r="C793" s="95"/>
      <c r="D793" s="95"/>
      <c r="E793" s="95"/>
      <c r="F793" s="95"/>
      <c r="G793" s="95"/>
      <c r="H793" s="95"/>
      <c r="I793" s="95"/>
      <c r="J793" s="95"/>
      <c r="K793" s="95"/>
      <c r="L793" s="95"/>
      <c r="M793" s="95"/>
      <c r="N793" s="95"/>
      <c r="O793" s="95"/>
      <c r="P793" s="95"/>
      <c r="Q793" s="95"/>
      <c r="R793" s="95"/>
      <c r="S793" s="95"/>
      <c r="T793" s="95"/>
      <c r="U793" s="95"/>
      <c r="V793" s="95"/>
      <c r="W793" s="95"/>
      <c r="X793" s="95"/>
      <c r="Y793" s="95"/>
      <c r="Z793" s="95"/>
      <c r="AA793" s="95"/>
    </row>
    <row r="794">
      <c r="A794" s="95" t="s">
        <v>5116</v>
      </c>
      <c r="B794" s="95"/>
      <c r="C794" s="95"/>
      <c r="D794" s="95"/>
      <c r="E794" s="95"/>
      <c r="F794" s="95"/>
      <c r="G794" s="95"/>
      <c r="H794" s="95"/>
      <c r="I794" s="95"/>
      <c r="J794" s="95"/>
      <c r="K794" s="95"/>
      <c r="L794" s="95"/>
      <c r="M794" s="95"/>
      <c r="N794" s="95"/>
      <c r="O794" s="95"/>
      <c r="P794" s="95"/>
      <c r="Q794" s="95"/>
      <c r="R794" s="95"/>
      <c r="S794" s="95"/>
      <c r="T794" s="95"/>
      <c r="U794" s="95"/>
      <c r="V794" s="95"/>
      <c r="W794" s="95"/>
      <c r="X794" s="95"/>
      <c r="Y794" s="95"/>
      <c r="Z794" s="95"/>
      <c r="AA794" s="95"/>
    </row>
    <row r="795">
      <c r="A795" s="95" t="s">
        <v>5116</v>
      </c>
      <c r="B795" s="95"/>
      <c r="C795" s="95"/>
      <c r="D795" s="95"/>
      <c r="E795" s="95"/>
      <c r="F795" s="95"/>
      <c r="G795" s="95"/>
      <c r="H795" s="95"/>
      <c r="I795" s="95"/>
      <c r="J795" s="95"/>
      <c r="K795" s="95"/>
      <c r="L795" s="95"/>
      <c r="M795" s="95"/>
      <c r="N795" s="95"/>
      <c r="O795" s="95"/>
      <c r="P795" s="95"/>
      <c r="Q795" s="95"/>
      <c r="R795" s="95"/>
      <c r="S795" s="95"/>
      <c r="T795" s="95"/>
      <c r="U795" s="95"/>
      <c r="V795" s="95"/>
      <c r="W795" s="95"/>
      <c r="X795" s="95"/>
      <c r="Y795" s="95"/>
      <c r="Z795" s="95"/>
      <c r="AA795" s="95"/>
    </row>
    <row r="796">
      <c r="A796" s="95" t="s">
        <v>5116</v>
      </c>
      <c r="B796" s="95"/>
      <c r="C796" s="95"/>
      <c r="D796" s="95"/>
      <c r="E796" s="95"/>
      <c r="F796" s="95"/>
      <c r="G796" s="95"/>
      <c r="H796" s="95"/>
      <c r="I796" s="95"/>
      <c r="J796" s="95"/>
      <c r="K796" s="95"/>
      <c r="L796" s="95"/>
      <c r="M796" s="95"/>
      <c r="N796" s="95"/>
      <c r="O796" s="95"/>
      <c r="P796" s="95"/>
      <c r="Q796" s="95"/>
      <c r="R796" s="95"/>
      <c r="S796" s="95"/>
      <c r="T796" s="95"/>
      <c r="U796" s="95"/>
      <c r="V796" s="95"/>
      <c r="W796" s="95"/>
      <c r="X796" s="95"/>
      <c r="Y796" s="95"/>
      <c r="Z796" s="95"/>
      <c r="AA796" s="95"/>
    </row>
    <row r="797">
      <c r="A797" s="95" t="s">
        <v>5116</v>
      </c>
      <c r="B797" s="95"/>
      <c r="C797" s="95"/>
      <c r="D797" s="95"/>
      <c r="E797" s="95"/>
      <c r="F797" s="95"/>
      <c r="G797" s="95"/>
      <c r="H797" s="95"/>
      <c r="I797" s="95"/>
      <c r="J797" s="95"/>
      <c r="K797" s="95"/>
      <c r="L797" s="95"/>
      <c r="M797" s="95"/>
      <c r="N797" s="95"/>
      <c r="O797" s="95"/>
      <c r="P797" s="95"/>
      <c r="Q797" s="95"/>
      <c r="R797" s="95"/>
      <c r="S797" s="95"/>
      <c r="T797" s="95"/>
      <c r="U797" s="95"/>
      <c r="V797" s="95"/>
      <c r="W797" s="95"/>
      <c r="X797" s="95"/>
      <c r="Y797" s="95"/>
      <c r="Z797" s="95"/>
      <c r="AA797" s="95"/>
    </row>
    <row r="798">
      <c r="A798" s="95" t="s">
        <v>5116</v>
      </c>
      <c r="B798" s="95"/>
      <c r="C798" s="95"/>
      <c r="D798" s="95"/>
      <c r="E798" s="95"/>
      <c r="F798" s="95"/>
      <c r="G798" s="95"/>
      <c r="H798" s="95"/>
      <c r="I798" s="95"/>
      <c r="J798" s="95"/>
      <c r="K798" s="95"/>
      <c r="L798" s="95"/>
      <c r="M798" s="95"/>
      <c r="N798" s="95"/>
      <c r="O798" s="95"/>
      <c r="P798" s="95"/>
      <c r="Q798" s="95"/>
      <c r="R798" s="95"/>
      <c r="S798" s="95"/>
      <c r="T798" s="95"/>
      <c r="U798" s="95"/>
      <c r="V798" s="95"/>
      <c r="W798" s="95"/>
      <c r="X798" s="95"/>
      <c r="Y798" s="95"/>
      <c r="Z798" s="95"/>
      <c r="AA798" s="95"/>
    </row>
    <row r="799">
      <c r="A799" s="95" t="s">
        <v>5116</v>
      </c>
      <c r="B799" s="95"/>
      <c r="C799" s="95"/>
      <c r="D799" s="95"/>
      <c r="E799" s="95"/>
      <c r="F799" s="95"/>
      <c r="G799" s="95"/>
      <c r="H799" s="95"/>
      <c r="I799" s="95"/>
      <c r="J799" s="95"/>
      <c r="K799" s="95"/>
      <c r="L799" s="95"/>
      <c r="M799" s="95"/>
      <c r="N799" s="95"/>
      <c r="O799" s="95"/>
      <c r="P799" s="95"/>
      <c r="Q799" s="95"/>
      <c r="R799" s="95"/>
      <c r="S799" s="95"/>
      <c r="T799" s="95"/>
      <c r="U799" s="95"/>
      <c r="V799" s="95"/>
      <c r="W799" s="95"/>
      <c r="X799" s="95"/>
      <c r="Y799" s="95"/>
      <c r="Z799" s="95"/>
      <c r="AA799" s="95"/>
    </row>
    <row r="800">
      <c r="A800" s="95" t="s">
        <v>5116</v>
      </c>
      <c r="B800" s="95"/>
      <c r="C800" s="95"/>
      <c r="D800" s="95"/>
      <c r="E800" s="95"/>
      <c r="F800" s="95"/>
      <c r="G800" s="95"/>
      <c r="H800" s="95"/>
      <c r="I800" s="95"/>
      <c r="J800" s="95"/>
      <c r="K800" s="95"/>
      <c r="L800" s="95"/>
      <c r="M800" s="95"/>
      <c r="N800" s="95"/>
      <c r="O800" s="95"/>
      <c r="P800" s="95"/>
      <c r="Q800" s="95"/>
      <c r="R800" s="95"/>
      <c r="S800" s="95"/>
      <c r="T800" s="95"/>
      <c r="U800" s="95"/>
      <c r="V800" s="95"/>
      <c r="W800" s="95"/>
      <c r="X800" s="95"/>
      <c r="Y800" s="95"/>
      <c r="Z800" s="95"/>
      <c r="AA800" s="95"/>
    </row>
    <row r="801">
      <c r="A801" s="95" t="s">
        <v>5116</v>
      </c>
      <c r="B801" s="95"/>
      <c r="C801" s="95"/>
      <c r="D801" s="95"/>
      <c r="E801" s="95"/>
      <c r="F801" s="95"/>
      <c r="G801" s="95"/>
      <c r="H801" s="95"/>
      <c r="I801" s="95"/>
      <c r="J801" s="95"/>
      <c r="K801" s="95"/>
      <c r="L801" s="95"/>
      <c r="M801" s="95"/>
      <c r="N801" s="95"/>
      <c r="O801" s="95"/>
      <c r="P801" s="95"/>
      <c r="Q801" s="95"/>
      <c r="R801" s="95"/>
      <c r="S801" s="95"/>
      <c r="T801" s="95"/>
      <c r="U801" s="95"/>
      <c r="V801" s="95"/>
      <c r="W801" s="95"/>
      <c r="X801" s="95"/>
      <c r="Y801" s="95"/>
      <c r="Z801" s="95"/>
      <c r="AA801" s="95"/>
    </row>
    <row r="802">
      <c r="A802" s="95" t="s">
        <v>5116</v>
      </c>
      <c r="B802" s="95"/>
      <c r="C802" s="95"/>
      <c r="D802" s="95"/>
      <c r="E802" s="95"/>
      <c r="F802" s="95"/>
      <c r="G802" s="95"/>
      <c r="H802" s="95"/>
      <c r="I802" s="95"/>
      <c r="J802" s="95"/>
      <c r="K802" s="95"/>
      <c r="L802" s="95"/>
      <c r="M802" s="95"/>
      <c r="N802" s="95"/>
      <c r="O802" s="95"/>
      <c r="P802" s="95"/>
      <c r="Q802" s="95"/>
      <c r="R802" s="95"/>
      <c r="S802" s="95"/>
      <c r="T802" s="95"/>
      <c r="U802" s="95"/>
      <c r="V802" s="95"/>
      <c r="W802" s="95"/>
      <c r="X802" s="95"/>
      <c r="Y802" s="95"/>
      <c r="Z802" s="95"/>
      <c r="AA802" s="95"/>
    </row>
    <row r="803">
      <c r="A803" s="95" t="s">
        <v>5116</v>
      </c>
      <c r="B803" s="95"/>
      <c r="C803" s="95"/>
      <c r="D803" s="95"/>
      <c r="E803" s="95"/>
      <c r="F803" s="95"/>
      <c r="G803" s="95"/>
      <c r="H803" s="95"/>
      <c r="I803" s="95"/>
      <c r="J803" s="95"/>
      <c r="K803" s="95"/>
      <c r="L803" s="95"/>
      <c r="M803" s="95"/>
      <c r="N803" s="95"/>
      <c r="O803" s="95"/>
      <c r="P803" s="95"/>
      <c r="Q803" s="95"/>
      <c r="R803" s="95"/>
      <c r="S803" s="95"/>
      <c r="T803" s="95"/>
      <c r="U803" s="95"/>
      <c r="V803" s="95"/>
      <c r="W803" s="95"/>
      <c r="X803" s="95"/>
      <c r="Y803" s="95"/>
      <c r="Z803" s="95"/>
      <c r="AA803" s="95"/>
    </row>
    <row r="804">
      <c r="A804" s="95" t="s">
        <v>5116</v>
      </c>
      <c r="B804" s="95"/>
      <c r="C804" s="95"/>
      <c r="D804" s="95"/>
      <c r="E804" s="95"/>
      <c r="F804" s="95"/>
      <c r="G804" s="95"/>
      <c r="H804" s="95"/>
      <c r="I804" s="95"/>
      <c r="J804" s="95"/>
      <c r="K804" s="95"/>
      <c r="L804" s="95"/>
      <c r="M804" s="95"/>
      <c r="N804" s="95"/>
      <c r="O804" s="95"/>
      <c r="P804" s="95"/>
      <c r="Q804" s="95"/>
      <c r="R804" s="95"/>
      <c r="S804" s="95"/>
      <c r="T804" s="95"/>
      <c r="U804" s="95"/>
      <c r="V804" s="95"/>
      <c r="W804" s="95"/>
      <c r="X804" s="95"/>
      <c r="Y804" s="95"/>
      <c r="Z804" s="95"/>
      <c r="AA804" s="95"/>
    </row>
    <row r="805">
      <c r="A805" s="95" t="s">
        <v>5116</v>
      </c>
      <c r="B805" s="95"/>
      <c r="C805" s="95"/>
      <c r="D805" s="95"/>
      <c r="E805" s="95"/>
      <c r="F805" s="95"/>
      <c r="G805" s="95"/>
      <c r="H805" s="95"/>
      <c r="I805" s="95"/>
      <c r="J805" s="95"/>
      <c r="K805" s="95"/>
      <c r="L805" s="95"/>
      <c r="M805" s="95"/>
      <c r="N805" s="95"/>
      <c r="O805" s="95"/>
      <c r="P805" s="95"/>
      <c r="Q805" s="95"/>
      <c r="R805" s="95"/>
      <c r="S805" s="95"/>
      <c r="T805" s="95"/>
      <c r="U805" s="95"/>
      <c r="V805" s="95"/>
      <c r="W805" s="95"/>
      <c r="X805" s="95"/>
      <c r="Y805" s="95"/>
      <c r="Z805" s="95"/>
      <c r="AA805" s="95"/>
    </row>
    <row r="806">
      <c r="A806" s="95" t="s">
        <v>5116</v>
      </c>
      <c r="B806" s="95"/>
      <c r="C806" s="95"/>
      <c r="D806" s="95"/>
      <c r="E806" s="95"/>
      <c r="F806" s="95"/>
      <c r="G806" s="95"/>
      <c r="H806" s="95"/>
      <c r="I806" s="95"/>
      <c r="J806" s="95"/>
      <c r="K806" s="95"/>
      <c r="L806" s="95"/>
      <c r="M806" s="95"/>
      <c r="N806" s="95"/>
      <c r="O806" s="95"/>
      <c r="P806" s="95"/>
      <c r="Q806" s="95"/>
      <c r="R806" s="95"/>
      <c r="S806" s="95"/>
      <c r="T806" s="95"/>
      <c r="U806" s="95"/>
      <c r="V806" s="95"/>
      <c r="W806" s="95"/>
      <c r="X806" s="95"/>
      <c r="Y806" s="95"/>
      <c r="Z806" s="95"/>
      <c r="AA806" s="95"/>
    </row>
    <row r="807">
      <c r="A807" s="95" t="s">
        <v>5116</v>
      </c>
      <c r="B807" s="95"/>
      <c r="C807" s="95"/>
      <c r="D807" s="95"/>
      <c r="E807" s="95"/>
      <c r="F807" s="95"/>
      <c r="G807" s="95"/>
      <c r="H807" s="95"/>
      <c r="I807" s="95"/>
      <c r="J807" s="95"/>
      <c r="K807" s="95"/>
      <c r="L807" s="95"/>
      <c r="M807" s="95"/>
      <c r="N807" s="95"/>
      <c r="O807" s="95"/>
      <c r="P807" s="95"/>
      <c r="Q807" s="95"/>
      <c r="R807" s="95"/>
      <c r="S807" s="95"/>
      <c r="T807" s="95"/>
      <c r="U807" s="95"/>
      <c r="V807" s="95"/>
      <c r="W807" s="95"/>
      <c r="X807" s="95"/>
      <c r="Y807" s="95"/>
      <c r="Z807" s="95"/>
      <c r="AA807" s="95"/>
    </row>
    <row r="808">
      <c r="A808" s="95" t="s">
        <v>5116</v>
      </c>
      <c r="B808" s="95"/>
      <c r="C808" s="95"/>
      <c r="D808" s="95"/>
      <c r="E808" s="95"/>
      <c r="F808" s="95"/>
      <c r="G808" s="95"/>
      <c r="H808" s="95"/>
      <c r="I808" s="95"/>
      <c r="J808" s="95"/>
      <c r="K808" s="95"/>
      <c r="L808" s="95"/>
      <c r="M808" s="95"/>
      <c r="N808" s="95"/>
      <c r="O808" s="95"/>
      <c r="P808" s="95"/>
      <c r="Q808" s="95"/>
      <c r="R808" s="95"/>
      <c r="S808" s="95"/>
      <c r="T808" s="95"/>
      <c r="U808" s="95"/>
      <c r="V808" s="95"/>
      <c r="W808" s="95"/>
      <c r="X808" s="95"/>
      <c r="Y808" s="95"/>
      <c r="Z808" s="95"/>
      <c r="AA808" s="95"/>
    </row>
    <row r="809">
      <c r="A809" s="95" t="s">
        <v>5116</v>
      </c>
      <c r="B809" s="95"/>
      <c r="C809" s="95"/>
      <c r="D809" s="95"/>
      <c r="E809" s="95"/>
      <c r="F809" s="95"/>
      <c r="G809" s="95"/>
      <c r="H809" s="95"/>
      <c r="I809" s="95"/>
      <c r="J809" s="95"/>
      <c r="K809" s="95"/>
      <c r="L809" s="95"/>
      <c r="M809" s="95"/>
      <c r="N809" s="95"/>
      <c r="O809" s="95"/>
      <c r="P809" s="95"/>
      <c r="Q809" s="95"/>
      <c r="R809" s="95"/>
      <c r="S809" s="95"/>
      <c r="T809" s="95"/>
      <c r="U809" s="95"/>
      <c r="V809" s="95"/>
      <c r="W809" s="95"/>
      <c r="X809" s="95"/>
      <c r="Y809" s="95"/>
      <c r="Z809" s="95"/>
      <c r="AA809" s="95"/>
    </row>
    <row r="810">
      <c r="A810" s="95" t="s">
        <v>5116</v>
      </c>
      <c r="B810" s="95"/>
      <c r="C810" s="95"/>
      <c r="D810" s="95"/>
      <c r="E810" s="95"/>
      <c r="F810" s="95"/>
      <c r="G810" s="95"/>
      <c r="H810" s="95"/>
      <c r="I810" s="95"/>
      <c r="J810" s="95"/>
      <c r="K810" s="95"/>
      <c r="L810" s="95"/>
      <c r="M810" s="95"/>
      <c r="N810" s="95"/>
      <c r="O810" s="95"/>
      <c r="P810" s="95"/>
      <c r="Q810" s="95"/>
      <c r="R810" s="95"/>
      <c r="S810" s="95"/>
      <c r="T810" s="95"/>
      <c r="U810" s="95"/>
      <c r="V810" s="95"/>
      <c r="W810" s="95"/>
      <c r="X810" s="95"/>
      <c r="Y810" s="95"/>
      <c r="Z810" s="95"/>
      <c r="AA810" s="95"/>
    </row>
    <row r="811">
      <c r="A811" s="95" t="s">
        <v>5116</v>
      </c>
      <c r="B811" s="95"/>
      <c r="C811" s="95"/>
      <c r="D811" s="95"/>
      <c r="E811" s="95"/>
      <c r="F811" s="95"/>
      <c r="G811" s="95"/>
      <c r="H811" s="95"/>
      <c r="I811" s="95"/>
      <c r="J811" s="95"/>
      <c r="K811" s="95"/>
      <c r="L811" s="95"/>
      <c r="M811" s="95"/>
      <c r="N811" s="95"/>
      <c r="O811" s="95"/>
      <c r="P811" s="95"/>
      <c r="Q811" s="95"/>
      <c r="R811" s="95"/>
      <c r="S811" s="95"/>
      <c r="T811" s="95"/>
      <c r="U811" s="95"/>
      <c r="V811" s="95"/>
      <c r="W811" s="95"/>
      <c r="X811" s="95"/>
      <c r="Y811" s="95"/>
      <c r="Z811" s="95"/>
      <c r="AA811" s="95"/>
    </row>
    <row r="812">
      <c r="A812" s="95" t="s">
        <v>5116</v>
      </c>
      <c r="B812" s="95"/>
      <c r="C812" s="95"/>
      <c r="D812" s="95"/>
      <c r="E812" s="95"/>
      <c r="F812" s="95"/>
      <c r="G812" s="95"/>
      <c r="H812" s="95"/>
      <c r="I812" s="95"/>
      <c r="J812" s="95"/>
      <c r="K812" s="95"/>
      <c r="L812" s="95"/>
      <c r="M812" s="95"/>
      <c r="N812" s="95"/>
      <c r="O812" s="95"/>
      <c r="P812" s="95"/>
      <c r="Q812" s="95"/>
      <c r="R812" s="95"/>
      <c r="S812" s="95"/>
      <c r="T812" s="95"/>
      <c r="U812" s="95"/>
      <c r="V812" s="95"/>
      <c r="W812" s="95"/>
      <c r="X812" s="95"/>
      <c r="Y812" s="95"/>
      <c r="Z812" s="95"/>
      <c r="AA812" s="95"/>
    </row>
    <row r="813">
      <c r="A813" s="95" t="s">
        <v>5116</v>
      </c>
      <c r="B813" s="95"/>
      <c r="C813" s="95"/>
      <c r="D813" s="95"/>
      <c r="E813" s="95"/>
      <c r="F813" s="95"/>
      <c r="G813" s="95"/>
      <c r="H813" s="95"/>
      <c r="I813" s="95"/>
      <c r="J813" s="95"/>
      <c r="K813" s="95"/>
      <c r="L813" s="95"/>
      <c r="M813" s="95"/>
      <c r="N813" s="95"/>
      <c r="O813" s="95"/>
      <c r="P813" s="95"/>
      <c r="Q813" s="95"/>
      <c r="R813" s="95"/>
      <c r="S813" s="95"/>
      <c r="T813" s="95"/>
      <c r="U813" s="95"/>
      <c r="V813" s="95"/>
      <c r="W813" s="95"/>
      <c r="X813" s="95"/>
      <c r="Y813" s="95"/>
      <c r="Z813" s="95"/>
      <c r="AA813" s="95"/>
    </row>
    <row r="814">
      <c r="A814" s="95" t="s">
        <v>5116</v>
      </c>
      <c r="B814" s="95"/>
      <c r="C814" s="95"/>
      <c r="D814" s="95"/>
      <c r="E814" s="95"/>
      <c r="F814" s="95"/>
      <c r="G814" s="95"/>
      <c r="H814" s="95"/>
      <c r="I814" s="95"/>
      <c r="J814" s="95"/>
      <c r="K814" s="95"/>
      <c r="L814" s="95"/>
      <c r="M814" s="95"/>
      <c r="N814" s="95"/>
      <c r="O814" s="95"/>
      <c r="P814" s="95"/>
      <c r="Q814" s="95"/>
      <c r="R814" s="95"/>
      <c r="S814" s="95"/>
      <c r="T814" s="95"/>
      <c r="U814" s="95"/>
      <c r="V814" s="95"/>
      <c r="W814" s="95"/>
      <c r="X814" s="95"/>
      <c r="Y814" s="95"/>
      <c r="Z814" s="95"/>
      <c r="AA814" s="95"/>
    </row>
    <row r="815">
      <c r="A815" s="95" t="s">
        <v>5116</v>
      </c>
      <c r="B815" s="95"/>
      <c r="C815" s="95"/>
      <c r="D815" s="95"/>
      <c r="E815" s="95"/>
      <c r="F815" s="95"/>
      <c r="G815" s="95"/>
      <c r="H815" s="95"/>
      <c r="I815" s="95"/>
      <c r="J815" s="95"/>
      <c r="K815" s="95"/>
      <c r="L815" s="95"/>
      <c r="M815" s="95"/>
      <c r="N815" s="95"/>
      <c r="O815" s="95"/>
      <c r="P815" s="95"/>
      <c r="Q815" s="95"/>
      <c r="R815" s="95"/>
      <c r="S815" s="95"/>
      <c r="T815" s="95"/>
      <c r="U815" s="95"/>
      <c r="V815" s="95"/>
      <c r="W815" s="95"/>
      <c r="X815" s="95"/>
      <c r="Y815" s="95"/>
      <c r="Z815" s="95"/>
      <c r="AA815" s="95"/>
    </row>
    <row r="816">
      <c r="A816" s="95" t="s">
        <v>5116</v>
      </c>
      <c r="B816" s="95"/>
      <c r="C816" s="95"/>
      <c r="D816" s="95"/>
      <c r="E816" s="95"/>
      <c r="F816" s="95"/>
      <c r="G816" s="95"/>
      <c r="H816" s="95"/>
      <c r="I816" s="95"/>
      <c r="J816" s="95"/>
      <c r="K816" s="95"/>
      <c r="L816" s="95"/>
      <c r="M816" s="95"/>
      <c r="N816" s="95"/>
      <c r="O816" s="95"/>
      <c r="P816" s="95"/>
      <c r="Q816" s="95"/>
      <c r="R816" s="95"/>
      <c r="S816" s="95"/>
      <c r="T816" s="95"/>
      <c r="U816" s="95"/>
      <c r="V816" s="95"/>
      <c r="W816" s="95"/>
      <c r="X816" s="95"/>
      <c r="Y816" s="95"/>
      <c r="Z816" s="95"/>
      <c r="AA816" s="95"/>
    </row>
    <row r="817">
      <c r="A817" s="95" t="s">
        <v>5116</v>
      </c>
      <c r="B817" s="95"/>
      <c r="C817" s="95"/>
      <c r="D817" s="95"/>
      <c r="E817" s="95"/>
      <c r="F817" s="95"/>
      <c r="G817" s="95"/>
      <c r="H817" s="95"/>
      <c r="I817" s="95"/>
      <c r="J817" s="95"/>
      <c r="K817" s="95"/>
      <c r="L817" s="95"/>
      <c r="M817" s="95"/>
      <c r="N817" s="95"/>
      <c r="O817" s="95"/>
      <c r="P817" s="95"/>
      <c r="Q817" s="95"/>
      <c r="R817" s="95"/>
      <c r="S817" s="95"/>
      <c r="T817" s="95"/>
      <c r="U817" s="95"/>
      <c r="V817" s="95"/>
      <c r="W817" s="95"/>
      <c r="X817" s="95"/>
      <c r="Y817" s="95"/>
      <c r="Z817" s="95"/>
      <c r="AA817" s="95"/>
    </row>
    <row r="818">
      <c r="A818" s="95" t="s">
        <v>5116</v>
      </c>
      <c r="B818" s="95"/>
      <c r="C818" s="95"/>
      <c r="D818" s="95"/>
      <c r="E818" s="95"/>
      <c r="F818" s="95"/>
      <c r="G818" s="95"/>
      <c r="H818" s="95"/>
      <c r="I818" s="95"/>
      <c r="J818" s="95"/>
      <c r="K818" s="95"/>
      <c r="L818" s="95"/>
      <c r="M818" s="95"/>
      <c r="N818" s="95"/>
      <c r="O818" s="95"/>
      <c r="P818" s="95"/>
      <c r="Q818" s="95"/>
      <c r="R818" s="95"/>
      <c r="S818" s="95"/>
      <c r="T818" s="95"/>
      <c r="U818" s="95"/>
      <c r="V818" s="95"/>
      <c r="W818" s="95"/>
      <c r="X818" s="95"/>
      <c r="Y818" s="95"/>
      <c r="Z818" s="95"/>
      <c r="AA818" s="95"/>
    </row>
    <row r="819">
      <c r="A819" s="95" t="s">
        <v>5116</v>
      </c>
      <c r="B819" s="95"/>
      <c r="C819" s="95"/>
      <c r="D819" s="95"/>
      <c r="E819" s="95"/>
      <c r="F819" s="95"/>
      <c r="G819" s="95"/>
      <c r="H819" s="95"/>
      <c r="I819" s="95"/>
      <c r="J819" s="95"/>
      <c r="K819" s="95"/>
      <c r="L819" s="95"/>
      <c r="M819" s="95"/>
      <c r="N819" s="95"/>
      <c r="O819" s="95"/>
      <c r="P819" s="95"/>
      <c r="Q819" s="95"/>
      <c r="R819" s="95"/>
      <c r="S819" s="95"/>
      <c r="T819" s="95"/>
      <c r="U819" s="95"/>
      <c r="V819" s="95"/>
      <c r="W819" s="95"/>
      <c r="X819" s="95"/>
      <c r="Y819" s="95"/>
      <c r="Z819" s="95"/>
      <c r="AA819" s="95"/>
    </row>
    <row r="820">
      <c r="A820" s="95" t="s">
        <v>5116</v>
      </c>
      <c r="B820" s="95"/>
      <c r="C820" s="95"/>
      <c r="D820" s="95"/>
      <c r="E820" s="95"/>
      <c r="F820" s="95"/>
      <c r="G820" s="95"/>
      <c r="H820" s="95"/>
      <c r="I820" s="95"/>
      <c r="J820" s="95"/>
      <c r="K820" s="95"/>
      <c r="L820" s="95"/>
      <c r="M820" s="95"/>
      <c r="N820" s="95"/>
      <c r="O820" s="95"/>
      <c r="P820" s="95"/>
      <c r="Q820" s="95"/>
      <c r="R820" s="95"/>
      <c r="S820" s="95"/>
      <c r="T820" s="95"/>
      <c r="U820" s="95"/>
      <c r="V820" s="95"/>
      <c r="W820" s="95"/>
      <c r="X820" s="95"/>
      <c r="Y820" s="95"/>
      <c r="Z820" s="95"/>
      <c r="AA820" s="95"/>
    </row>
    <row r="821">
      <c r="A821" s="95" t="s">
        <v>5116</v>
      </c>
      <c r="B821" s="95"/>
      <c r="C821" s="95"/>
      <c r="D821" s="95"/>
      <c r="E821" s="95"/>
      <c r="F821" s="95"/>
      <c r="G821" s="95"/>
      <c r="H821" s="95"/>
      <c r="I821" s="95"/>
      <c r="J821" s="95"/>
      <c r="K821" s="95"/>
      <c r="L821" s="95"/>
      <c r="M821" s="95"/>
      <c r="N821" s="95"/>
      <c r="O821" s="95"/>
      <c r="P821" s="95"/>
      <c r="Q821" s="95"/>
      <c r="R821" s="95"/>
      <c r="S821" s="95"/>
      <c r="T821" s="95"/>
      <c r="U821" s="95"/>
      <c r="V821" s="95"/>
      <c r="W821" s="95"/>
      <c r="X821" s="95"/>
      <c r="Y821" s="95"/>
      <c r="Z821" s="95"/>
      <c r="AA821" s="95"/>
    </row>
    <row r="822">
      <c r="A822" s="95" t="s">
        <v>5116</v>
      </c>
      <c r="B822" s="95"/>
      <c r="C822" s="95"/>
      <c r="D822" s="95"/>
      <c r="E822" s="95"/>
      <c r="F822" s="95"/>
      <c r="G822" s="95"/>
      <c r="H822" s="95"/>
      <c r="I822" s="95"/>
      <c r="J822" s="95"/>
      <c r="K822" s="95"/>
      <c r="L822" s="95"/>
      <c r="M822" s="95"/>
      <c r="N822" s="95"/>
      <c r="O822" s="95"/>
      <c r="P822" s="95"/>
      <c r="Q822" s="95"/>
      <c r="R822" s="95"/>
      <c r="S822" s="95"/>
      <c r="T822" s="95"/>
      <c r="U822" s="95"/>
      <c r="V822" s="95"/>
      <c r="W822" s="95"/>
      <c r="X822" s="95"/>
      <c r="Y822" s="95"/>
      <c r="Z822" s="95"/>
      <c r="AA822" s="95"/>
    </row>
    <row r="823">
      <c r="A823" s="95" t="s">
        <v>5116</v>
      </c>
      <c r="B823" s="95"/>
      <c r="C823" s="95"/>
      <c r="D823" s="95"/>
      <c r="E823" s="95"/>
      <c r="F823" s="95"/>
      <c r="G823" s="95"/>
      <c r="H823" s="95"/>
      <c r="I823" s="95"/>
      <c r="J823" s="95"/>
      <c r="K823" s="95"/>
      <c r="L823" s="95"/>
      <c r="M823" s="95"/>
      <c r="N823" s="95"/>
      <c r="O823" s="95"/>
      <c r="P823" s="95"/>
      <c r="Q823" s="95"/>
      <c r="R823" s="95"/>
      <c r="S823" s="95"/>
      <c r="T823" s="95"/>
      <c r="U823" s="95"/>
      <c r="V823" s="95"/>
      <c r="W823" s="95"/>
      <c r="X823" s="95"/>
      <c r="Y823" s="95"/>
      <c r="Z823" s="95"/>
      <c r="AA823" s="95"/>
    </row>
    <row r="824">
      <c r="A824" s="95" t="s">
        <v>5116</v>
      </c>
      <c r="B824" s="95"/>
      <c r="C824" s="95"/>
      <c r="D824" s="95"/>
      <c r="E824" s="95"/>
      <c r="F824" s="95"/>
      <c r="G824" s="95"/>
      <c r="H824" s="95"/>
      <c r="I824" s="95"/>
      <c r="J824" s="95"/>
      <c r="K824" s="95"/>
      <c r="L824" s="95"/>
      <c r="M824" s="95"/>
      <c r="N824" s="95"/>
      <c r="O824" s="95"/>
      <c r="P824" s="95"/>
      <c r="Q824" s="95"/>
      <c r="R824" s="95"/>
      <c r="S824" s="95"/>
      <c r="T824" s="95"/>
      <c r="U824" s="95"/>
      <c r="V824" s="95"/>
      <c r="W824" s="95"/>
      <c r="X824" s="95"/>
      <c r="Y824" s="95"/>
      <c r="Z824" s="95"/>
      <c r="AA824" s="95"/>
    </row>
    <row r="825">
      <c r="A825" s="95" t="s">
        <v>5116</v>
      </c>
      <c r="B825" s="95"/>
      <c r="C825" s="95"/>
      <c r="D825" s="95"/>
      <c r="E825" s="95"/>
      <c r="F825" s="95"/>
      <c r="G825" s="95"/>
      <c r="H825" s="95"/>
      <c r="I825" s="95"/>
      <c r="J825" s="95"/>
      <c r="K825" s="95"/>
      <c r="L825" s="95"/>
      <c r="M825" s="95"/>
      <c r="N825" s="95"/>
      <c r="O825" s="95"/>
      <c r="P825" s="95"/>
      <c r="Q825" s="95"/>
      <c r="R825" s="95"/>
      <c r="S825" s="95"/>
      <c r="T825" s="95"/>
      <c r="U825" s="95"/>
      <c r="V825" s="95"/>
      <c r="W825" s="95"/>
      <c r="X825" s="95"/>
      <c r="Y825" s="95"/>
      <c r="Z825" s="95"/>
      <c r="AA825" s="95"/>
    </row>
    <row r="826">
      <c r="A826" s="95" t="s">
        <v>5116</v>
      </c>
      <c r="B826" s="95"/>
      <c r="C826" s="95"/>
      <c r="D826" s="95"/>
      <c r="E826" s="95"/>
      <c r="F826" s="95"/>
      <c r="G826" s="95"/>
      <c r="H826" s="95"/>
      <c r="I826" s="95"/>
      <c r="J826" s="95"/>
      <c r="K826" s="95"/>
      <c r="L826" s="95"/>
      <c r="M826" s="95"/>
      <c r="N826" s="95"/>
      <c r="O826" s="95"/>
      <c r="P826" s="95"/>
      <c r="Q826" s="95"/>
      <c r="R826" s="95"/>
      <c r="S826" s="95"/>
      <c r="T826" s="95"/>
      <c r="U826" s="95"/>
      <c r="V826" s="95"/>
      <c r="W826" s="95"/>
      <c r="X826" s="95"/>
      <c r="Y826" s="95"/>
      <c r="Z826" s="95"/>
      <c r="AA826" s="95"/>
    </row>
    <row r="827">
      <c r="A827" s="95" t="s">
        <v>5116</v>
      </c>
      <c r="B827" s="95"/>
      <c r="C827" s="95"/>
      <c r="D827" s="95"/>
      <c r="E827" s="95"/>
      <c r="F827" s="95"/>
      <c r="G827" s="95"/>
      <c r="H827" s="95"/>
      <c r="I827" s="95"/>
      <c r="J827" s="95"/>
      <c r="K827" s="95"/>
      <c r="L827" s="95"/>
      <c r="M827" s="95"/>
      <c r="N827" s="95"/>
      <c r="O827" s="95"/>
      <c r="P827" s="95"/>
      <c r="Q827" s="95"/>
      <c r="R827" s="95"/>
      <c r="S827" s="95"/>
      <c r="T827" s="95"/>
      <c r="U827" s="95"/>
      <c r="V827" s="95"/>
      <c r="W827" s="95"/>
      <c r="X827" s="95"/>
      <c r="Y827" s="95"/>
      <c r="Z827" s="95"/>
      <c r="AA827" s="95"/>
    </row>
    <row r="828">
      <c r="A828" s="95" t="s">
        <v>5116</v>
      </c>
      <c r="B828" s="95"/>
      <c r="C828" s="95"/>
      <c r="D828" s="95"/>
      <c r="E828" s="95"/>
      <c r="F828" s="95"/>
      <c r="G828" s="95"/>
      <c r="H828" s="95"/>
      <c r="I828" s="95"/>
      <c r="J828" s="95"/>
      <c r="K828" s="95"/>
      <c r="L828" s="95"/>
      <c r="M828" s="95"/>
      <c r="N828" s="95"/>
      <c r="O828" s="95"/>
      <c r="P828" s="95"/>
      <c r="Q828" s="95"/>
      <c r="R828" s="95"/>
      <c r="S828" s="95"/>
      <c r="T828" s="95"/>
      <c r="U828" s="95"/>
      <c r="V828" s="95"/>
      <c r="W828" s="95"/>
      <c r="X828" s="95"/>
      <c r="Y828" s="95"/>
      <c r="Z828" s="95"/>
      <c r="AA828" s="95"/>
    </row>
    <row r="829">
      <c r="A829" s="95" t="s">
        <v>5116</v>
      </c>
      <c r="B829" s="95"/>
      <c r="C829" s="95"/>
      <c r="D829" s="95"/>
      <c r="E829" s="95"/>
      <c r="F829" s="95"/>
      <c r="G829" s="95"/>
      <c r="H829" s="95"/>
      <c r="I829" s="95"/>
      <c r="J829" s="95"/>
      <c r="K829" s="95"/>
      <c r="L829" s="95"/>
      <c r="M829" s="95"/>
      <c r="N829" s="95"/>
      <c r="O829" s="95"/>
      <c r="P829" s="95"/>
      <c r="Q829" s="95"/>
      <c r="R829" s="95"/>
      <c r="S829" s="95"/>
      <c r="T829" s="95"/>
      <c r="U829" s="95"/>
      <c r="V829" s="95"/>
      <c r="W829" s="95"/>
      <c r="X829" s="95"/>
      <c r="Y829" s="95"/>
      <c r="Z829" s="95"/>
      <c r="AA829" s="95"/>
    </row>
    <row r="830">
      <c r="A830" s="95" t="s">
        <v>5116</v>
      </c>
      <c r="B830" s="95"/>
      <c r="C830" s="95"/>
      <c r="D830" s="95"/>
      <c r="E830" s="95"/>
      <c r="F830" s="95"/>
      <c r="G830" s="95"/>
      <c r="H830" s="95"/>
      <c r="I830" s="95"/>
      <c r="J830" s="95"/>
      <c r="K830" s="95"/>
      <c r="L830" s="95"/>
      <c r="M830" s="95"/>
      <c r="N830" s="95"/>
      <c r="O830" s="95"/>
      <c r="P830" s="95"/>
      <c r="Q830" s="95"/>
      <c r="R830" s="95"/>
      <c r="S830" s="95"/>
      <c r="T830" s="95"/>
      <c r="U830" s="95"/>
      <c r="V830" s="95"/>
      <c r="W830" s="95"/>
      <c r="X830" s="95"/>
      <c r="Y830" s="95"/>
      <c r="Z830" s="95"/>
      <c r="AA830" s="95"/>
    </row>
    <row r="831">
      <c r="A831" s="95" t="s">
        <v>5116</v>
      </c>
      <c r="B831" s="95"/>
      <c r="C831" s="95"/>
      <c r="D831" s="95"/>
      <c r="E831" s="95"/>
      <c r="F831" s="95"/>
      <c r="G831" s="95"/>
      <c r="H831" s="95"/>
      <c r="I831" s="95"/>
      <c r="J831" s="95"/>
      <c r="K831" s="95"/>
      <c r="L831" s="95"/>
      <c r="M831" s="95"/>
      <c r="N831" s="95"/>
      <c r="O831" s="95"/>
      <c r="P831" s="95"/>
      <c r="Q831" s="95"/>
      <c r="R831" s="95"/>
      <c r="S831" s="95"/>
      <c r="T831" s="95"/>
      <c r="U831" s="95"/>
      <c r="V831" s="95"/>
      <c r="W831" s="95"/>
      <c r="X831" s="95"/>
      <c r="Y831" s="95"/>
      <c r="Z831" s="95"/>
      <c r="AA831" s="95"/>
    </row>
    <row r="832">
      <c r="A832" s="95" t="s">
        <v>5116</v>
      </c>
      <c r="B832" s="95"/>
      <c r="C832" s="95"/>
      <c r="D832" s="95"/>
      <c r="E832" s="95"/>
      <c r="F832" s="95"/>
      <c r="G832" s="95"/>
      <c r="H832" s="95"/>
      <c r="I832" s="95"/>
      <c r="J832" s="95"/>
      <c r="K832" s="95"/>
      <c r="L832" s="95"/>
      <c r="M832" s="95"/>
      <c r="N832" s="95"/>
      <c r="O832" s="95"/>
      <c r="P832" s="95"/>
      <c r="Q832" s="95"/>
      <c r="R832" s="95"/>
      <c r="S832" s="95"/>
      <c r="T832" s="95"/>
      <c r="U832" s="95"/>
      <c r="V832" s="95"/>
      <c r="W832" s="95"/>
      <c r="X832" s="95"/>
      <c r="Y832" s="95"/>
      <c r="Z832" s="95"/>
      <c r="AA832" s="95"/>
    </row>
    <row r="833">
      <c r="A833" s="95" t="s">
        <v>5116</v>
      </c>
      <c r="B833" s="95"/>
      <c r="C833" s="95"/>
      <c r="D833" s="95"/>
      <c r="E833" s="95"/>
      <c r="F833" s="95"/>
      <c r="G833" s="95"/>
      <c r="H833" s="95"/>
      <c r="I833" s="95"/>
      <c r="J833" s="95"/>
      <c r="K833" s="95"/>
      <c r="L833" s="95"/>
      <c r="M833" s="95"/>
      <c r="N833" s="95"/>
      <c r="O833" s="95"/>
      <c r="P833" s="95"/>
      <c r="Q833" s="95"/>
      <c r="R833" s="95"/>
      <c r="S833" s="95"/>
      <c r="T833" s="95"/>
      <c r="U833" s="95"/>
      <c r="V833" s="95"/>
      <c r="W833" s="95"/>
      <c r="X833" s="95"/>
      <c r="Y833" s="95"/>
      <c r="Z833" s="95"/>
      <c r="AA833" s="95"/>
    </row>
    <row r="834">
      <c r="A834" s="95" t="s">
        <v>5116</v>
      </c>
      <c r="B834" s="95"/>
      <c r="C834" s="95"/>
      <c r="D834" s="95"/>
      <c r="E834" s="95"/>
      <c r="F834" s="95"/>
      <c r="G834" s="95"/>
      <c r="H834" s="95"/>
      <c r="I834" s="95"/>
      <c r="J834" s="95"/>
      <c r="K834" s="95"/>
      <c r="L834" s="95"/>
      <c r="M834" s="95"/>
      <c r="N834" s="95"/>
      <c r="O834" s="95"/>
      <c r="P834" s="95"/>
      <c r="Q834" s="95"/>
      <c r="R834" s="95"/>
      <c r="S834" s="95"/>
      <c r="T834" s="95"/>
      <c r="U834" s="95"/>
      <c r="V834" s="95"/>
      <c r="W834" s="95"/>
      <c r="X834" s="95"/>
      <c r="Y834" s="95"/>
      <c r="Z834" s="95"/>
      <c r="AA834" s="95"/>
    </row>
    <row r="835">
      <c r="A835" s="95" t="s">
        <v>5116</v>
      </c>
      <c r="B835" s="95"/>
      <c r="C835" s="95"/>
      <c r="D835" s="95"/>
      <c r="E835" s="95"/>
      <c r="F835" s="95"/>
      <c r="G835" s="95"/>
      <c r="H835" s="95"/>
      <c r="I835" s="95"/>
      <c r="J835" s="95"/>
      <c r="K835" s="95"/>
      <c r="L835" s="95"/>
      <c r="M835" s="95"/>
      <c r="N835" s="95"/>
      <c r="O835" s="95"/>
      <c r="P835" s="95"/>
      <c r="Q835" s="95"/>
      <c r="R835" s="95"/>
      <c r="S835" s="95"/>
      <c r="T835" s="95"/>
      <c r="U835" s="95"/>
      <c r="V835" s="95"/>
      <c r="W835" s="95"/>
      <c r="X835" s="95"/>
      <c r="Y835" s="95"/>
      <c r="Z835" s="95"/>
      <c r="AA835" s="95"/>
    </row>
    <row r="836">
      <c r="A836" s="95" t="s">
        <v>5116</v>
      </c>
      <c r="B836" s="95"/>
      <c r="C836" s="95"/>
      <c r="D836" s="95"/>
      <c r="E836" s="95"/>
      <c r="F836" s="95"/>
      <c r="G836" s="95"/>
      <c r="H836" s="95"/>
      <c r="I836" s="95"/>
      <c r="J836" s="95"/>
      <c r="K836" s="95"/>
      <c r="L836" s="95"/>
      <c r="M836" s="95"/>
      <c r="N836" s="95"/>
      <c r="O836" s="95"/>
      <c r="P836" s="95"/>
      <c r="Q836" s="95"/>
      <c r="R836" s="95"/>
      <c r="S836" s="95"/>
      <c r="T836" s="95"/>
      <c r="U836" s="95"/>
      <c r="V836" s="95"/>
      <c r="W836" s="95"/>
      <c r="X836" s="95"/>
      <c r="Y836" s="95"/>
      <c r="Z836" s="95"/>
      <c r="AA836" s="95"/>
    </row>
    <row r="837">
      <c r="A837" s="95" t="s">
        <v>5116</v>
      </c>
      <c r="B837" s="95"/>
      <c r="C837" s="95"/>
      <c r="D837" s="95"/>
      <c r="E837" s="95"/>
      <c r="F837" s="95"/>
      <c r="G837" s="95"/>
      <c r="H837" s="95"/>
      <c r="I837" s="95"/>
      <c r="J837" s="95"/>
      <c r="K837" s="95"/>
      <c r="L837" s="95"/>
      <c r="M837" s="95"/>
      <c r="N837" s="95"/>
      <c r="O837" s="95"/>
      <c r="P837" s="95"/>
      <c r="Q837" s="95"/>
      <c r="R837" s="95"/>
      <c r="S837" s="95"/>
      <c r="T837" s="95"/>
      <c r="U837" s="95"/>
      <c r="V837" s="95"/>
      <c r="W837" s="95"/>
      <c r="X837" s="95"/>
      <c r="Y837" s="95"/>
      <c r="Z837" s="95"/>
      <c r="AA837" s="95"/>
    </row>
    <row r="838">
      <c r="A838" s="95" t="s">
        <v>5116</v>
      </c>
      <c r="B838" s="95"/>
      <c r="C838" s="95"/>
      <c r="D838" s="95"/>
      <c r="E838" s="95"/>
      <c r="F838" s="95"/>
      <c r="G838" s="95"/>
      <c r="H838" s="95"/>
      <c r="I838" s="95"/>
      <c r="J838" s="95"/>
      <c r="K838" s="95"/>
      <c r="L838" s="95"/>
      <c r="M838" s="95"/>
      <c r="N838" s="95"/>
      <c r="O838" s="95"/>
      <c r="P838" s="95"/>
      <c r="Q838" s="95"/>
      <c r="R838" s="95"/>
      <c r="S838" s="95"/>
      <c r="T838" s="95"/>
      <c r="U838" s="95"/>
      <c r="V838" s="95"/>
      <c r="W838" s="95"/>
      <c r="X838" s="95"/>
      <c r="Y838" s="95"/>
      <c r="Z838" s="95"/>
      <c r="AA838" s="95"/>
    </row>
    <row r="839">
      <c r="A839" s="95" t="s">
        <v>5116</v>
      </c>
      <c r="B839" s="95"/>
      <c r="C839" s="95"/>
      <c r="D839" s="95"/>
      <c r="E839" s="95"/>
      <c r="F839" s="95"/>
      <c r="G839" s="95"/>
      <c r="H839" s="95"/>
      <c r="I839" s="95"/>
      <c r="J839" s="95"/>
      <c r="K839" s="95"/>
      <c r="L839" s="95"/>
      <c r="M839" s="95"/>
      <c r="N839" s="95"/>
      <c r="O839" s="95"/>
      <c r="P839" s="95"/>
      <c r="Q839" s="95"/>
      <c r="R839" s="95"/>
      <c r="S839" s="95"/>
      <c r="T839" s="95"/>
      <c r="U839" s="95"/>
      <c r="V839" s="95"/>
      <c r="W839" s="95"/>
      <c r="X839" s="95"/>
      <c r="Y839" s="95"/>
      <c r="Z839" s="95"/>
      <c r="AA839" s="95"/>
    </row>
    <row r="840">
      <c r="A840" s="95" t="s">
        <v>5116</v>
      </c>
      <c r="B840" s="95"/>
      <c r="C840" s="95"/>
      <c r="D840" s="95"/>
      <c r="E840" s="95"/>
      <c r="F840" s="95"/>
      <c r="G840" s="95"/>
      <c r="H840" s="95"/>
      <c r="I840" s="95"/>
      <c r="J840" s="95"/>
      <c r="K840" s="95"/>
      <c r="L840" s="95"/>
      <c r="M840" s="95"/>
      <c r="N840" s="95"/>
      <c r="O840" s="95"/>
      <c r="P840" s="95"/>
      <c r="Q840" s="95"/>
      <c r="R840" s="95"/>
      <c r="S840" s="95"/>
      <c r="T840" s="95"/>
      <c r="U840" s="95"/>
      <c r="V840" s="95"/>
      <c r="W840" s="95"/>
      <c r="X840" s="95"/>
      <c r="Y840" s="95"/>
      <c r="Z840" s="95"/>
      <c r="AA840" s="95"/>
    </row>
    <row r="841">
      <c r="A841" s="95" t="s">
        <v>5116</v>
      </c>
      <c r="B841" s="95"/>
      <c r="C841" s="95"/>
      <c r="D841" s="95"/>
      <c r="E841" s="95"/>
      <c r="F841" s="95"/>
      <c r="G841" s="95"/>
      <c r="H841" s="95"/>
      <c r="I841" s="95"/>
      <c r="J841" s="95"/>
      <c r="K841" s="95"/>
      <c r="L841" s="95"/>
      <c r="M841" s="95"/>
      <c r="N841" s="95"/>
      <c r="O841" s="95"/>
      <c r="P841" s="95"/>
      <c r="Q841" s="95"/>
      <c r="R841" s="95"/>
      <c r="S841" s="95"/>
      <c r="T841" s="95"/>
      <c r="U841" s="95"/>
      <c r="V841" s="95"/>
      <c r="W841" s="95"/>
      <c r="X841" s="95"/>
      <c r="Y841" s="95"/>
      <c r="Z841" s="95"/>
      <c r="AA841" s="95"/>
    </row>
    <row r="842">
      <c r="A842" s="95" t="s">
        <v>5116</v>
      </c>
      <c r="B842" s="95"/>
      <c r="C842" s="95"/>
      <c r="D842" s="95"/>
      <c r="E842" s="95"/>
      <c r="F842" s="95"/>
      <c r="G842" s="95"/>
      <c r="H842" s="95"/>
      <c r="I842" s="95"/>
      <c r="J842" s="95"/>
      <c r="K842" s="95"/>
      <c r="L842" s="95"/>
      <c r="M842" s="95"/>
      <c r="N842" s="95"/>
      <c r="O842" s="95"/>
      <c r="P842" s="95"/>
      <c r="Q842" s="95"/>
      <c r="R842" s="95"/>
      <c r="S842" s="95"/>
      <c r="T842" s="95"/>
      <c r="U842" s="95"/>
      <c r="V842" s="95"/>
      <c r="W842" s="95"/>
      <c r="X842" s="95"/>
      <c r="Y842" s="95"/>
      <c r="Z842" s="95"/>
      <c r="AA842" s="95"/>
    </row>
    <row r="843">
      <c r="A843" s="95" t="s">
        <v>5116</v>
      </c>
      <c r="B843" s="95"/>
      <c r="C843" s="95"/>
      <c r="D843" s="95"/>
      <c r="E843" s="95"/>
      <c r="F843" s="95"/>
      <c r="G843" s="95"/>
      <c r="H843" s="95"/>
      <c r="I843" s="95"/>
      <c r="J843" s="95"/>
      <c r="K843" s="95"/>
      <c r="L843" s="95"/>
      <c r="M843" s="95"/>
      <c r="N843" s="95"/>
      <c r="O843" s="95"/>
      <c r="P843" s="95"/>
      <c r="Q843" s="95"/>
      <c r="R843" s="95"/>
      <c r="S843" s="95"/>
      <c r="T843" s="95"/>
      <c r="U843" s="95"/>
      <c r="V843" s="95"/>
      <c r="W843" s="95"/>
      <c r="X843" s="95"/>
      <c r="Y843" s="95"/>
      <c r="Z843" s="95"/>
      <c r="AA843" s="95"/>
    </row>
    <row r="844">
      <c r="A844" s="95" t="s">
        <v>5116</v>
      </c>
      <c r="B844" s="95"/>
      <c r="C844" s="95"/>
      <c r="D844" s="95"/>
      <c r="E844" s="95"/>
      <c r="F844" s="95"/>
      <c r="G844" s="95"/>
      <c r="H844" s="95"/>
      <c r="I844" s="95"/>
      <c r="J844" s="95"/>
      <c r="K844" s="95"/>
      <c r="L844" s="95"/>
      <c r="M844" s="95"/>
      <c r="N844" s="95"/>
      <c r="O844" s="95"/>
      <c r="P844" s="95"/>
      <c r="Q844" s="95"/>
      <c r="R844" s="95"/>
      <c r="S844" s="95"/>
      <c r="T844" s="95"/>
      <c r="U844" s="95"/>
      <c r="V844" s="95"/>
      <c r="W844" s="95"/>
      <c r="X844" s="95"/>
      <c r="Y844" s="95"/>
      <c r="Z844" s="95"/>
      <c r="AA844" s="95"/>
    </row>
    <row r="845">
      <c r="A845" s="95" t="s">
        <v>5116</v>
      </c>
      <c r="B845" s="95"/>
      <c r="C845" s="95"/>
      <c r="D845" s="95"/>
      <c r="E845" s="95"/>
      <c r="F845" s="95"/>
      <c r="G845" s="95"/>
      <c r="H845" s="95"/>
      <c r="I845" s="95"/>
      <c r="J845" s="95"/>
      <c r="K845" s="95"/>
      <c r="L845" s="95"/>
      <c r="M845" s="95"/>
      <c r="N845" s="95"/>
      <c r="O845" s="95"/>
      <c r="P845" s="95"/>
      <c r="Q845" s="95"/>
      <c r="R845" s="95"/>
      <c r="S845" s="95"/>
      <c r="T845" s="95"/>
      <c r="U845" s="95"/>
      <c r="V845" s="95"/>
      <c r="W845" s="95"/>
      <c r="X845" s="95"/>
      <c r="Y845" s="95"/>
      <c r="Z845" s="95"/>
      <c r="AA845" s="95"/>
    </row>
    <row r="846">
      <c r="A846" s="95" t="s">
        <v>5116</v>
      </c>
      <c r="B846" s="95"/>
      <c r="C846" s="95"/>
      <c r="D846" s="95"/>
      <c r="E846" s="95"/>
      <c r="F846" s="95"/>
      <c r="G846" s="95"/>
      <c r="H846" s="95"/>
      <c r="I846" s="95"/>
      <c r="J846" s="95"/>
      <c r="K846" s="95"/>
      <c r="L846" s="95"/>
      <c r="M846" s="95"/>
      <c r="N846" s="95"/>
      <c r="O846" s="95"/>
      <c r="P846" s="95"/>
      <c r="Q846" s="95"/>
      <c r="R846" s="95"/>
      <c r="S846" s="95"/>
      <c r="T846" s="95"/>
      <c r="U846" s="95"/>
      <c r="V846" s="95"/>
      <c r="W846" s="95"/>
      <c r="X846" s="95"/>
      <c r="Y846" s="95"/>
      <c r="Z846" s="95"/>
      <c r="AA846" s="95"/>
    </row>
    <row r="847">
      <c r="A847" s="95" t="s">
        <v>5116</v>
      </c>
      <c r="B847" s="95"/>
      <c r="C847" s="95"/>
      <c r="D847" s="95"/>
      <c r="E847" s="95"/>
      <c r="F847" s="95"/>
      <c r="G847" s="95"/>
      <c r="H847" s="95"/>
      <c r="I847" s="95"/>
      <c r="J847" s="95"/>
      <c r="K847" s="95"/>
      <c r="L847" s="95"/>
      <c r="M847" s="95"/>
      <c r="N847" s="95"/>
      <c r="O847" s="95"/>
      <c r="P847" s="95"/>
      <c r="Q847" s="95"/>
      <c r="R847" s="95"/>
      <c r="S847" s="95"/>
      <c r="T847" s="95"/>
      <c r="U847" s="95"/>
      <c r="V847" s="95"/>
      <c r="W847" s="95"/>
      <c r="X847" s="95"/>
      <c r="Y847" s="95"/>
      <c r="Z847" s="95"/>
      <c r="AA847" s="95"/>
    </row>
    <row r="848">
      <c r="A848" s="95" t="s">
        <v>5116</v>
      </c>
      <c r="B848" s="95"/>
      <c r="C848" s="95"/>
      <c r="D848" s="95"/>
      <c r="E848" s="95"/>
      <c r="F848" s="95"/>
      <c r="G848" s="95"/>
      <c r="H848" s="95"/>
      <c r="I848" s="95"/>
      <c r="J848" s="95"/>
      <c r="K848" s="95"/>
      <c r="L848" s="95"/>
      <c r="M848" s="95"/>
      <c r="N848" s="95"/>
      <c r="O848" s="95"/>
      <c r="P848" s="95"/>
      <c r="Q848" s="95"/>
      <c r="R848" s="95"/>
      <c r="S848" s="95"/>
      <c r="T848" s="95"/>
      <c r="U848" s="95"/>
      <c r="V848" s="95"/>
      <c r="W848" s="95"/>
      <c r="X848" s="95"/>
      <c r="Y848" s="95"/>
      <c r="Z848" s="95"/>
      <c r="AA848" s="95"/>
    </row>
    <row r="849">
      <c r="A849" s="95" t="s">
        <v>5116</v>
      </c>
      <c r="B849" s="95"/>
      <c r="C849" s="95"/>
      <c r="D849" s="95"/>
      <c r="E849" s="95"/>
      <c r="F849" s="95"/>
      <c r="G849" s="95"/>
      <c r="H849" s="95"/>
      <c r="I849" s="95"/>
      <c r="J849" s="95"/>
      <c r="K849" s="95"/>
      <c r="L849" s="95"/>
      <c r="M849" s="95"/>
      <c r="N849" s="95"/>
      <c r="O849" s="95"/>
      <c r="P849" s="95"/>
      <c r="Q849" s="95"/>
      <c r="R849" s="95"/>
      <c r="S849" s="95"/>
      <c r="T849" s="95"/>
      <c r="U849" s="95"/>
      <c r="V849" s="95"/>
      <c r="W849" s="95"/>
      <c r="X849" s="95"/>
      <c r="Y849" s="95"/>
      <c r="Z849" s="95"/>
      <c r="AA849" s="95"/>
    </row>
    <row r="850">
      <c r="A850" s="95" t="s">
        <v>5116</v>
      </c>
      <c r="B850" s="95"/>
      <c r="C850" s="95"/>
      <c r="D850" s="95"/>
      <c r="E850" s="95"/>
      <c r="F850" s="95"/>
      <c r="G850" s="95"/>
      <c r="H850" s="95"/>
      <c r="I850" s="95"/>
      <c r="J850" s="95"/>
      <c r="K850" s="95"/>
      <c r="L850" s="95"/>
      <c r="M850" s="95"/>
      <c r="N850" s="95"/>
      <c r="O850" s="95"/>
      <c r="P850" s="95"/>
      <c r="Q850" s="95"/>
      <c r="R850" s="95"/>
      <c r="S850" s="95"/>
      <c r="T850" s="95"/>
      <c r="U850" s="95"/>
      <c r="V850" s="95"/>
      <c r="W850" s="95"/>
      <c r="X850" s="95"/>
      <c r="Y850" s="95"/>
      <c r="Z850" s="95"/>
      <c r="AA850" s="95"/>
    </row>
    <row r="851">
      <c r="A851" s="95" t="s">
        <v>5116</v>
      </c>
      <c r="B851" s="95"/>
      <c r="C851" s="95"/>
      <c r="D851" s="95"/>
      <c r="E851" s="95"/>
      <c r="F851" s="95"/>
      <c r="G851" s="95"/>
      <c r="H851" s="95"/>
      <c r="I851" s="95"/>
      <c r="J851" s="95"/>
      <c r="K851" s="95"/>
      <c r="L851" s="95"/>
      <c r="M851" s="95"/>
      <c r="N851" s="95"/>
      <c r="O851" s="95"/>
      <c r="P851" s="95"/>
      <c r="Q851" s="95"/>
      <c r="R851" s="95"/>
      <c r="S851" s="95"/>
      <c r="T851" s="95"/>
      <c r="U851" s="95"/>
      <c r="V851" s="95"/>
      <c r="W851" s="95"/>
      <c r="X851" s="95"/>
      <c r="Y851" s="95"/>
      <c r="Z851" s="95"/>
      <c r="AA851" s="95"/>
    </row>
    <row r="852">
      <c r="A852" s="95" t="s">
        <v>5116</v>
      </c>
      <c r="B852" s="95"/>
      <c r="C852" s="95"/>
      <c r="D852" s="95"/>
      <c r="E852" s="95"/>
      <c r="F852" s="95"/>
      <c r="G852" s="95"/>
      <c r="H852" s="95"/>
      <c r="I852" s="95"/>
      <c r="J852" s="95"/>
      <c r="K852" s="95"/>
      <c r="L852" s="95"/>
      <c r="M852" s="95"/>
      <c r="N852" s="95"/>
      <c r="O852" s="95"/>
      <c r="P852" s="95"/>
      <c r="Q852" s="95"/>
      <c r="R852" s="95"/>
      <c r="S852" s="95"/>
      <c r="T852" s="95"/>
      <c r="U852" s="95"/>
      <c r="V852" s="95"/>
      <c r="W852" s="95"/>
      <c r="X852" s="95"/>
      <c r="Y852" s="95"/>
      <c r="Z852" s="95"/>
      <c r="AA852" s="95"/>
    </row>
    <row r="853">
      <c r="A853" s="95" t="s">
        <v>5116</v>
      </c>
      <c r="B853" s="95"/>
      <c r="C853" s="95"/>
      <c r="D853" s="95"/>
      <c r="E853" s="95"/>
      <c r="F853" s="95"/>
      <c r="G853" s="95"/>
      <c r="H853" s="95"/>
      <c r="I853" s="95"/>
      <c r="J853" s="95"/>
      <c r="K853" s="95"/>
      <c r="L853" s="95"/>
      <c r="M853" s="95"/>
      <c r="N853" s="95"/>
      <c r="O853" s="95"/>
      <c r="P853" s="95"/>
      <c r="Q853" s="95"/>
      <c r="R853" s="95"/>
      <c r="S853" s="95"/>
      <c r="T853" s="95"/>
      <c r="U853" s="95"/>
      <c r="V853" s="95"/>
      <c r="W853" s="95"/>
      <c r="X853" s="95"/>
      <c r="Y853" s="95"/>
      <c r="Z853" s="95"/>
      <c r="AA853" s="95"/>
    </row>
    <row r="854">
      <c r="A854" s="95" t="s">
        <v>5116</v>
      </c>
      <c r="B854" s="95"/>
      <c r="C854" s="95"/>
      <c r="D854" s="95"/>
      <c r="E854" s="95"/>
      <c r="F854" s="95"/>
      <c r="G854" s="95"/>
      <c r="H854" s="95"/>
      <c r="I854" s="95"/>
      <c r="J854" s="95"/>
      <c r="K854" s="95"/>
      <c r="L854" s="95"/>
      <c r="M854" s="95"/>
      <c r="N854" s="95"/>
      <c r="O854" s="95"/>
      <c r="P854" s="95"/>
      <c r="Q854" s="95"/>
      <c r="R854" s="95"/>
      <c r="S854" s="95"/>
      <c r="T854" s="95"/>
      <c r="U854" s="95"/>
      <c r="V854" s="95"/>
      <c r="W854" s="95"/>
      <c r="X854" s="95"/>
      <c r="Y854" s="95"/>
      <c r="Z854" s="95"/>
      <c r="AA854" s="95"/>
    </row>
    <row r="855">
      <c r="A855" s="95" t="s">
        <v>5116</v>
      </c>
      <c r="B855" s="95"/>
      <c r="C855" s="95"/>
      <c r="D855" s="95"/>
      <c r="E855" s="95"/>
      <c r="F855" s="95"/>
      <c r="G855" s="95"/>
      <c r="H855" s="95"/>
      <c r="I855" s="95"/>
      <c r="J855" s="95"/>
      <c r="K855" s="95"/>
      <c r="L855" s="95"/>
      <c r="M855" s="95"/>
      <c r="N855" s="95"/>
      <c r="O855" s="95"/>
      <c r="P855" s="95"/>
      <c r="Q855" s="95"/>
      <c r="R855" s="95"/>
      <c r="S855" s="95"/>
      <c r="T855" s="95"/>
      <c r="U855" s="95"/>
      <c r="V855" s="95"/>
      <c r="W855" s="95"/>
      <c r="X855" s="95"/>
      <c r="Y855" s="95"/>
      <c r="Z855" s="95"/>
      <c r="AA855" s="95"/>
    </row>
    <row r="856">
      <c r="A856" s="95" t="s">
        <v>5116</v>
      </c>
      <c r="B856" s="95"/>
      <c r="C856" s="95"/>
      <c r="D856" s="95"/>
      <c r="E856" s="95"/>
      <c r="F856" s="95"/>
      <c r="G856" s="95"/>
      <c r="H856" s="95"/>
      <c r="I856" s="95"/>
      <c r="J856" s="95"/>
      <c r="K856" s="95"/>
      <c r="L856" s="95"/>
      <c r="M856" s="95"/>
      <c r="N856" s="95"/>
      <c r="O856" s="95"/>
      <c r="P856" s="95"/>
      <c r="Q856" s="95"/>
      <c r="R856" s="95"/>
      <c r="S856" s="95"/>
      <c r="T856" s="95"/>
      <c r="U856" s="95"/>
      <c r="V856" s="95"/>
      <c r="W856" s="95"/>
      <c r="X856" s="95"/>
      <c r="Y856" s="95"/>
      <c r="Z856" s="95"/>
      <c r="AA856" s="95"/>
    </row>
    <row r="857">
      <c r="A857" s="95" t="s">
        <v>5116</v>
      </c>
      <c r="B857" s="95"/>
      <c r="C857" s="95"/>
      <c r="D857" s="95"/>
      <c r="E857" s="95"/>
      <c r="F857" s="95"/>
      <c r="G857" s="95"/>
      <c r="H857" s="95"/>
      <c r="I857" s="95"/>
      <c r="J857" s="95"/>
      <c r="K857" s="95"/>
      <c r="L857" s="95"/>
      <c r="M857" s="95"/>
      <c r="N857" s="95"/>
      <c r="O857" s="95"/>
      <c r="P857" s="95"/>
      <c r="Q857" s="95"/>
      <c r="R857" s="95"/>
      <c r="S857" s="95"/>
      <c r="T857" s="95"/>
      <c r="U857" s="95"/>
      <c r="V857" s="95"/>
      <c r="W857" s="95"/>
      <c r="X857" s="95"/>
      <c r="Y857" s="95"/>
      <c r="Z857" s="95"/>
      <c r="AA857" s="95"/>
    </row>
    <row r="858">
      <c r="A858" s="95" t="s">
        <v>5116</v>
      </c>
      <c r="B858" s="95"/>
      <c r="C858" s="95"/>
      <c r="D858" s="95"/>
      <c r="E858" s="95"/>
      <c r="F858" s="95"/>
      <c r="G858" s="95"/>
      <c r="H858" s="95"/>
      <c r="I858" s="95"/>
      <c r="J858" s="95"/>
      <c r="K858" s="95"/>
      <c r="L858" s="95"/>
      <c r="M858" s="95"/>
      <c r="N858" s="95"/>
      <c r="O858" s="95"/>
      <c r="P858" s="95"/>
      <c r="Q858" s="95"/>
      <c r="R858" s="95"/>
      <c r="S858" s="95"/>
      <c r="T858" s="95"/>
      <c r="U858" s="95"/>
      <c r="V858" s="95"/>
      <c r="W858" s="95"/>
      <c r="X858" s="95"/>
      <c r="Y858" s="95"/>
      <c r="Z858" s="95"/>
      <c r="AA858" s="95"/>
    </row>
    <row r="859">
      <c r="A859" s="95" t="s">
        <v>5116</v>
      </c>
      <c r="B859" s="95"/>
      <c r="C859" s="95"/>
      <c r="D859" s="95"/>
      <c r="E859" s="95"/>
      <c r="F859" s="95"/>
      <c r="G859" s="95"/>
      <c r="H859" s="95"/>
      <c r="I859" s="95"/>
      <c r="J859" s="95"/>
      <c r="K859" s="95"/>
      <c r="L859" s="95"/>
      <c r="M859" s="95"/>
      <c r="N859" s="95"/>
      <c r="O859" s="95"/>
      <c r="P859" s="95"/>
      <c r="Q859" s="95"/>
      <c r="R859" s="95"/>
      <c r="S859" s="95"/>
      <c r="T859" s="95"/>
      <c r="U859" s="95"/>
      <c r="V859" s="95"/>
      <c r="W859" s="95"/>
      <c r="X859" s="95"/>
      <c r="Y859" s="95"/>
      <c r="Z859" s="95"/>
      <c r="AA859" s="95"/>
    </row>
    <row r="860">
      <c r="A860" s="95" t="s">
        <v>5116</v>
      </c>
      <c r="B860" s="95"/>
      <c r="C860" s="95"/>
      <c r="D860" s="95"/>
      <c r="E860" s="95"/>
      <c r="F860" s="95"/>
      <c r="G860" s="95"/>
      <c r="H860" s="95"/>
      <c r="I860" s="95"/>
      <c r="J860" s="95"/>
      <c r="K860" s="95"/>
      <c r="L860" s="95"/>
      <c r="M860" s="95"/>
      <c r="N860" s="95"/>
      <c r="O860" s="95"/>
      <c r="P860" s="95"/>
      <c r="Q860" s="95"/>
      <c r="R860" s="95"/>
      <c r="S860" s="95"/>
      <c r="T860" s="95"/>
      <c r="U860" s="95"/>
      <c r="V860" s="95"/>
      <c r="W860" s="95"/>
      <c r="X860" s="95"/>
      <c r="Y860" s="95"/>
      <c r="Z860" s="95"/>
      <c r="AA860" s="95"/>
    </row>
    <row r="861">
      <c r="A861" s="95" t="s">
        <v>5116</v>
      </c>
      <c r="B861" s="95"/>
      <c r="C861" s="95"/>
      <c r="D861" s="95"/>
      <c r="E861" s="95"/>
      <c r="F861" s="95"/>
      <c r="G861" s="95"/>
      <c r="H861" s="95"/>
      <c r="I861" s="95"/>
      <c r="J861" s="95"/>
      <c r="K861" s="95"/>
      <c r="L861" s="95"/>
      <c r="M861" s="95"/>
      <c r="N861" s="95"/>
      <c r="O861" s="95"/>
      <c r="P861" s="95"/>
      <c r="Q861" s="95"/>
      <c r="R861" s="95"/>
      <c r="S861" s="95"/>
      <c r="T861" s="95"/>
      <c r="U861" s="95"/>
      <c r="V861" s="95"/>
      <c r="W861" s="95"/>
      <c r="X861" s="95"/>
      <c r="Y861" s="95"/>
      <c r="Z861" s="95"/>
      <c r="AA861" s="95"/>
    </row>
    <row r="862">
      <c r="A862" s="95" t="s">
        <v>5116</v>
      </c>
      <c r="B862" s="95"/>
      <c r="C862" s="95"/>
      <c r="D862" s="95"/>
      <c r="E862" s="95"/>
      <c r="F862" s="95"/>
      <c r="G862" s="95"/>
      <c r="H862" s="95"/>
      <c r="I862" s="95"/>
      <c r="J862" s="95"/>
      <c r="K862" s="95"/>
      <c r="L862" s="95"/>
      <c r="M862" s="95"/>
      <c r="N862" s="95"/>
      <c r="O862" s="95"/>
      <c r="P862" s="95"/>
      <c r="Q862" s="95"/>
      <c r="R862" s="95"/>
      <c r="S862" s="95"/>
      <c r="T862" s="95"/>
      <c r="U862" s="95"/>
      <c r="V862" s="95"/>
      <c r="W862" s="95"/>
      <c r="X862" s="95"/>
      <c r="Y862" s="95"/>
      <c r="Z862" s="95"/>
      <c r="AA862" s="95"/>
    </row>
    <row r="863">
      <c r="A863" s="95" t="s">
        <v>5116</v>
      </c>
      <c r="B863" s="95"/>
      <c r="C863" s="95"/>
      <c r="D863" s="95"/>
      <c r="E863" s="95"/>
      <c r="F863" s="95"/>
      <c r="G863" s="95"/>
      <c r="H863" s="95"/>
      <c r="I863" s="95"/>
      <c r="J863" s="95"/>
      <c r="K863" s="95"/>
      <c r="L863" s="95"/>
      <c r="M863" s="95"/>
      <c r="N863" s="95"/>
      <c r="O863" s="95"/>
      <c r="P863" s="95"/>
      <c r="Q863" s="95"/>
      <c r="R863" s="95"/>
      <c r="S863" s="95"/>
      <c r="T863" s="95"/>
      <c r="U863" s="95"/>
      <c r="V863" s="95"/>
      <c r="W863" s="95"/>
      <c r="X863" s="95"/>
      <c r="Y863" s="95"/>
      <c r="Z863" s="95"/>
      <c r="AA863" s="95"/>
    </row>
    <row r="864">
      <c r="A864" s="95" t="s">
        <v>5116</v>
      </c>
      <c r="B864" s="95"/>
      <c r="C864" s="95"/>
      <c r="D864" s="95"/>
      <c r="E864" s="95"/>
      <c r="F864" s="95"/>
      <c r="G864" s="95"/>
      <c r="H864" s="95"/>
      <c r="I864" s="95"/>
      <c r="J864" s="95"/>
      <c r="K864" s="95"/>
      <c r="L864" s="95"/>
      <c r="M864" s="95"/>
      <c r="N864" s="95"/>
      <c r="O864" s="95"/>
      <c r="P864" s="95"/>
      <c r="Q864" s="95"/>
      <c r="R864" s="95"/>
      <c r="S864" s="95"/>
      <c r="T864" s="95"/>
      <c r="U864" s="95"/>
      <c r="V864" s="95"/>
      <c r="W864" s="95"/>
      <c r="X864" s="95"/>
      <c r="Y864" s="95"/>
      <c r="Z864" s="95"/>
      <c r="AA864" s="95"/>
    </row>
    <row r="865">
      <c r="A865" s="95" t="s">
        <v>5116</v>
      </c>
      <c r="B865" s="95"/>
      <c r="C865" s="95"/>
      <c r="D865" s="95"/>
      <c r="E865" s="95"/>
      <c r="F865" s="95"/>
      <c r="G865" s="95"/>
      <c r="H865" s="95"/>
      <c r="I865" s="95"/>
      <c r="J865" s="95"/>
      <c r="K865" s="95"/>
      <c r="L865" s="95"/>
      <c r="M865" s="95"/>
      <c r="N865" s="95"/>
      <c r="O865" s="95"/>
      <c r="P865" s="95"/>
      <c r="Q865" s="95"/>
      <c r="R865" s="95"/>
      <c r="S865" s="95"/>
      <c r="T865" s="95"/>
      <c r="U865" s="95"/>
      <c r="V865" s="95"/>
      <c r="W865" s="95"/>
      <c r="X865" s="95"/>
      <c r="Y865" s="95"/>
      <c r="Z865" s="95"/>
      <c r="AA865" s="95"/>
    </row>
    <row r="866">
      <c r="A866" s="95" t="s">
        <v>5116</v>
      </c>
      <c r="B866" s="95"/>
      <c r="C866" s="95"/>
      <c r="D866" s="95"/>
      <c r="E866" s="95"/>
      <c r="F866" s="95"/>
      <c r="G866" s="95"/>
      <c r="H866" s="95"/>
      <c r="I866" s="95"/>
      <c r="J866" s="95"/>
      <c r="K866" s="95"/>
      <c r="L866" s="95"/>
      <c r="M866" s="95"/>
      <c r="N866" s="95"/>
      <c r="O866" s="95"/>
      <c r="P866" s="95"/>
      <c r="Q866" s="95"/>
      <c r="R866" s="95"/>
      <c r="S866" s="95"/>
      <c r="T866" s="95"/>
      <c r="U866" s="95"/>
      <c r="V866" s="95"/>
      <c r="W866" s="95"/>
      <c r="X866" s="95"/>
      <c r="Y866" s="95"/>
      <c r="Z866" s="95"/>
      <c r="AA866" s="95"/>
    </row>
    <row r="867">
      <c r="A867" s="95" t="s">
        <v>5116</v>
      </c>
      <c r="B867" s="95"/>
      <c r="C867" s="95"/>
      <c r="D867" s="95"/>
      <c r="E867" s="95"/>
      <c r="F867" s="95"/>
      <c r="G867" s="95"/>
      <c r="H867" s="95"/>
      <c r="I867" s="95"/>
      <c r="J867" s="95"/>
      <c r="K867" s="95"/>
      <c r="L867" s="95"/>
      <c r="M867" s="95"/>
      <c r="N867" s="95"/>
      <c r="O867" s="95"/>
      <c r="P867" s="95"/>
      <c r="Q867" s="95"/>
      <c r="R867" s="95"/>
      <c r="S867" s="95"/>
      <c r="T867" s="95"/>
      <c r="U867" s="95"/>
      <c r="V867" s="95"/>
      <c r="W867" s="95"/>
      <c r="X867" s="95"/>
      <c r="Y867" s="95"/>
      <c r="Z867" s="95"/>
      <c r="AA867" s="95"/>
    </row>
    <row r="868">
      <c r="A868" s="95" t="s">
        <v>5116</v>
      </c>
      <c r="B868" s="95"/>
      <c r="C868" s="95"/>
      <c r="D868" s="95"/>
      <c r="E868" s="95"/>
      <c r="F868" s="95"/>
      <c r="G868" s="95"/>
      <c r="H868" s="95"/>
      <c r="I868" s="95"/>
      <c r="J868" s="95"/>
      <c r="K868" s="95"/>
      <c r="L868" s="95"/>
      <c r="M868" s="95"/>
      <c r="N868" s="95"/>
      <c r="O868" s="95"/>
      <c r="P868" s="95"/>
      <c r="Q868" s="95"/>
      <c r="R868" s="95"/>
      <c r="S868" s="95"/>
      <c r="T868" s="95"/>
      <c r="U868" s="95"/>
      <c r="V868" s="95"/>
      <c r="W868" s="95"/>
      <c r="X868" s="95"/>
      <c r="Y868" s="95"/>
      <c r="Z868" s="95"/>
      <c r="AA868" s="95"/>
    </row>
    <row r="869">
      <c r="A869" s="95" t="s">
        <v>5116</v>
      </c>
      <c r="B869" s="95"/>
      <c r="C869" s="95"/>
      <c r="D869" s="95"/>
      <c r="E869" s="95"/>
      <c r="F869" s="95"/>
      <c r="G869" s="95"/>
      <c r="H869" s="95"/>
      <c r="I869" s="95"/>
      <c r="J869" s="95"/>
      <c r="K869" s="95"/>
      <c r="L869" s="95"/>
      <c r="M869" s="95"/>
      <c r="N869" s="95"/>
      <c r="O869" s="95"/>
      <c r="P869" s="95"/>
      <c r="Q869" s="95"/>
      <c r="R869" s="95"/>
      <c r="S869" s="95"/>
      <c r="T869" s="95"/>
      <c r="U869" s="95"/>
      <c r="V869" s="95"/>
      <c r="W869" s="95"/>
      <c r="X869" s="95"/>
      <c r="Y869" s="95"/>
      <c r="Z869" s="95"/>
      <c r="AA869" s="95"/>
    </row>
    <row r="870">
      <c r="A870" s="95" t="s">
        <v>5116</v>
      </c>
      <c r="B870" s="95"/>
      <c r="C870" s="95"/>
      <c r="D870" s="95"/>
      <c r="E870" s="95"/>
      <c r="F870" s="95"/>
      <c r="G870" s="95"/>
      <c r="H870" s="95"/>
      <c r="I870" s="95"/>
      <c r="J870" s="95"/>
      <c r="K870" s="95"/>
      <c r="L870" s="95"/>
      <c r="M870" s="95"/>
      <c r="N870" s="95"/>
      <c r="O870" s="95"/>
      <c r="P870" s="95"/>
      <c r="Q870" s="95"/>
      <c r="R870" s="95"/>
      <c r="S870" s="95"/>
      <c r="T870" s="95"/>
      <c r="U870" s="95"/>
      <c r="V870" s="95"/>
      <c r="W870" s="95"/>
      <c r="X870" s="95"/>
      <c r="Y870" s="95"/>
      <c r="Z870" s="95"/>
      <c r="AA870" s="95"/>
    </row>
    <row r="871">
      <c r="A871" s="95" t="s">
        <v>5116</v>
      </c>
      <c r="B871" s="95"/>
      <c r="C871" s="95"/>
      <c r="D871" s="95"/>
      <c r="E871" s="95"/>
      <c r="F871" s="95"/>
      <c r="G871" s="95"/>
      <c r="H871" s="95"/>
      <c r="I871" s="95"/>
      <c r="J871" s="95"/>
      <c r="K871" s="95"/>
      <c r="L871" s="95"/>
      <c r="M871" s="95"/>
      <c r="N871" s="95"/>
      <c r="O871" s="95"/>
      <c r="P871" s="95"/>
      <c r="Q871" s="95"/>
      <c r="R871" s="95"/>
      <c r="S871" s="95"/>
      <c r="T871" s="95"/>
      <c r="U871" s="95"/>
      <c r="V871" s="95"/>
      <c r="W871" s="95"/>
      <c r="X871" s="95"/>
      <c r="Y871" s="95"/>
      <c r="Z871" s="95"/>
      <c r="AA871" s="95"/>
    </row>
    <row r="872">
      <c r="A872" s="95" t="s">
        <v>5116</v>
      </c>
      <c r="B872" s="95"/>
      <c r="C872" s="95"/>
      <c r="D872" s="95"/>
      <c r="E872" s="95"/>
      <c r="F872" s="95"/>
      <c r="G872" s="95"/>
      <c r="H872" s="95"/>
      <c r="I872" s="95"/>
      <c r="J872" s="95"/>
      <c r="K872" s="95"/>
      <c r="L872" s="95"/>
      <c r="M872" s="95"/>
      <c r="N872" s="95"/>
      <c r="O872" s="95"/>
      <c r="P872" s="95"/>
      <c r="Q872" s="95"/>
      <c r="R872" s="95"/>
      <c r="S872" s="95"/>
      <c r="T872" s="95"/>
      <c r="U872" s="95"/>
      <c r="V872" s="95"/>
      <c r="W872" s="95"/>
      <c r="X872" s="95"/>
      <c r="Y872" s="95"/>
      <c r="Z872" s="95"/>
      <c r="AA872" s="95"/>
    </row>
    <row r="873">
      <c r="A873" s="95" t="s">
        <v>5116</v>
      </c>
      <c r="B873" s="95"/>
      <c r="C873" s="95"/>
      <c r="D873" s="95"/>
      <c r="E873" s="95"/>
      <c r="F873" s="95"/>
      <c r="G873" s="95"/>
      <c r="H873" s="95"/>
      <c r="I873" s="95"/>
      <c r="J873" s="95"/>
      <c r="K873" s="95"/>
      <c r="L873" s="95"/>
      <c r="M873" s="95"/>
      <c r="N873" s="95"/>
      <c r="O873" s="95"/>
      <c r="P873" s="95"/>
      <c r="Q873" s="95"/>
      <c r="R873" s="95"/>
      <c r="S873" s="95"/>
      <c r="T873" s="95"/>
      <c r="U873" s="95"/>
      <c r="V873" s="95"/>
      <c r="W873" s="95"/>
      <c r="X873" s="95"/>
      <c r="Y873" s="95"/>
      <c r="Z873" s="95"/>
      <c r="AA873" s="95"/>
    </row>
    <row r="874">
      <c r="A874" s="95" t="s">
        <v>5116</v>
      </c>
      <c r="B874" s="95"/>
      <c r="C874" s="95"/>
      <c r="D874" s="95"/>
      <c r="E874" s="95"/>
      <c r="F874" s="95"/>
      <c r="G874" s="95"/>
      <c r="H874" s="95"/>
      <c r="I874" s="95"/>
      <c r="J874" s="95"/>
      <c r="K874" s="95"/>
      <c r="L874" s="95"/>
      <c r="M874" s="95"/>
      <c r="N874" s="95"/>
      <c r="O874" s="95"/>
      <c r="P874" s="95"/>
      <c r="Q874" s="95"/>
      <c r="R874" s="95"/>
      <c r="S874" s="95"/>
      <c r="T874" s="95"/>
      <c r="U874" s="95"/>
      <c r="V874" s="95"/>
      <c r="W874" s="95"/>
      <c r="X874" s="95"/>
      <c r="Y874" s="95"/>
      <c r="Z874" s="95"/>
      <c r="AA874" s="95"/>
    </row>
    <row r="875">
      <c r="A875" s="95" t="s">
        <v>5116</v>
      </c>
      <c r="B875" s="95"/>
      <c r="C875" s="95"/>
      <c r="D875" s="95"/>
      <c r="E875" s="95"/>
      <c r="F875" s="95"/>
      <c r="G875" s="95"/>
      <c r="H875" s="95"/>
      <c r="I875" s="95"/>
      <c r="J875" s="95"/>
      <c r="K875" s="95"/>
      <c r="L875" s="95"/>
      <c r="M875" s="95"/>
      <c r="N875" s="95"/>
      <c r="O875" s="95"/>
      <c r="P875" s="95"/>
      <c r="Q875" s="95"/>
      <c r="R875" s="95"/>
      <c r="S875" s="95"/>
      <c r="T875" s="95"/>
      <c r="U875" s="95"/>
      <c r="V875" s="95"/>
      <c r="W875" s="95"/>
      <c r="X875" s="95"/>
      <c r="Y875" s="95"/>
      <c r="Z875" s="95"/>
      <c r="AA875" s="95"/>
    </row>
    <row r="876">
      <c r="A876" s="95" t="s">
        <v>5116</v>
      </c>
      <c r="B876" s="95"/>
      <c r="C876" s="95"/>
      <c r="D876" s="95"/>
      <c r="E876" s="95"/>
      <c r="F876" s="95"/>
      <c r="G876" s="95"/>
      <c r="H876" s="95"/>
      <c r="I876" s="95"/>
      <c r="J876" s="95"/>
      <c r="K876" s="95"/>
      <c r="L876" s="95"/>
      <c r="M876" s="95"/>
      <c r="N876" s="95"/>
      <c r="O876" s="95"/>
      <c r="P876" s="95"/>
      <c r="Q876" s="95"/>
      <c r="R876" s="95"/>
      <c r="S876" s="95"/>
      <c r="T876" s="95"/>
      <c r="U876" s="95"/>
      <c r="V876" s="95"/>
      <c r="W876" s="95"/>
      <c r="X876" s="95"/>
      <c r="Y876" s="95"/>
      <c r="Z876" s="95"/>
      <c r="AA876" s="95"/>
    </row>
    <row r="877">
      <c r="A877" s="95" t="s">
        <v>5116</v>
      </c>
      <c r="B877" s="95"/>
      <c r="C877" s="95"/>
      <c r="D877" s="95"/>
      <c r="E877" s="95"/>
      <c r="F877" s="95"/>
      <c r="G877" s="95"/>
      <c r="H877" s="95"/>
      <c r="I877" s="95"/>
      <c r="J877" s="95"/>
      <c r="K877" s="95"/>
      <c r="L877" s="95"/>
      <c r="M877" s="95"/>
      <c r="N877" s="95"/>
      <c r="O877" s="95"/>
      <c r="P877" s="95"/>
      <c r="Q877" s="95"/>
      <c r="R877" s="95"/>
      <c r="S877" s="95"/>
      <c r="T877" s="95"/>
      <c r="U877" s="95"/>
      <c r="V877" s="95"/>
      <c r="W877" s="95"/>
      <c r="X877" s="95"/>
      <c r="Y877" s="95"/>
      <c r="Z877" s="95"/>
      <c r="AA877" s="95"/>
    </row>
    <row r="878">
      <c r="A878" s="95" t="s">
        <v>5116</v>
      </c>
      <c r="B878" s="95"/>
      <c r="C878" s="95"/>
      <c r="D878" s="95"/>
      <c r="E878" s="95"/>
      <c r="F878" s="95"/>
      <c r="G878" s="95"/>
      <c r="H878" s="95"/>
      <c r="I878" s="95"/>
      <c r="J878" s="95"/>
      <c r="K878" s="95"/>
      <c r="L878" s="95"/>
      <c r="M878" s="95"/>
      <c r="N878" s="95"/>
      <c r="O878" s="95"/>
      <c r="P878" s="95"/>
      <c r="Q878" s="95"/>
      <c r="R878" s="95"/>
      <c r="S878" s="95"/>
      <c r="T878" s="95"/>
      <c r="U878" s="95"/>
      <c r="V878" s="95"/>
      <c r="W878" s="95"/>
      <c r="X878" s="95"/>
      <c r="Y878" s="95"/>
      <c r="Z878" s="95"/>
      <c r="AA878" s="95"/>
    </row>
    <row r="879">
      <c r="A879" s="95" t="s">
        <v>5116</v>
      </c>
      <c r="B879" s="95"/>
      <c r="C879" s="95"/>
      <c r="D879" s="95"/>
      <c r="E879" s="95"/>
      <c r="F879" s="95"/>
      <c r="G879" s="95"/>
      <c r="H879" s="95"/>
      <c r="I879" s="95"/>
      <c r="J879" s="95"/>
      <c r="K879" s="95"/>
      <c r="L879" s="95"/>
      <c r="M879" s="95"/>
      <c r="N879" s="95"/>
      <c r="O879" s="95"/>
      <c r="P879" s="95"/>
      <c r="Q879" s="95"/>
      <c r="R879" s="95"/>
      <c r="S879" s="95"/>
      <c r="T879" s="95"/>
      <c r="U879" s="95"/>
      <c r="V879" s="95"/>
      <c r="W879" s="95"/>
      <c r="X879" s="95"/>
      <c r="Y879" s="95"/>
      <c r="Z879" s="95"/>
      <c r="AA879" s="95"/>
    </row>
    <row r="880">
      <c r="A880" s="95" t="s">
        <v>5116</v>
      </c>
      <c r="B880" s="95"/>
      <c r="C880" s="95"/>
      <c r="D880" s="95"/>
      <c r="E880" s="95"/>
      <c r="F880" s="95"/>
      <c r="G880" s="95"/>
      <c r="H880" s="95"/>
      <c r="I880" s="95"/>
      <c r="J880" s="95"/>
      <c r="K880" s="95"/>
      <c r="L880" s="95"/>
      <c r="M880" s="95"/>
      <c r="N880" s="95"/>
      <c r="O880" s="95"/>
      <c r="P880" s="95"/>
      <c r="Q880" s="95"/>
      <c r="R880" s="95"/>
      <c r="S880" s="95"/>
      <c r="T880" s="95"/>
      <c r="U880" s="95"/>
      <c r="V880" s="95"/>
      <c r="W880" s="95"/>
      <c r="X880" s="95"/>
      <c r="Y880" s="95"/>
      <c r="Z880" s="95"/>
      <c r="AA880" s="95"/>
    </row>
    <row r="881">
      <c r="A881" s="95" t="s">
        <v>5116</v>
      </c>
      <c r="B881" s="95"/>
      <c r="C881" s="95"/>
      <c r="D881" s="95"/>
      <c r="E881" s="95"/>
      <c r="F881" s="95"/>
      <c r="G881" s="95"/>
      <c r="H881" s="95"/>
      <c r="I881" s="95"/>
      <c r="J881" s="95"/>
      <c r="K881" s="95"/>
      <c r="L881" s="95"/>
      <c r="M881" s="95"/>
      <c r="N881" s="95"/>
      <c r="O881" s="95"/>
      <c r="P881" s="95"/>
      <c r="Q881" s="95"/>
      <c r="R881" s="95"/>
      <c r="S881" s="95"/>
      <c r="T881" s="95"/>
      <c r="U881" s="95"/>
      <c r="V881" s="95"/>
      <c r="W881" s="95"/>
      <c r="X881" s="95"/>
      <c r="Y881" s="95"/>
      <c r="Z881" s="95"/>
      <c r="AA881" s="95"/>
    </row>
    <row r="882">
      <c r="A882" s="95" t="s">
        <v>5116</v>
      </c>
      <c r="B882" s="95"/>
      <c r="C882" s="95"/>
      <c r="D882" s="95"/>
      <c r="E882" s="95"/>
      <c r="F882" s="95"/>
      <c r="G882" s="95"/>
      <c r="H882" s="95"/>
      <c r="I882" s="95"/>
      <c r="J882" s="95"/>
      <c r="K882" s="95"/>
      <c r="L882" s="95"/>
      <c r="M882" s="95"/>
      <c r="N882" s="95"/>
      <c r="O882" s="95"/>
      <c r="P882" s="95"/>
      <c r="Q882" s="95"/>
      <c r="R882" s="95"/>
      <c r="S882" s="95"/>
      <c r="T882" s="95"/>
      <c r="U882" s="95"/>
      <c r="V882" s="95"/>
      <c r="W882" s="95"/>
      <c r="X882" s="95"/>
      <c r="Y882" s="95"/>
      <c r="Z882" s="95"/>
      <c r="AA882" s="95"/>
    </row>
    <row r="883">
      <c r="A883" s="95" t="s">
        <v>5116</v>
      </c>
      <c r="B883" s="95"/>
      <c r="C883" s="95"/>
      <c r="D883" s="95"/>
      <c r="E883" s="95"/>
      <c r="F883" s="95"/>
      <c r="G883" s="95"/>
      <c r="H883" s="95"/>
      <c r="I883" s="95"/>
      <c r="J883" s="95"/>
      <c r="K883" s="95"/>
      <c r="L883" s="95"/>
      <c r="M883" s="95"/>
      <c r="N883" s="95"/>
      <c r="O883" s="95"/>
      <c r="P883" s="95"/>
      <c r="Q883" s="95"/>
      <c r="R883" s="95"/>
      <c r="S883" s="95"/>
      <c r="T883" s="95"/>
      <c r="U883" s="95"/>
      <c r="V883" s="95"/>
      <c r="W883" s="95"/>
      <c r="X883" s="95"/>
      <c r="Y883" s="95"/>
      <c r="Z883" s="95"/>
      <c r="AA883" s="95"/>
    </row>
    <row r="884">
      <c r="A884" s="95" t="s">
        <v>5116</v>
      </c>
      <c r="B884" s="95"/>
      <c r="C884" s="95"/>
      <c r="D884" s="95"/>
      <c r="E884" s="95"/>
      <c r="F884" s="95"/>
      <c r="G884" s="95"/>
      <c r="H884" s="95"/>
      <c r="I884" s="95"/>
      <c r="J884" s="95"/>
      <c r="K884" s="95"/>
      <c r="L884" s="95"/>
      <c r="M884" s="95"/>
      <c r="N884" s="95"/>
      <c r="O884" s="95"/>
      <c r="P884" s="95"/>
      <c r="Q884" s="95"/>
      <c r="R884" s="95"/>
      <c r="S884" s="95"/>
      <c r="T884" s="95"/>
      <c r="U884" s="95"/>
      <c r="V884" s="95"/>
      <c r="W884" s="95"/>
      <c r="X884" s="95"/>
      <c r="Y884" s="95"/>
      <c r="Z884" s="95"/>
      <c r="AA884" s="95"/>
    </row>
    <row r="885">
      <c r="A885" s="95" t="s">
        <v>5116</v>
      </c>
      <c r="B885" s="95"/>
      <c r="C885" s="95"/>
      <c r="D885" s="95"/>
      <c r="E885" s="95"/>
      <c r="F885" s="95"/>
      <c r="G885" s="95"/>
      <c r="H885" s="95"/>
      <c r="I885" s="95"/>
      <c r="J885" s="95"/>
      <c r="K885" s="95"/>
      <c r="L885" s="95"/>
      <c r="M885" s="95"/>
      <c r="N885" s="95"/>
      <c r="O885" s="95"/>
      <c r="P885" s="95"/>
      <c r="Q885" s="95"/>
      <c r="R885" s="95"/>
      <c r="S885" s="95"/>
      <c r="T885" s="95"/>
      <c r="U885" s="95"/>
      <c r="V885" s="95"/>
      <c r="W885" s="95"/>
      <c r="X885" s="95"/>
      <c r="Y885" s="95"/>
      <c r="Z885" s="95"/>
      <c r="AA885" s="95"/>
    </row>
    <row r="886">
      <c r="A886" s="95" t="s">
        <v>5116</v>
      </c>
      <c r="B886" s="95"/>
      <c r="C886" s="95"/>
      <c r="D886" s="95"/>
      <c r="E886" s="95"/>
      <c r="F886" s="95"/>
      <c r="G886" s="95"/>
      <c r="H886" s="95"/>
      <c r="I886" s="95"/>
      <c r="J886" s="95"/>
      <c r="K886" s="95"/>
      <c r="L886" s="95"/>
      <c r="M886" s="95"/>
      <c r="N886" s="95"/>
      <c r="O886" s="95"/>
      <c r="P886" s="95"/>
      <c r="Q886" s="95"/>
      <c r="R886" s="95"/>
      <c r="S886" s="95"/>
      <c r="T886" s="95"/>
      <c r="U886" s="95"/>
      <c r="V886" s="95"/>
      <c r="W886" s="95"/>
      <c r="X886" s="95"/>
      <c r="Y886" s="95"/>
      <c r="Z886" s="95"/>
      <c r="AA886" s="95"/>
    </row>
    <row r="887">
      <c r="A887" s="95" t="s">
        <v>5116</v>
      </c>
      <c r="B887" s="95"/>
      <c r="C887" s="95"/>
      <c r="D887" s="95"/>
      <c r="E887" s="95"/>
      <c r="F887" s="95"/>
      <c r="G887" s="95"/>
      <c r="H887" s="95"/>
      <c r="I887" s="95"/>
      <c r="J887" s="95"/>
      <c r="K887" s="95"/>
      <c r="L887" s="95"/>
      <c r="M887" s="95"/>
      <c r="N887" s="95"/>
      <c r="O887" s="95"/>
      <c r="P887" s="95"/>
      <c r="Q887" s="95"/>
      <c r="R887" s="95"/>
      <c r="S887" s="95"/>
      <c r="T887" s="95"/>
      <c r="U887" s="95"/>
      <c r="V887" s="95"/>
      <c r="W887" s="95"/>
      <c r="X887" s="95"/>
      <c r="Y887" s="95"/>
      <c r="Z887" s="95"/>
      <c r="AA887" s="95"/>
    </row>
    <row r="888">
      <c r="A888" s="95" t="s">
        <v>5116</v>
      </c>
      <c r="B888" s="95"/>
      <c r="C888" s="95"/>
      <c r="D888" s="95"/>
      <c r="E888" s="95"/>
      <c r="F888" s="95"/>
      <c r="G888" s="95"/>
      <c r="H888" s="95"/>
      <c r="I888" s="95"/>
      <c r="J888" s="95"/>
      <c r="K888" s="95"/>
      <c r="L888" s="95"/>
      <c r="M888" s="95"/>
      <c r="N888" s="95"/>
      <c r="O888" s="95"/>
      <c r="P888" s="95"/>
      <c r="Q888" s="95"/>
      <c r="R888" s="95"/>
      <c r="S888" s="95"/>
      <c r="T888" s="95"/>
      <c r="U888" s="95"/>
      <c r="V888" s="95"/>
      <c r="W888" s="95"/>
      <c r="X888" s="95"/>
      <c r="Y888" s="95"/>
      <c r="Z888" s="95"/>
      <c r="AA888" s="95"/>
    </row>
    <row r="889">
      <c r="A889" s="95" t="s">
        <v>5116</v>
      </c>
      <c r="B889" s="95"/>
      <c r="C889" s="95"/>
      <c r="D889" s="95"/>
      <c r="E889" s="95"/>
      <c r="F889" s="95"/>
      <c r="G889" s="95"/>
      <c r="H889" s="95"/>
      <c r="I889" s="95"/>
      <c r="J889" s="95"/>
      <c r="K889" s="95"/>
      <c r="L889" s="95"/>
      <c r="M889" s="95"/>
      <c r="N889" s="95"/>
      <c r="O889" s="95"/>
      <c r="P889" s="95"/>
      <c r="Q889" s="95"/>
      <c r="R889" s="95"/>
      <c r="S889" s="95"/>
      <c r="T889" s="95"/>
      <c r="U889" s="95"/>
      <c r="V889" s="95"/>
      <c r="W889" s="95"/>
      <c r="X889" s="95"/>
      <c r="Y889" s="95"/>
      <c r="Z889" s="95"/>
      <c r="AA889" s="95"/>
    </row>
    <row r="890">
      <c r="A890" s="95" t="s">
        <v>5116</v>
      </c>
      <c r="B890" s="95"/>
      <c r="C890" s="95"/>
      <c r="D890" s="95"/>
      <c r="E890" s="95"/>
      <c r="F890" s="95"/>
      <c r="G890" s="95"/>
      <c r="H890" s="95"/>
      <c r="I890" s="95"/>
      <c r="J890" s="95"/>
      <c r="K890" s="95"/>
      <c r="L890" s="95"/>
      <c r="M890" s="95"/>
      <c r="N890" s="95"/>
      <c r="O890" s="95"/>
      <c r="P890" s="95"/>
      <c r="Q890" s="95"/>
      <c r="R890" s="95"/>
      <c r="S890" s="95"/>
      <c r="T890" s="95"/>
      <c r="U890" s="95"/>
      <c r="V890" s="95"/>
      <c r="W890" s="95"/>
      <c r="X890" s="95"/>
      <c r="Y890" s="95"/>
      <c r="Z890" s="95"/>
      <c r="AA890" s="95"/>
    </row>
    <row r="891">
      <c r="A891" s="95" t="s">
        <v>5116</v>
      </c>
      <c r="B891" s="95"/>
      <c r="C891" s="95"/>
      <c r="D891" s="95"/>
      <c r="E891" s="95"/>
      <c r="F891" s="95"/>
      <c r="G891" s="95"/>
      <c r="H891" s="95"/>
      <c r="I891" s="95"/>
      <c r="J891" s="95"/>
      <c r="K891" s="95"/>
      <c r="L891" s="95"/>
      <c r="M891" s="95"/>
      <c r="N891" s="95"/>
      <c r="O891" s="95"/>
      <c r="P891" s="95"/>
      <c r="Q891" s="95"/>
      <c r="R891" s="95"/>
      <c r="S891" s="95"/>
      <c r="T891" s="95"/>
      <c r="U891" s="95"/>
      <c r="V891" s="95"/>
      <c r="W891" s="95"/>
      <c r="X891" s="95"/>
      <c r="Y891" s="95"/>
      <c r="Z891" s="95"/>
      <c r="AA891" s="95"/>
    </row>
    <row r="892">
      <c r="A892" s="95" t="s">
        <v>5116</v>
      </c>
      <c r="B892" s="95"/>
      <c r="C892" s="95"/>
      <c r="D892" s="95"/>
      <c r="E892" s="95"/>
      <c r="F892" s="95"/>
      <c r="G892" s="95"/>
      <c r="H892" s="95"/>
      <c r="I892" s="95"/>
      <c r="J892" s="95"/>
      <c r="K892" s="95"/>
      <c r="L892" s="95"/>
      <c r="M892" s="95"/>
      <c r="N892" s="95"/>
      <c r="O892" s="95"/>
      <c r="P892" s="95"/>
      <c r="Q892" s="95"/>
      <c r="R892" s="95"/>
      <c r="S892" s="95"/>
      <c r="T892" s="95"/>
      <c r="U892" s="95"/>
      <c r="V892" s="95"/>
      <c r="W892" s="95"/>
      <c r="X892" s="95"/>
      <c r="Y892" s="95"/>
      <c r="Z892" s="95"/>
      <c r="AA892" s="95"/>
    </row>
    <row r="893">
      <c r="A893" s="95" t="s">
        <v>5116</v>
      </c>
      <c r="B893" s="95"/>
      <c r="C893" s="95"/>
      <c r="D893" s="95"/>
      <c r="E893" s="95"/>
      <c r="F893" s="95"/>
      <c r="G893" s="95"/>
      <c r="H893" s="95"/>
      <c r="I893" s="95"/>
      <c r="J893" s="95"/>
      <c r="K893" s="95"/>
      <c r="L893" s="95"/>
      <c r="M893" s="95"/>
      <c r="N893" s="95"/>
      <c r="O893" s="95"/>
      <c r="P893" s="95"/>
      <c r="Q893" s="95"/>
      <c r="R893" s="95"/>
      <c r="S893" s="95"/>
      <c r="T893" s="95"/>
      <c r="U893" s="95"/>
      <c r="V893" s="95"/>
      <c r="W893" s="95"/>
      <c r="X893" s="95"/>
      <c r="Y893" s="95"/>
      <c r="Z893" s="95"/>
      <c r="AA893" s="95"/>
    </row>
    <row r="894">
      <c r="A894" s="95" t="s">
        <v>5116</v>
      </c>
      <c r="B894" s="95"/>
      <c r="C894" s="95"/>
      <c r="D894" s="95"/>
      <c r="E894" s="95"/>
      <c r="F894" s="95"/>
      <c r="G894" s="95"/>
      <c r="H894" s="95"/>
      <c r="I894" s="95"/>
      <c r="J894" s="95"/>
      <c r="K894" s="95"/>
      <c r="L894" s="95"/>
      <c r="M894" s="95"/>
      <c r="N894" s="95"/>
      <c r="O894" s="95"/>
      <c r="P894" s="95"/>
      <c r="Q894" s="95"/>
      <c r="R894" s="95"/>
      <c r="S894" s="95"/>
      <c r="T894" s="95"/>
      <c r="U894" s="95"/>
      <c r="V894" s="95"/>
      <c r="W894" s="95"/>
      <c r="X894" s="95"/>
      <c r="Y894" s="95"/>
      <c r="Z894" s="95"/>
      <c r="AA894" s="95"/>
    </row>
    <row r="895">
      <c r="A895" s="95" t="s">
        <v>5116</v>
      </c>
      <c r="B895" s="95"/>
      <c r="C895" s="95"/>
      <c r="D895" s="95"/>
      <c r="E895" s="95"/>
      <c r="F895" s="95"/>
      <c r="G895" s="95"/>
      <c r="H895" s="95"/>
      <c r="I895" s="95"/>
      <c r="J895" s="95"/>
      <c r="K895" s="95"/>
      <c r="L895" s="95"/>
      <c r="M895" s="95"/>
      <c r="N895" s="95"/>
      <c r="O895" s="95"/>
      <c r="P895" s="95"/>
      <c r="Q895" s="95"/>
      <c r="R895" s="95"/>
      <c r="S895" s="95"/>
      <c r="T895" s="95"/>
      <c r="U895" s="95"/>
      <c r="V895" s="95"/>
      <c r="W895" s="95"/>
      <c r="X895" s="95"/>
      <c r="Y895" s="95"/>
      <c r="Z895" s="95"/>
      <c r="AA895" s="95"/>
    </row>
    <row r="896">
      <c r="A896" s="95" t="s">
        <v>5116</v>
      </c>
      <c r="B896" s="95"/>
      <c r="C896" s="95"/>
      <c r="D896" s="95"/>
      <c r="E896" s="95"/>
      <c r="F896" s="95"/>
      <c r="G896" s="95"/>
      <c r="H896" s="95"/>
      <c r="I896" s="95"/>
      <c r="J896" s="95"/>
      <c r="K896" s="95"/>
      <c r="L896" s="95"/>
      <c r="M896" s="95"/>
      <c r="N896" s="95"/>
      <c r="O896" s="95"/>
      <c r="P896" s="95"/>
      <c r="Q896" s="95"/>
      <c r="R896" s="95"/>
      <c r="S896" s="95"/>
      <c r="T896" s="95"/>
      <c r="U896" s="95"/>
      <c r="V896" s="95"/>
      <c r="W896" s="95"/>
      <c r="X896" s="95"/>
      <c r="Y896" s="95"/>
      <c r="Z896" s="95"/>
      <c r="AA896" s="95"/>
    </row>
    <row r="897">
      <c r="A897" s="95" t="s">
        <v>5116</v>
      </c>
      <c r="B897" s="95"/>
      <c r="C897" s="95"/>
      <c r="D897" s="95"/>
      <c r="E897" s="95"/>
      <c r="F897" s="95"/>
      <c r="G897" s="95"/>
      <c r="H897" s="95"/>
      <c r="I897" s="95"/>
      <c r="J897" s="95"/>
      <c r="K897" s="95"/>
      <c r="L897" s="95"/>
      <c r="M897" s="95"/>
      <c r="N897" s="95"/>
      <c r="O897" s="95"/>
      <c r="P897" s="95"/>
      <c r="Q897" s="95"/>
      <c r="R897" s="95"/>
      <c r="S897" s="95"/>
      <c r="T897" s="95"/>
      <c r="U897" s="95"/>
      <c r="V897" s="95"/>
      <c r="W897" s="95"/>
      <c r="X897" s="95"/>
      <c r="Y897" s="95"/>
      <c r="Z897" s="95"/>
      <c r="AA897" s="95"/>
    </row>
    <row r="898">
      <c r="A898" s="95" t="s">
        <v>5116</v>
      </c>
      <c r="B898" s="95"/>
      <c r="C898" s="95"/>
      <c r="D898" s="95"/>
      <c r="E898" s="95"/>
      <c r="F898" s="95"/>
      <c r="G898" s="95"/>
      <c r="H898" s="95"/>
      <c r="I898" s="95"/>
      <c r="J898" s="95"/>
      <c r="K898" s="95"/>
      <c r="L898" s="95"/>
      <c r="M898" s="95"/>
      <c r="N898" s="95"/>
      <c r="O898" s="95"/>
      <c r="P898" s="95"/>
      <c r="Q898" s="95"/>
      <c r="R898" s="95"/>
      <c r="S898" s="95"/>
      <c r="T898" s="95"/>
      <c r="U898" s="95"/>
      <c r="V898" s="95"/>
      <c r="W898" s="95"/>
      <c r="X898" s="95"/>
      <c r="Y898" s="95"/>
      <c r="Z898" s="95"/>
      <c r="AA898" s="95"/>
    </row>
    <row r="899">
      <c r="A899" s="95" t="s">
        <v>5116</v>
      </c>
      <c r="B899" s="95"/>
      <c r="C899" s="95"/>
      <c r="D899" s="95"/>
      <c r="E899" s="95"/>
      <c r="F899" s="95"/>
      <c r="G899" s="95"/>
      <c r="H899" s="95"/>
      <c r="I899" s="95"/>
      <c r="J899" s="95"/>
      <c r="K899" s="95"/>
      <c r="L899" s="95"/>
      <c r="M899" s="95"/>
      <c r="N899" s="95"/>
      <c r="O899" s="95"/>
      <c r="P899" s="95"/>
      <c r="Q899" s="95"/>
      <c r="R899" s="95"/>
      <c r="S899" s="95"/>
      <c r="T899" s="95"/>
      <c r="U899" s="95"/>
      <c r="V899" s="95"/>
      <c r="W899" s="95"/>
      <c r="X899" s="95"/>
      <c r="Y899" s="95"/>
      <c r="Z899" s="95"/>
      <c r="AA899" s="95"/>
    </row>
    <row r="900">
      <c r="A900" s="95" t="s">
        <v>5116</v>
      </c>
      <c r="B900" s="95"/>
      <c r="C900" s="95"/>
      <c r="D900" s="95"/>
      <c r="E900" s="95"/>
      <c r="F900" s="95"/>
      <c r="G900" s="95"/>
      <c r="H900" s="95"/>
      <c r="I900" s="95"/>
      <c r="J900" s="95"/>
      <c r="K900" s="95"/>
      <c r="L900" s="95"/>
      <c r="M900" s="95"/>
      <c r="N900" s="95"/>
      <c r="O900" s="95"/>
      <c r="P900" s="95"/>
      <c r="Q900" s="95"/>
      <c r="R900" s="95"/>
      <c r="S900" s="95"/>
      <c r="T900" s="95"/>
      <c r="U900" s="95"/>
      <c r="V900" s="95"/>
      <c r="W900" s="95"/>
      <c r="X900" s="95"/>
      <c r="Y900" s="95"/>
      <c r="Z900" s="95"/>
      <c r="AA900" s="95"/>
    </row>
    <row r="901">
      <c r="A901" s="95" t="s">
        <v>5116</v>
      </c>
      <c r="B901" s="95"/>
      <c r="C901" s="95"/>
      <c r="D901" s="95"/>
      <c r="E901" s="95"/>
      <c r="F901" s="95"/>
      <c r="G901" s="95"/>
      <c r="H901" s="95"/>
      <c r="I901" s="95"/>
      <c r="J901" s="95"/>
      <c r="K901" s="95"/>
      <c r="L901" s="95"/>
      <c r="M901" s="95"/>
      <c r="N901" s="95"/>
      <c r="O901" s="95"/>
      <c r="P901" s="95"/>
      <c r="Q901" s="95"/>
      <c r="R901" s="95"/>
      <c r="S901" s="95"/>
      <c r="T901" s="95"/>
      <c r="U901" s="95"/>
      <c r="V901" s="95"/>
      <c r="W901" s="95"/>
      <c r="X901" s="95"/>
      <c r="Y901" s="95"/>
      <c r="Z901" s="95"/>
      <c r="AA901" s="95"/>
    </row>
    <row r="902">
      <c r="A902" s="95" t="s">
        <v>5116</v>
      </c>
      <c r="B902" s="95"/>
      <c r="C902" s="95"/>
      <c r="D902" s="95"/>
      <c r="E902" s="95"/>
      <c r="F902" s="95"/>
      <c r="G902" s="95"/>
      <c r="H902" s="95"/>
      <c r="I902" s="95"/>
      <c r="J902" s="95"/>
      <c r="K902" s="95"/>
      <c r="L902" s="95"/>
      <c r="M902" s="95"/>
      <c r="N902" s="95"/>
      <c r="O902" s="95"/>
      <c r="P902" s="95"/>
      <c r="Q902" s="95"/>
      <c r="R902" s="95"/>
      <c r="S902" s="95"/>
      <c r="T902" s="95"/>
      <c r="U902" s="95"/>
      <c r="V902" s="95"/>
      <c r="W902" s="95"/>
      <c r="X902" s="95"/>
      <c r="Y902" s="95"/>
      <c r="Z902" s="95"/>
      <c r="AA902" s="95"/>
    </row>
    <row r="903">
      <c r="A903" s="95" t="s">
        <v>5116</v>
      </c>
      <c r="B903" s="95"/>
      <c r="C903" s="95"/>
      <c r="D903" s="95"/>
      <c r="E903" s="95"/>
      <c r="F903" s="95"/>
      <c r="G903" s="95"/>
      <c r="H903" s="95"/>
      <c r="I903" s="95"/>
      <c r="J903" s="95"/>
      <c r="K903" s="95"/>
      <c r="L903" s="95"/>
      <c r="M903" s="95"/>
      <c r="N903" s="95"/>
      <c r="O903" s="95"/>
      <c r="P903" s="95"/>
      <c r="Q903" s="95"/>
      <c r="R903" s="95"/>
      <c r="S903" s="95"/>
      <c r="T903" s="95"/>
      <c r="U903" s="95"/>
      <c r="V903" s="95"/>
      <c r="W903" s="95"/>
      <c r="X903" s="95"/>
      <c r="Y903" s="95"/>
      <c r="Z903" s="95"/>
      <c r="AA903" s="95"/>
    </row>
    <row r="904">
      <c r="A904" s="95" t="s">
        <v>5116</v>
      </c>
      <c r="B904" s="95"/>
      <c r="C904" s="95"/>
      <c r="D904" s="95"/>
      <c r="E904" s="95"/>
      <c r="F904" s="95"/>
      <c r="G904" s="95"/>
      <c r="H904" s="95"/>
      <c r="I904" s="95"/>
      <c r="J904" s="95"/>
      <c r="K904" s="95"/>
      <c r="L904" s="95"/>
      <c r="M904" s="95"/>
      <c r="N904" s="95"/>
      <c r="O904" s="95"/>
      <c r="P904" s="95"/>
      <c r="Q904" s="95"/>
      <c r="R904" s="95"/>
      <c r="S904" s="95"/>
      <c r="T904" s="95"/>
      <c r="U904" s="95"/>
      <c r="V904" s="95"/>
      <c r="W904" s="95"/>
      <c r="X904" s="95"/>
      <c r="Y904" s="95"/>
      <c r="Z904" s="95"/>
      <c r="AA904" s="95"/>
    </row>
    <row r="905">
      <c r="A905" s="95" t="s">
        <v>5116</v>
      </c>
      <c r="B905" s="95"/>
      <c r="C905" s="95"/>
      <c r="D905" s="95"/>
      <c r="E905" s="95"/>
      <c r="F905" s="95"/>
      <c r="G905" s="95"/>
      <c r="H905" s="95"/>
      <c r="I905" s="95"/>
      <c r="J905" s="95"/>
      <c r="K905" s="95"/>
      <c r="L905" s="95"/>
      <c r="M905" s="95"/>
      <c r="N905" s="95"/>
      <c r="O905" s="95"/>
      <c r="P905" s="95"/>
      <c r="Q905" s="95"/>
      <c r="R905" s="95"/>
      <c r="S905" s="95"/>
      <c r="T905" s="95"/>
      <c r="U905" s="95"/>
      <c r="V905" s="95"/>
      <c r="W905" s="95"/>
      <c r="X905" s="95"/>
      <c r="Y905" s="95"/>
      <c r="Z905" s="95"/>
      <c r="AA905" s="95"/>
    </row>
    <row r="906">
      <c r="A906" s="95" t="s">
        <v>5116</v>
      </c>
      <c r="B906" s="95"/>
      <c r="C906" s="95"/>
      <c r="D906" s="95"/>
      <c r="E906" s="95"/>
      <c r="F906" s="95"/>
      <c r="G906" s="95"/>
      <c r="H906" s="95"/>
      <c r="I906" s="95"/>
      <c r="J906" s="95"/>
      <c r="K906" s="95"/>
      <c r="L906" s="95"/>
      <c r="M906" s="95"/>
      <c r="N906" s="95"/>
      <c r="O906" s="95"/>
      <c r="P906" s="95"/>
      <c r="Q906" s="95"/>
      <c r="R906" s="95"/>
      <c r="S906" s="95"/>
      <c r="T906" s="95"/>
      <c r="U906" s="95"/>
      <c r="V906" s="95"/>
      <c r="W906" s="95"/>
      <c r="X906" s="95"/>
      <c r="Y906" s="95"/>
      <c r="Z906" s="95"/>
      <c r="AA906" s="95"/>
    </row>
    <row r="907">
      <c r="A907" s="95" t="s">
        <v>5116</v>
      </c>
      <c r="B907" s="95"/>
      <c r="C907" s="95"/>
      <c r="D907" s="95"/>
      <c r="E907" s="95"/>
      <c r="F907" s="95"/>
      <c r="G907" s="95"/>
      <c r="H907" s="95"/>
      <c r="I907" s="95"/>
      <c r="J907" s="95"/>
      <c r="K907" s="95"/>
      <c r="L907" s="95"/>
      <c r="M907" s="95"/>
      <c r="N907" s="95"/>
      <c r="O907" s="95"/>
      <c r="P907" s="95"/>
      <c r="Q907" s="95"/>
      <c r="R907" s="95"/>
      <c r="S907" s="95"/>
      <c r="T907" s="95"/>
      <c r="U907" s="95"/>
      <c r="V907" s="95"/>
      <c r="W907" s="95"/>
      <c r="X907" s="95"/>
      <c r="Y907" s="95"/>
      <c r="Z907" s="95"/>
      <c r="AA907" s="95"/>
    </row>
    <row r="908">
      <c r="A908" s="95" t="s">
        <v>5116</v>
      </c>
      <c r="B908" s="95"/>
      <c r="C908" s="95"/>
      <c r="D908" s="95"/>
      <c r="E908" s="95"/>
      <c r="F908" s="95"/>
      <c r="G908" s="95"/>
      <c r="H908" s="95"/>
      <c r="I908" s="95"/>
      <c r="J908" s="95"/>
      <c r="K908" s="95"/>
      <c r="L908" s="95"/>
      <c r="M908" s="95"/>
      <c r="N908" s="95"/>
      <c r="O908" s="95"/>
      <c r="P908" s="95"/>
      <c r="Q908" s="95"/>
      <c r="R908" s="95"/>
      <c r="S908" s="95"/>
      <c r="T908" s="95"/>
      <c r="U908" s="95"/>
      <c r="V908" s="95"/>
      <c r="W908" s="95"/>
      <c r="X908" s="95"/>
      <c r="Y908" s="95"/>
      <c r="Z908" s="95"/>
      <c r="AA908" s="95"/>
    </row>
    <row r="909">
      <c r="A909" s="95" t="s">
        <v>5116</v>
      </c>
      <c r="B909" s="95"/>
      <c r="C909" s="95"/>
      <c r="D909" s="95"/>
      <c r="E909" s="95"/>
      <c r="F909" s="95"/>
      <c r="G909" s="95"/>
      <c r="H909" s="95"/>
      <c r="I909" s="95"/>
      <c r="J909" s="95"/>
      <c r="K909" s="95"/>
      <c r="L909" s="95"/>
      <c r="M909" s="95"/>
      <c r="N909" s="95"/>
      <c r="O909" s="95"/>
      <c r="P909" s="95"/>
      <c r="Q909" s="95"/>
      <c r="R909" s="95"/>
      <c r="S909" s="95"/>
      <c r="T909" s="95"/>
      <c r="U909" s="95"/>
      <c r="V909" s="95"/>
      <c r="W909" s="95"/>
      <c r="X909" s="95"/>
      <c r="Y909" s="95"/>
      <c r="Z909" s="95"/>
      <c r="AA909" s="95"/>
    </row>
    <row r="910">
      <c r="A910" s="95" t="s">
        <v>5116</v>
      </c>
      <c r="B910" s="95"/>
      <c r="C910" s="95"/>
      <c r="D910" s="95"/>
      <c r="E910" s="95"/>
      <c r="F910" s="95"/>
      <c r="G910" s="95"/>
      <c r="H910" s="95"/>
      <c r="I910" s="95"/>
      <c r="J910" s="95"/>
      <c r="K910" s="95"/>
      <c r="L910" s="95"/>
      <c r="M910" s="95"/>
      <c r="N910" s="95"/>
      <c r="O910" s="95"/>
      <c r="P910" s="95"/>
      <c r="Q910" s="95"/>
      <c r="R910" s="95"/>
      <c r="S910" s="95"/>
      <c r="T910" s="95"/>
      <c r="U910" s="95"/>
      <c r="V910" s="95"/>
      <c r="W910" s="95"/>
      <c r="X910" s="95"/>
      <c r="Y910" s="95"/>
      <c r="Z910" s="95"/>
      <c r="AA910" s="95"/>
    </row>
    <row r="911">
      <c r="A911" s="95" t="s">
        <v>5116</v>
      </c>
      <c r="B911" s="95"/>
      <c r="C911" s="95"/>
      <c r="D911" s="95"/>
      <c r="E911" s="95"/>
      <c r="F911" s="95"/>
      <c r="G911" s="95"/>
      <c r="H911" s="95"/>
      <c r="I911" s="95"/>
      <c r="J911" s="95"/>
      <c r="K911" s="95"/>
      <c r="L911" s="95"/>
      <c r="M911" s="95"/>
      <c r="N911" s="95"/>
      <c r="O911" s="95"/>
      <c r="P911" s="95"/>
      <c r="Q911" s="95"/>
      <c r="R911" s="95"/>
      <c r="S911" s="95"/>
      <c r="T911" s="95"/>
      <c r="U911" s="95"/>
      <c r="V911" s="95"/>
      <c r="W911" s="95"/>
      <c r="X911" s="95"/>
      <c r="Y911" s="95"/>
      <c r="Z911" s="95"/>
      <c r="AA911" s="95"/>
    </row>
    <row r="912">
      <c r="A912" s="95" t="s">
        <v>5116</v>
      </c>
      <c r="B912" s="95"/>
      <c r="C912" s="95"/>
      <c r="D912" s="95"/>
      <c r="E912" s="95"/>
      <c r="F912" s="95"/>
      <c r="G912" s="95"/>
      <c r="H912" s="95"/>
      <c r="I912" s="95"/>
      <c r="J912" s="95"/>
      <c r="K912" s="95"/>
      <c r="L912" s="95"/>
      <c r="M912" s="95"/>
      <c r="N912" s="95"/>
      <c r="O912" s="95"/>
      <c r="P912" s="95"/>
      <c r="Q912" s="95"/>
      <c r="R912" s="95"/>
      <c r="S912" s="95"/>
      <c r="T912" s="95"/>
      <c r="U912" s="95"/>
      <c r="V912" s="95"/>
      <c r="W912" s="95"/>
      <c r="X912" s="95"/>
      <c r="Y912" s="95"/>
      <c r="Z912" s="95"/>
      <c r="AA912" s="95"/>
    </row>
    <row r="913">
      <c r="A913" s="95" t="s">
        <v>5116</v>
      </c>
      <c r="B913" s="95"/>
      <c r="C913" s="95"/>
      <c r="D913" s="95"/>
      <c r="E913" s="95"/>
      <c r="F913" s="95"/>
      <c r="G913" s="95"/>
      <c r="H913" s="95"/>
      <c r="I913" s="95"/>
      <c r="J913" s="95"/>
      <c r="K913" s="95"/>
      <c r="L913" s="95"/>
      <c r="M913" s="95"/>
      <c r="N913" s="95"/>
      <c r="O913" s="95"/>
      <c r="P913" s="95"/>
      <c r="Q913" s="95"/>
      <c r="R913" s="95"/>
      <c r="S913" s="95"/>
      <c r="T913" s="95"/>
      <c r="U913" s="95"/>
      <c r="V913" s="95"/>
      <c r="W913" s="95"/>
      <c r="X913" s="95"/>
      <c r="Y913" s="95"/>
      <c r="Z913" s="95"/>
      <c r="AA913" s="95"/>
    </row>
    <row r="914">
      <c r="A914" s="95" t="s">
        <v>5116</v>
      </c>
      <c r="B914" s="95"/>
      <c r="C914" s="95"/>
      <c r="D914" s="95"/>
      <c r="E914" s="95"/>
      <c r="F914" s="95"/>
      <c r="G914" s="95"/>
      <c r="H914" s="95"/>
      <c r="I914" s="95"/>
      <c r="J914" s="95"/>
      <c r="K914" s="95"/>
      <c r="L914" s="95"/>
      <c r="M914" s="95"/>
      <c r="N914" s="95"/>
      <c r="O914" s="95"/>
      <c r="P914" s="95"/>
      <c r="Q914" s="95"/>
      <c r="R914" s="95"/>
      <c r="S914" s="95"/>
      <c r="T914" s="95"/>
      <c r="U914" s="95"/>
      <c r="V914" s="95"/>
      <c r="W914" s="95"/>
      <c r="X914" s="95"/>
      <c r="Y914" s="95"/>
      <c r="Z914" s="95"/>
      <c r="AA914" s="95"/>
    </row>
    <row r="915">
      <c r="A915" s="95" t="s">
        <v>5116</v>
      </c>
      <c r="B915" s="95"/>
      <c r="C915" s="95"/>
      <c r="D915" s="95"/>
      <c r="E915" s="95"/>
      <c r="F915" s="95"/>
      <c r="G915" s="95"/>
      <c r="H915" s="95"/>
      <c r="I915" s="95"/>
      <c r="J915" s="95"/>
      <c r="K915" s="95"/>
      <c r="L915" s="95"/>
      <c r="M915" s="95"/>
      <c r="N915" s="95"/>
      <c r="O915" s="95"/>
      <c r="P915" s="95"/>
      <c r="Q915" s="95"/>
      <c r="R915" s="95"/>
      <c r="S915" s="95"/>
      <c r="T915" s="95"/>
      <c r="U915" s="95"/>
      <c r="V915" s="95"/>
      <c r="W915" s="95"/>
      <c r="X915" s="95"/>
      <c r="Y915" s="95"/>
      <c r="Z915" s="95"/>
      <c r="AA915" s="95"/>
    </row>
    <row r="916">
      <c r="A916" s="95" t="s">
        <v>5116</v>
      </c>
      <c r="B916" s="95"/>
      <c r="C916" s="95"/>
      <c r="D916" s="95"/>
      <c r="E916" s="95"/>
      <c r="F916" s="95"/>
      <c r="G916" s="95"/>
      <c r="H916" s="95"/>
      <c r="I916" s="95"/>
      <c r="J916" s="95"/>
      <c r="K916" s="95"/>
      <c r="L916" s="95"/>
      <c r="M916" s="95"/>
      <c r="N916" s="95"/>
      <c r="O916" s="95"/>
      <c r="P916" s="95"/>
      <c r="Q916" s="95"/>
      <c r="R916" s="95"/>
      <c r="S916" s="95"/>
      <c r="T916" s="95"/>
      <c r="U916" s="95"/>
      <c r="V916" s="95"/>
      <c r="W916" s="95"/>
      <c r="X916" s="95"/>
      <c r="Y916" s="95"/>
      <c r="Z916" s="95"/>
      <c r="AA916" s="95"/>
    </row>
    <row r="917">
      <c r="A917" s="95" t="s">
        <v>5116</v>
      </c>
      <c r="B917" s="95"/>
      <c r="C917" s="95"/>
      <c r="D917" s="95"/>
      <c r="E917" s="95"/>
      <c r="F917" s="95"/>
      <c r="G917" s="95"/>
      <c r="H917" s="95"/>
      <c r="I917" s="95"/>
      <c r="J917" s="95"/>
      <c r="K917" s="95"/>
      <c r="L917" s="95"/>
      <c r="M917" s="95"/>
      <c r="N917" s="95"/>
      <c r="O917" s="95"/>
      <c r="P917" s="95"/>
      <c r="Q917" s="95"/>
      <c r="R917" s="95"/>
      <c r="S917" s="95"/>
      <c r="T917" s="95"/>
      <c r="U917" s="95"/>
      <c r="V917" s="95"/>
      <c r="W917" s="95"/>
      <c r="X917" s="95"/>
      <c r="Y917" s="95"/>
      <c r="Z917" s="95"/>
      <c r="AA917" s="95"/>
    </row>
    <row r="918">
      <c r="A918" s="95" t="s">
        <v>5116</v>
      </c>
      <c r="B918" s="95"/>
      <c r="C918" s="95"/>
      <c r="D918" s="95"/>
      <c r="E918" s="95"/>
      <c r="F918" s="95"/>
      <c r="G918" s="95"/>
      <c r="H918" s="95"/>
      <c r="I918" s="95"/>
      <c r="J918" s="95"/>
      <c r="K918" s="95"/>
      <c r="L918" s="95"/>
      <c r="M918" s="95"/>
      <c r="N918" s="95"/>
      <c r="O918" s="95"/>
      <c r="P918" s="95"/>
      <c r="Q918" s="95"/>
      <c r="R918" s="95"/>
      <c r="S918" s="95"/>
      <c r="T918" s="95"/>
      <c r="U918" s="95"/>
      <c r="V918" s="95"/>
      <c r="W918" s="95"/>
      <c r="X918" s="95"/>
      <c r="Y918" s="95"/>
      <c r="Z918" s="95"/>
      <c r="AA918" s="95"/>
    </row>
    <row r="919">
      <c r="A919" s="95" t="s">
        <v>5116</v>
      </c>
      <c r="B919" s="95"/>
      <c r="C919" s="95"/>
      <c r="D919" s="95"/>
      <c r="E919" s="95"/>
      <c r="F919" s="95"/>
      <c r="G919" s="95"/>
      <c r="H919" s="95"/>
      <c r="I919" s="95"/>
      <c r="J919" s="95"/>
      <c r="K919" s="95"/>
      <c r="L919" s="95"/>
      <c r="M919" s="95"/>
      <c r="N919" s="95"/>
      <c r="O919" s="95"/>
      <c r="P919" s="95"/>
      <c r="Q919" s="95"/>
      <c r="R919" s="95"/>
      <c r="S919" s="95"/>
      <c r="T919" s="95"/>
      <c r="U919" s="95"/>
      <c r="V919" s="95"/>
      <c r="W919" s="95"/>
      <c r="X919" s="95"/>
      <c r="Y919" s="95"/>
      <c r="Z919" s="95"/>
      <c r="AA919" s="95"/>
    </row>
    <row r="920">
      <c r="A920" s="95" t="s">
        <v>5116</v>
      </c>
      <c r="B920" s="95"/>
      <c r="C920" s="95"/>
      <c r="D920" s="95"/>
      <c r="E920" s="95"/>
      <c r="F920" s="95"/>
      <c r="G920" s="95"/>
      <c r="H920" s="95"/>
      <c r="I920" s="95"/>
      <c r="J920" s="95"/>
      <c r="K920" s="95"/>
      <c r="L920" s="95"/>
      <c r="M920" s="95"/>
      <c r="N920" s="95"/>
      <c r="O920" s="95"/>
      <c r="P920" s="95"/>
      <c r="Q920" s="95"/>
      <c r="R920" s="95"/>
      <c r="S920" s="95"/>
      <c r="T920" s="95"/>
      <c r="U920" s="95"/>
      <c r="V920" s="95"/>
      <c r="W920" s="95"/>
      <c r="X920" s="95"/>
      <c r="Y920" s="95"/>
      <c r="Z920" s="95"/>
      <c r="AA920" s="95"/>
    </row>
    <row r="921">
      <c r="A921" s="95" t="s">
        <v>5116</v>
      </c>
      <c r="B921" s="95"/>
      <c r="C921" s="95"/>
      <c r="D921" s="95"/>
      <c r="E921" s="95"/>
      <c r="F921" s="95"/>
      <c r="G921" s="95"/>
      <c r="H921" s="95"/>
      <c r="I921" s="95"/>
      <c r="J921" s="95"/>
      <c r="K921" s="95"/>
      <c r="L921" s="95"/>
      <c r="M921" s="95"/>
      <c r="N921" s="95"/>
      <c r="O921" s="95"/>
      <c r="P921" s="95"/>
      <c r="Q921" s="95"/>
      <c r="R921" s="95"/>
      <c r="S921" s="95"/>
      <c r="T921" s="95"/>
      <c r="U921" s="95"/>
      <c r="V921" s="95"/>
      <c r="W921" s="95"/>
      <c r="X921" s="95"/>
      <c r="Y921" s="95"/>
      <c r="Z921" s="95"/>
      <c r="AA921" s="95"/>
    </row>
    <row r="922">
      <c r="A922" s="95" t="s">
        <v>5116</v>
      </c>
      <c r="B922" s="95"/>
      <c r="C922" s="95"/>
      <c r="D922" s="95"/>
      <c r="E922" s="95"/>
      <c r="F922" s="95"/>
      <c r="G922" s="95"/>
      <c r="H922" s="95"/>
      <c r="I922" s="95"/>
      <c r="J922" s="95"/>
      <c r="K922" s="95"/>
      <c r="L922" s="95"/>
      <c r="M922" s="95"/>
      <c r="N922" s="95"/>
      <c r="O922" s="95"/>
      <c r="P922" s="95"/>
      <c r="Q922" s="95"/>
      <c r="R922" s="95"/>
      <c r="S922" s="95"/>
      <c r="T922" s="95"/>
      <c r="U922" s="95"/>
      <c r="V922" s="95"/>
      <c r="W922" s="95"/>
      <c r="X922" s="95"/>
      <c r="Y922" s="95"/>
      <c r="Z922" s="95"/>
      <c r="AA922" s="95"/>
    </row>
    <row r="923">
      <c r="A923" s="95" t="s">
        <v>5116</v>
      </c>
      <c r="B923" s="95"/>
      <c r="C923" s="95"/>
      <c r="D923" s="95"/>
      <c r="E923" s="95"/>
      <c r="F923" s="95"/>
      <c r="G923" s="95"/>
      <c r="H923" s="95"/>
      <c r="I923" s="95"/>
      <c r="J923" s="95"/>
      <c r="K923" s="95"/>
      <c r="L923" s="95"/>
      <c r="M923" s="95"/>
      <c r="N923" s="95"/>
      <c r="O923" s="95"/>
      <c r="P923" s="95"/>
      <c r="Q923" s="95"/>
      <c r="R923" s="95"/>
      <c r="S923" s="95"/>
      <c r="T923" s="95"/>
      <c r="U923" s="95"/>
      <c r="V923" s="95"/>
      <c r="W923" s="95"/>
      <c r="X923" s="95"/>
      <c r="Y923" s="95"/>
      <c r="Z923" s="95"/>
      <c r="AA923" s="95"/>
    </row>
    <row r="924">
      <c r="A924" s="95" t="s">
        <v>5116</v>
      </c>
      <c r="B924" s="95"/>
      <c r="C924" s="95"/>
      <c r="D924" s="95"/>
      <c r="E924" s="95"/>
      <c r="F924" s="95"/>
      <c r="G924" s="95"/>
      <c r="H924" s="95"/>
      <c r="I924" s="95"/>
      <c r="J924" s="95"/>
      <c r="K924" s="95"/>
      <c r="L924" s="95"/>
      <c r="M924" s="95"/>
      <c r="N924" s="95"/>
      <c r="O924" s="95"/>
      <c r="P924" s="95"/>
      <c r="Q924" s="95"/>
      <c r="R924" s="95"/>
      <c r="S924" s="95"/>
      <c r="T924" s="95"/>
      <c r="U924" s="95"/>
      <c r="V924" s="95"/>
      <c r="W924" s="95"/>
      <c r="X924" s="95"/>
      <c r="Y924" s="95"/>
      <c r="Z924" s="95"/>
      <c r="AA924" s="95"/>
    </row>
    <row r="925">
      <c r="A925" s="95" t="s">
        <v>5116</v>
      </c>
      <c r="B925" s="95"/>
      <c r="C925" s="95"/>
      <c r="D925" s="95"/>
      <c r="E925" s="95"/>
      <c r="F925" s="95"/>
      <c r="G925" s="95"/>
      <c r="H925" s="95"/>
      <c r="I925" s="95"/>
      <c r="J925" s="95"/>
      <c r="K925" s="95"/>
      <c r="L925" s="95"/>
      <c r="M925" s="95"/>
      <c r="N925" s="95"/>
      <c r="O925" s="95"/>
      <c r="P925" s="95"/>
      <c r="Q925" s="95"/>
      <c r="R925" s="95"/>
      <c r="S925" s="95"/>
      <c r="T925" s="95"/>
      <c r="U925" s="95"/>
      <c r="V925" s="95"/>
      <c r="W925" s="95"/>
      <c r="X925" s="95"/>
      <c r="Y925" s="95"/>
      <c r="Z925" s="95"/>
      <c r="AA925" s="95"/>
    </row>
    <row r="926">
      <c r="A926" s="95" t="s">
        <v>5116</v>
      </c>
      <c r="B926" s="95"/>
      <c r="C926" s="95"/>
      <c r="D926" s="95"/>
      <c r="E926" s="95"/>
      <c r="F926" s="95"/>
      <c r="G926" s="95"/>
      <c r="H926" s="95"/>
      <c r="I926" s="95"/>
      <c r="J926" s="95"/>
      <c r="K926" s="95"/>
      <c r="L926" s="95"/>
      <c r="M926" s="95"/>
      <c r="N926" s="95"/>
      <c r="O926" s="95"/>
      <c r="P926" s="95"/>
      <c r="Q926" s="95"/>
      <c r="R926" s="95"/>
      <c r="S926" s="95"/>
      <c r="T926" s="95"/>
      <c r="U926" s="95"/>
      <c r="V926" s="95"/>
      <c r="W926" s="95"/>
      <c r="X926" s="95"/>
      <c r="Y926" s="95"/>
      <c r="Z926" s="95"/>
      <c r="AA926" s="95"/>
    </row>
    <row r="927">
      <c r="A927" s="95" t="s">
        <v>5116</v>
      </c>
      <c r="B927" s="95"/>
      <c r="C927" s="95"/>
      <c r="D927" s="95"/>
      <c r="E927" s="95"/>
      <c r="F927" s="95"/>
      <c r="G927" s="95"/>
      <c r="H927" s="95"/>
      <c r="I927" s="95"/>
      <c r="J927" s="95"/>
      <c r="K927" s="95"/>
      <c r="L927" s="95"/>
      <c r="M927" s="95"/>
      <c r="N927" s="95"/>
      <c r="O927" s="95"/>
      <c r="P927" s="95"/>
      <c r="Q927" s="95"/>
      <c r="R927" s="95"/>
      <c r="S927" s="95"/>
      <c r="T927" s="95"/>
      <c r="U927" s="95"/>
      <c r="V927" s="95"/>
      <c r="W927" s="95"/>
      <c r="X927" s="95"/>
      <c r="Y927" s="95"/>
      <c r="Z927" s="95"/>
      <c r="AA927" s="95"/>
    </row>
    <row r="928">
      <c r="A928" s="95" t="s">
        <v>5116</v>
      </c>
      <c r="B928" s="95"/>
      <c r="C928" s="95"/>
      <c r="D928" s="95"/>
      <c r="E928" s="95"/>
      <c r="F928" s="95"/>
      <c r="G928" s="95"/>
      <c r="H928" s="95"/>
      <c r="I928" s="95"/>
      <c r="J928" s="95"/>
      <c r="K928" s="95"/>
      <c r="L928" s="95"/>
      <c r="M928" s="95"/>
      <c r="N928" s="95"/>
      <c r="O928" s="95"/>
      <c r="P928" s="95"/>
      <c r="Q928" s="95"/>
      <c r="R928" s="95"/>
      <c r="S928" s="95"/>
      <c r="T928" s="95"/>
      <c r="U928" s="95"/>
      <c r="V928" s="95"/>
      <c r="W928" s="95"/>
      <c r="X928" s="95"/>
      <c r="Y928" s="95"/>
      <c r="Z928" s="95"/>
      <c r="AA928" s="95"/>
    </row>
    <row r="929">
      <c r="A929" s="95" t="s">
        <v>5116</v>
      </c>
      <c r="B929" s="95"/>
      <c r="C929" s="95"/>
      <c r="D929" s="95"/>
      <c r="E929" s="95"/>
      <c r="F929" s="95"/>
      <c r="G929" s="95"/>
      <c r="H929" s="95"/>
      <c r="I929" s="95"/>
      <c r="J929" s="95"/>
      <c r="K929" s="95"/>
      <c r="L929" s="95"/>
      <c r="M929" s="95"/>
      <c r="N929" s="95"/>
      <c r="O929" s="95"/>
      <c r="P929" s="95"/>
      <c r="Q929" s="95"/>
      <c r="R929" s="95"/>
      <c r="S929" s="95"/>
      <c r="T929" s="95"/>
      <c r="U929" s="95"/>
      <c r="V929" s="95"/>
      <c r="W929" s="95"/>
      <c r="X929" s="95"/>
      <c r="Y929" s="95"/>
      <c r="Z929" s="95"/>
      <c r="AA929" s="95"/>
    </row>
    <row r="930">
      <c r="A930" s="95" t="s">
        <v>5116</v>
      </c>
      <c r="B930" s="95"/>
      <c r="C930" s="95"/>
      <c r="D930" s="95"/>
      <c r="E930" s="95"/>
      <c r="F930" s="95"/>
      <c r="G930" s="95"/>
      <c r="H930" s="95"/>
      <c r="I930" s="95"/>
      <c r="J930" s="95"/>
      <c r="K930" s="95"/>
      <c r="L930" s="95"/>
      <c r="M930" s="95"/>
      <c r="N930" s="95"/>
      <c r="O930" s="95"/>
      <c r="P930" s="95"/>
      <c r="Q930" s="95"/>
      <c r="R930" s="95"/>
      <c r="S930" s="95"/>
      <c r="T930" s="95"/>
      <c r="U930" s="95"/>
      <c r="V930" s="95"/>
      <c r="W930" s="95"/>
      <c r="X930" s="95"/>
      <c r="Y930" s="95"/>
      <c r="Z930" s="95"/>
      <c r="AA930" s="95"/>
    </row>
    <row r="931">
      <c r="A931" s="95" t="s">
        <v>5116</v>
      </c>
      <c r="B931" s="95"/>
      <c r="C931" s="95"/>
      <c r="D931" s="95"/>
      <c r="E931" s="95"/>
      <c r="F931" s="95"/>
      <c r="G931" s="95"/>
      <c r="H931" s="95"/>
      <c r="I931" s="95"/>
      <c r="J931" s="95"/>
      <c r="K931" s="95"/>
      <c r="L931" s="95"/>
      <c r="M931" s="95"/>
      <c r="N931" s="95"/>
      <c r="O931" s="95"/>
      <c r="P931" s="95"/>
      <c r="Q931" s="95"/>
      <c r="R931" s="95"/>
      <c r="S931" s="95"/>
      <c r="T931" s="95"/>
      <c r="U931" s="95"/>
      <c r="V931" s="95"/>
      <c r="W931" s="95"/>
      <c r="X931" s="95"/>
      <c r="Y931" s="95"/>
      <c r="Z931" s="95"/>
      <c r="AA931" s="95"/>
    </row>
    <row r="932">
      <c r="A932" s="95" t="s">
        <v>5116</v>
      </c>
      <c r="B932" s="95"/>
      <c r="C932" s="95"/>
      <c r="D932" s="95"/>
      <c r="E932" s="95"/>
      <c r="F932" s="95"/>
      <c r="G932" s="95"/>
      <c r="H932" s="95"/>
      <c r="I932" s="95"/>
      <c r="J932" s="95"/>
      <c r="K932" s="95"/>
      <c r="L932" s="95"/>
      <c r="M932" s="95"/>
      <c r="N932" s="95"/>
      <c r="O932" s="95"/>
      <c r="P932" s="95"/>
      <c r="Q932" s="95"/>
      <c r="R932" s="95"/>
      <c r="S932" s="95"/>
      <c r="T932" s="95"/>
      <c r="U932" s="95"/>
      <c r="V932" s="95"/>
      <c r="W932" s="95"/>
      <c r="X932" s="95"/>
      <c r="Y932" s="95"/>
      <c r="Z932" s="95"/>
      <c r="AA932" s="95"/>
    </row>
    <row r="933">
      <c r="A933" s="95" t="s">
        <v>5116</v>
      </c>
      <c r="B933" s="95"/>
      <c r="C933" s="95"/>
      <c r="D933" s="95"/>
      <c r="E933" s="95"/>
      <c r="F933" s="95"/>
      <c r="G933" s="95"/>
      <c r="H933" s="95"/>
      <c r="I933" s="95"/>
      <c r="J933" s="95"/>
      <c r="K933" s="95"/>
      <c r="L933" s="95"/>
      <c r="M933" s="95"/>
      <c r="N933" s="95"/>
      <c r="O933" s="95"/>
      <c r="P933" s="95"/>
      <c r="Q933" s="95"/>
      <c r="R933" s="95"/>
      <c r="S933" s="95"/>
      <c r="T933" s="95"/>
      <c r="U933" s="95"/>
      <c r="V933" s="95"/>
      <c r="W933" s="95"/>
      <c r="X933" s="95"/>
      <c r="Y933" s="95"/>
      <c r="Z933" s="95"/>
      <c r="AA933" s="95"/>
    </row>
    <row r="934">
      <c r="A934" s="95" t="s">
        <v>5116</v>
      </c>
      <c r="B934" s="95"/>
      <c r="C934" s="95"/>
      <c r="D934" s="95"/>
      <c r="E934" s="95"/>
      <c r="F934" s="95"/>
      <c r="G934" s="95"/>
      <c r="H934" s="95"/>
      <c r="I934" s="95"/>
      <c r="J934" s="95"/>
      <c r="K934" s="95"/>
      <c r="L934" s="95"/>
      <c r="M934" s="95"/>
      <c r="N934" s="95"/>
      <c r="O934" s="95"/>
      <c r="P934" s="95"/>
      <c r="Q934" s="95"/>
      <c r="R934" s="95"/>
      <c r="S934" s="95"/>
      <c r="T934" s="95"/>
      <c r="U934" s="95"/>
      <c r="V934" s="95"/>
      <c r="W934" s="95"/>
      <c r="X934" s="95"/>
      <c r="Y934" s="95"/>
      <c r="Z934" s="95"/>
      <c r="AA934" s="95"/>
    </row>
    <row r="935">
      <c r="A935" s="95" t="s">
        <v>5116</v>
      </c>
      <c r="B935" s="95"/>
      <c r="C935" s="95"/>
      <c r="D935" s="95"/>
      <c r="E935" s="95"/>
      <c r="F935" s="95"/>
      <c r="G935" s="95"/>
      <c r="H935" s="95"/>
      <c r="I935" s="95"/>
      <c r="J935" s="95"/>
      <c r="K935" s="95"/>
      <c r="L935" s="95"/>
      <c r="M935" s="95"/>
      <c r="N935" s="95"/>
      <c r="O935" s="95"/>
      <c r="P935" s="95"/>
      <c r="Q935" s="95"/>
      <c r="R935" s="95"/>
      <c r="S935" s="95"/>
      <c r="T935" s="95"/>
      <c r="U935" s="95"/>
      <c r="V935" s="95"/>
      <c r="W935" s="95"/>
      <c r="X935" s="95"/>
      <c r="Y935" s="95"/>
      <c r="Z935" s="95"/>
      <c r="AA935" s="95"/>
    </row>
    <row r="936">
      <c r="A936" s="95" t="s">
        <v>5116</v>
      </c>
      <c r="B936" s="95"/>
      <c r="C936" s="95"/>
      <c r="D936" s="95"/>
      <c r="E936" s="95"/>
      <c r="F936" s="95"/>
      <c r="G936" s="95"/>
      <c r="H936" s="95"/>
      <c r="I936" s="95"/>
      <c r="J936" s="95"/>
      <c r="K936" s="95"/>
      <c r="L936" s="95"/>
      <c r="M936" s="95"/>
      <c r="N936" s="95"/>
      <c r="O936" s="95"/>
      <c r="P936" s="95"/>
      <c r="Q936" s="95"/>
      <c r="R936" s="95"/>
      <c r="S936" s="95"/>
      <c r="T936" s="95"/>
      <c r="U936" s="95"/>
      <c r="V936" s="95"/>
      <c r="W936" s="95"/>
      <c r="X936" s="95"/>
      <c r="Y936" s="95"/>
      <c r="Z936" s="95"/>
      <c r="AA936" s="95"/>
    </row>
    <row r="937">
      <c r="A937" s="95" t="s">
        <v>5116</v>
      </c>
      <c r="B937" s="95"/>
      <c r="C937" s="95"/>
      <c r="D937" s="95"/>
      <c r="E937" s="95"/>
      <c r="F937" s="95"/>
      <c r="G937" s="95"/>
      <c r="H937" s="95"/>
      <c r="I937" s="95"/>
      <c r="J937" s="95"/>
      <c r="K937" s="95"/>
      <c r="L937" s="95"/>
      <c r="M937" s="95"/>
      <c r="N937" s="95"/>
      <c r="O937" s="95"/>
      <c r="P937" s="95"/>
      <c r="Q937" s="95"/>
      <c r="R937" s="95"/>
      <c r="S937" s="95"/>
      <c r="T937" s="95"/>
      <c r="U937" s="95"/>
      <c r="V937" s="95"/>
      <c r="W937" s="95"/>
      <c r="X937" s="95"/>
      <c r="Y937" s="95"/>
      <c r="Z937" s="95"/>
      <c r="AA937" s="95"/>
    </row>
    <row r="938">
      <c r="A938" s="95" t="s">
        <v>5116</v>
      </c>
      <c r="B938" s="95"/>
      <c r="C938" s="95"/>
      <c r="D938" s="95"/>
      <c r="E938" s="95"/>
      <c r="F938" s="95"/>
      <c r="G938" s="95"/>
      <c r="H938" s="95"/>
      <c r="I938" s="95"/>
      <c r="J938" s="95"/>
      <c r="K938" s="95"/>
      <c r="L938" s="95"/>
      <c r="M938" s="95"/>
      <c r="N938" s="95"/>
      <c r="O938" s="95"/>
      <c r="P938" s="95"/>
      <c r="Q938" s="95"/>
      <c r="R938" s="95"/>
      <c r="S938" s="95"/>
      <c r="T938" s="95"/>
      <c r="U938" s="95"/>
      <c r="V938" s="95"/>
      <c r="W938" s="95"/>
      <c r="X938" s="95"/>
      <c r="Y938" s="95"/>
      <c r="Z938" s="95"/>
      <c r="AA938" s="95"/>
    </row>
    <row r="939">
      <c r="A939" s="95" t="s">
        <v>5116</v>
      </c>
      <c r="B939" s="95"/>
      <c r="C939" s="95"/>
      <c r="D939" s="95"/>
      <c r="E939" s="95"/>
      <c r="F939" s="95"/>
      <c r="G939" s="95"/>
      <c r="H939" s="95"/>
      <c r="I939" s="95"/>
      <c r="J939" s="95"/>
      <c r="K939" s="95"/>
      <c r="L939" s="95"/>
      <c r="M939" s="95"/>
      <c r="N939" s="95"/>
      <c r="O939" s="95"/>
      <c r="P939" s="95"/>
      <c r="Q939" s="95"/>
      <c r="R939" s="95"/>
      <c r="S939" s="95"/>
      <c r="T939" s="95"/>
      <c r="U939" s="95"/>
      <c r="V939" s="95"/>
      <c r="W939" s="95"/>
      <c r="X939" s="95"/>
      <c r="Y939" s="95"/>
      <c r="Z939" s="95"/>
      <c r="AA939" s="95"/>
    </row>
    <row r="940">
      <c r="A940" s="95" t="s">
        <v>5116</v>
      </c>
      <c r="B940" s="95"/>
      <c r="C940" s="95"/>
      <c r="D940" s="95"/>
      <c r="E940" s="95"/>
      <c r="F940" s="95"/>
      <c r="G940" s="95"/>
      <c r="H940" s="95"/>
      <c r="I940" s="95"/>
      <c r="J940" s="95"/>
      <c r="K940" s="95"/>
      <c r="L940" s="95"/>
      <c r="M940" s="95"/>
      <c r="N940" s="95"/>
      <c r="O940" s="95"/>
      <c r="P940" s="95"/>
      <c r="Q940" s="95"/>
      <c r="R940" s="95"/>
      <c r="S940" s="95"/>
      <c r="T940" s="95"/>
      <c r="U940" s="95"/>
      <c r="V940" s="95"/>
      <c r="W940" s="95"/>
      <c r="X940" s="95"/>
      <c r="Y940" s="95"/>
      <c r="Z940" s="95"/>
      <c r="AA940" s="95"/>
    </row>
    <row r="941">
      <c r="A941" s="95" t="s">
        <v>5116</v>
      </c>
      <c r="B941" s="95"/>
      <c r="C941" s="95"/>
      <c r="D941" s="95"/>
      <c r="E941" s="95"/>
      <c r="F941" s="95"/>
      <c r="G941" s="95"/>
      <c r="H941" s="95"/>
      <c r="I941" s="95"/>
      <c r="J941" s="95"/>
      <c r="K941" s="95"/>
      <c r="L941" s="95"/>
      <c r="M941" s="95"/>
      <c r="N941" s="95"/>
      <c r="O941" s="95"/>
      <c r="P941" s="95"/>
      <c r="Q941" s="95"/>
      <c r="R941" s="95"/>
      <c r="S941" s="95"/>
      <c r="T941" s="95"/>
      <c r="U941" s="95"/>
      <c r="V941" s="95"/>
      <c r="W941" s="95"/>
      <c r="X941" s="95"/>
      <c r="Y941" s="95"/>
      <c r="Z941" s="95"/>
      <c r="AA941" s="95"/>
    </row>
    <row r="942">
      <c r="A942" s="95" t="s">
        <v>5116</v>
      </c>
      <c r="B942" s="95"/>
      <c r="C942" s="95"/>
      <c r="D942" s="95"/>
      <c r="E942" s="95"/>
      <c r="F942" s="95"/>
      <c r="G942" s="95"/>
      <c r="H942" s="95"/>
      <c r="I942" s="95"/>
      <c r="J942" s="95"/>
      <c r="K942" s="95"/>
      <c r="L942" s="95"/>
      <c r="M942" s="95"/>
      <c r="N942" s="95"/>
      <c r="O942" s="95"/>
      <c r="P942" s="95"/>
      <c r="Q942" s="95"/>
      <c r="R942" s="95"/>
      <c r="S942" s="95"/>
      <c r="T942" s="95"/>
      <c r="U942" s="95"/>
      <c r="V942" s="95"/>
      <c r="W942" s="95"/>
      <c r="X942" s="95"/>
      <c r="Y942" s="95"/>
      <c r="Z942" s="95"/>
      <c r="AA942" s="95"/>
    </row>
    <row r="943">
      <c r="A943" s="95" t="s">
        <v>5116</v>
      </c>
      <c r="B943" s="95"/>
      <c r="C943" s="95"/>
      <c r="D943" s="95"/>
      <c r="E943" s="95"/>
      <c r="F943" s="95"/>
      <c r="G943" s="95"/>
      <c r="H943" s="95"/>
      <c r="I943" s="95"/>
      <c r="J943" s="95"/>
      <c r="K943" s="95"/>
      <c r="L943" s="95"/>
      <c r="M943" s="95"/>
      <c r="N943" s="95"/>
      <c r="O943" s="95"/>
      <c r="P943" s="95"/>
      <c r="Q943" s="95"/>
      <c r="R943" s="95"/>
      <c r="S943" s="95"/>
      <c r="T943" s="95"/>
      <c r="U943" s="95"/>
      <c r="V943" s="95"/>
      <c r="W943" s="95"/>
      <c r="X943" s="95"/>
      <c r="Y943" s="95"/>
      <c r="Z943" s="95"/>
      <c r="AA943" s="95"/>
    </row>
    <row r="944">
      <c r="A944" s="95" t="s">
        <v>5116</v>
      </c>
      <c r="B944" s="95"/>
      <c r="C944" s="95"/>
      <c r="D944" s="95"/>
      <c r="E944" s="95"/>
      <c r="F944" s="95"/>
      <c r="G944" s="95"/>
      <c r="H944" s="95"/>
      <c r="I944" s="95"/>
      <c r="J944" s="95"/>
      <c r="K944" s="95"/>
      <c r="L944" s="95"/>
      <c r="M944" s="95"/>
      <c r="N944" s="95"/>
      <c r="O944" s="95"/>
      <c r="P944" s="95"/>
      <c r="Q944" s="95"/>
      <c r="R944" s="95"/>
      <c r="S944" s="95"/>
      <c r="T944" s="95"/>
      <c r="U944" s="95"/>
      <c r="V944" s="95"/>
      <c r="W944" s="95"/>
      <c r="X944" s="95"/>
      <c r="Y944" s="95"/>
      <c r="Z944" s="95"/>
      <c r="AA944" s="95"/>
    </row>
    <row r="945">
      <c r="A945" s="95" t="s">
        <v>5116</v>
      </c>
      <c r="B945" s="95"/>
      <c r="C945" s="95"/>
      <c r="D945" s="95"/>
      <c r="E945" s="95"/>
      <c r="F945" s="95"/>
      <c r="G945" s="95"/>
      <c r="H945" s="95"/>
      <c r="I945" s="95"/>
      <c r="J945" s="95"/>
      <c r="K945" s="95"/>
      <c r="L945" s="95"/>
      <c r="M945" s="95"/>
      <c r="N945" s="95"/>
      <c r="O945" s="95"/>
      <c r="P945" s="95"/>
      <c r="Q945" s="95"/>
      <c r="R945" s="95"/>
      <c r="S945" s="95"/>
      <c r="T945" s="95"/>
      <c r="U945" s="95"/>
      <c r="V945" s="95"/>
      <c r="W945" s="95"/>
      <c r="X945" s="95"/>
      <c r="Y945" s="95"/>
      <c r="Z945" s="95"/>
      <c r="AA945" s="95"/>
    </row>
    <row r="946">
      <c r="A946" s="95" t="s">
        <v>5116</v>
      </c>
      <c r="B946" s="95"/>
      <c r="C946" s="95"/>
      <c r="D946" s="95"/>
      <c r="E946" s="95"/>
      <c r="F946" s="95"/>
      <c r="G946" s="95"/>
      <c r="H946" s="95"/>
      <c r="I946" s="95"/>
      <c r="J946" s="95"/>
      <c r="K946" s="95"/>
      <c r="L946" s="95"/>
      <c r="M946" s="95"/>
      <c r="N946" s="95"/>
      <c r="O946" s="95"/>
      <c r="P946" s="95"/>
      <c r="Q946" s="95"/>
      <c r="R946" s="95"/>
      <c r="S946" s="95"/>
      <c r="T946" s="95"/>
      <c r="U946" s="95"/>
      <c r="V946" s="95"/>
      <c r="W946" s="95"/>
      <c r="X946" s="95"/>
      <c r="Y946" s="95"/>
      <c r="Z946" s="95"/>
      <c r="AA946" s="95"/>
    </row>
    <row r="947">
      <c r="A947" s="95" t="s">
        <v>5116</v>
      </c>
      <c r="B947" s="95"/>
      <c r="C947" s="95"/>
      <c r="D947" s="95"/>
      <c r="E947" s="95"/>
      <c r="F947" s="95"/>
      <c r="G947" s="95"/>
      <c r="H947" s="95"/>
      <c r="I947" s="95"/>
      <c r="J947" s="95"/>
      <c r="K947" s="95"/>
      <c r="L947" s="95"/>
      <c r="M947" s="95"/>
      <c r="N947" s="95"/>
      <c r="O947" s="95"/>
      <c r="P947" s="95"/>
      <c r="Q947" s="95"/>
      <c r="R947" s="95"/>
      <c r="S947" s="95"/>
      <c r="T947" s="95"/>
      <c r="U947" s="95"/>
      <c r="V947" s="95"/>
      <c r="W947" s="95"/>
      <c r="X947" s="95"/>
      <c r="Y947" s="95"/>
      <c r="Z947" s="95"/>
      <c r="AA947" s="95"/>
    </row>
    <row r="948">
      <c r="A948" s="95" t="s">
        <v>5116</v>
      </c>
      <c r="B948" s="95"/>
      <c r="C948" s="95"/>
      <c r="D948" s="95"/>
      <c r="E948" s="95"/>
      <c r="F948" s="95"/>
      <c r="G948" s="95"/>
      <c r="H948" s="95"/>
      <c r="I948" s="95"/>
      <c r="J948" s="95"/>
      <c r="K948" s="95"/>
      <c r="L948" s="95"/>
      <c r="M948" s="95"/>
      <c r="N948" s="95"/>
      <c r="O948" s="95"/>
      <c r="P948" s="95"/>
      <c r="Q948" s="95"/>
      <c r="R948" s="95"/>
      <c r="S948" s="95"/>
      <c r="T948" s="95"/>
      <c r="U948" s="95"/>
      <c r="V948" s="95"/>
      <c r="W948" s="95"/>
      <c r="X948" s="95"/>
      <c r="Y948" s="95"/>
      <c r="Z948" s="95"/>
      <c r="AA948" s="95"/>
    </row>
    <row r="949">
      <c r="A949" s="95" t="s">
        <v>5116</v>
      </c>
      <c r="B949" s="95"/>
      <c r="C949" s="95"/>
      <c r="D949" s="95"/>
      <c r="E949" s="95"/>
      <c r="F949" s="95"/>
      <c r="G949" s="95"/>
      <c r="H949" s="95"/>
      <c r="I949" s="95"/>
      <c r="J949" s="95"/>
      <c r="K949" s="95"/>
      <c r="L949" s="95"/>
      <c r="M949" s="95"/>
      <c r="N949" s="95"/>
      <c r="O949" s="95"/>
      <c r="P949" s="95"/>
      <c r="Q949" s="95"/>
      <c r="R949" s="95"/>
      <c r="S949" s="95"/>
      <c r="T949" s="95"/>
      <c r="U949" s="95"/>
      <c r="V949" s="95"/>
      <c r="W949" s="95"/>
      <c r="X949" s="95"/>
      <c r="Y949" s="95"/>
      <c r="Z949" s="95"/>
      <c r="AA949" s="95"/>
    </row>
    <row r="950">
      <c r="A950" s="95" t="s">
        <v>5116</v>
      </c>
      <c r="B950" s="95"/>
      <c r="C950" s="95"/>
      <c r="D950" s="95"/>
      <c r="E950" s="95"/>
      <c r="F950" s="95"/>
      <c r="G950" s="95"/>
      <c r="H950" s="95"/>
      <c r="I950" s="95"/>
      <c r="J950" s="95"/>
      <c r="K950" s="95"/>
      <c r="L950" s="95"/>
      <c r="M950" s="95"/>
      <c r="N950" s="95"/>
      <c r="O950" s="95"/>
      <c r="P950" s="95"/>
      <c r="Q950" s="95"/>
      <c r="R950" s="95"/>
      <c r="S950" s="95"/>
      <c r="T950" s="95"/>
      <c r="U950" s="95"/>
      <c r="V950" s="95"/>
      <c r="W950" s="95"/>
      <c r="X950" s="95"/>
      <c r="Y950" s="95"/>
      <c r="Z950" s="95"/>
      <c r="AA950" s="95"/>
    </row>
    <row r="951">
      <c r="A951" s="95" t="s">
        <v>5116</v>
      </c>
      <c r="B951" s="95"/>
      <c r="C951" s="95"/>
      <c r="D951" s="95"/>
      <c r="E951" s="95"/>
      <c r="F951" s="95"/>
      <c r="G951" s="95"/>
      <c r="H951" s="95"/>
      <c r="I951" s="95"/>
      <c r="J951" s="95"/>
      <c r="K951" s="95"/>
      <c r="L951" s="95"/>
      <c r="M951" s="95"/>
      <c r="N951" s="95"/>
      <c r="O951" s="95"/>
      <c r="P951" s="95"/>
      <c r="Q951" s="95"/>
      <c r="R951" s="95"/>
      <c r="S951" s="95"/>
      <c r="T951" s="95"/>
      <c r="U951" s="95"/>
      <c r="V951" s="95"/>
      <c r="W951" s="95"/>
      <c r="X951" s="95"/>
      <c r="Y951" s="95"/>
      <c r="Z951" s="95"/>
      <c r="AA951" s="95"/>
    </row>
    <row r="952">
      <c r="A952" s="95" t="s">
        <v>5116</v>
      </c>
      <c r="B952" s="95"/>
      <c r="C952" s="95"/>
      <c r="D952" s="95"/>
      <c r="E952" s="95"/>
      <c r="F952" s="95"/>
      <c r="G952" s="95"/>
      <c r="H952" s="95"/>
      <c r="I952" s="95"/>
      <c r="J952" s="95"/>
      <c r="K952" s="95"/>
      <c r="L952" s="95"/>
      <c r="M952" s="95"/>
      <c r="N952" s="95"/>
      <c r="O952" s="95"/>
      <c r="P952" s="95"/>
      <c r="Q952" s="95"/>
      <c r="R952" s="95"/>
      <c r="S952" s="95"/>
      <c r="T952" s="95"/>
      <c r="U952" s="95"/>
      <c r="V952" s="95"/>
      <c r="W952" s="95"/>
      <c r="X952" s="95"/>
      <c r="Y952" s="95"/>
      <c r="Z952" s="95"/>
      <c r="AA952" s="95"/>
    </row>
    <row r="953">
      <c r="A953" s="95" t="s">
        <v>5116</v>
      </c>
      <c r="B953" s="95"/>
      <c r="C953" s="95"/>
      <c r="D953" s="95"/>
      <c r="E953" s="95"/>
      <c r="F953" s="95"/>
      <c r="G953" s="95"/>
      <c r="H953" s="95"/>
      <c r="I953" s="95"/>
      <c r="J953" s="95"/>
      <c r="K953" s="95"/>
      <c r="L953" s="95"/>
      <c r="M953" s="95"/>
      <c r="N953" s="95"/>
      <c r="O953" s="95"/>
      <c r="P953" s="95"/>
      <c r="Q953" s="95"/>
      <c r="R953" s="95"/>
      <c r="S953" s="95"/>
      <c r="T953" s="95"/>
      <c r="U953" s="95"/>
      <c r="V953" s="95"/>
      <c r="W953" s="95"/>
      <c r="X953" s="95"/>
      <c r="Y953" s="95"/>
      <c r="Z953" s="95"/>
      <c r="AA953" s="95"/>
    </row>
    <row r="954">
      <c r="A954" s="95" t="s">
        <v>5116</v>
      </c>
      <c r="B954" s="95"/>
      <c r="C954" s="95"/>
      <c r="D954" s="95"/>
      <c r="E954" s="95"/>
      <c r="F954" s="95"/>
      <c r="G954" s="95"/>
      <c r="H954" s="95"/>
      <c r="I954" s="95"/>
      <c r="J954" s="95"/>
      <c r="K954" s="95"/>
      <c r="L954" s="95"/>
      <c r="M954" s="95"/>
      <c r="N954" s="95"/>
      <c r="O954" s="95"/>
      <c r="P954" s="95"/>
      <c r="Q954" s="95"/>
      <c r="R954" s="95"/>
      <c r="S954" s="95"/>
      <c r="T954" s="95"/>
      <c r="U954" s="95"/>
      <c r="V954" s="95"/>
      <c r="W954" s="95"/>
      <c r="X954" s="95"/>
      <c r="Y954" s="95"/>
      <c r="Z954" s="95"/>
      <c r="AA954" s="95"/>
    </row>
    <row r="955">
      <c r="A955" s="95" t="s">
        <v>5116</v>
      </c>
      <c r="B955" s="95"/>
      <c r="C955" s="95"/>
      <c r="D955" s="95"/>
      <c r="E955" s="95"/>
      <c r="F955" s="95"/>
      <c r="G955" s="95"/>
      <c r="H955" s="95"/>
      <c r="I955" s="95"/>
      <c r="J955" s="95"/>
      <c r="K955" s="95"/>
      <c r="L955" s="95"/>
      <c r="M955" s="95"/>
      <c r="N955" s="95"/>
      <c r="O955" s="95"/>
      <c r="P955" s="95"/>
      <c r="Q955" s="95"/>
      <c r="R955" s="95"/>
      <c r="S955" s="95"/>
      <c r="T955" s="95"/>
      <c r="U955" s="95"/>
      <c r="V955" s="95"/>
      <c r="W955" s="95"/>
      <c r="X955" s="95"/>
      <c r="Y955" s="95"/>
      <c r="Z955" s="95"/>
      <c r="AA955" s="95"/>
    </row>
    <row r="956">
      <c r="A956" s="95" t="s">
        <v>5116</v>
      </c>
      <c r="B956" s="95"/>
      <c r="C956" s="95"/>
      <c r="D956" s="95"/>
      <c r="E956" s="95"/>
      <c r="F956" s="95"/>
      <c r="G956" s="95"/>
      <c r="H956" s="95"/>
      <c r="I956" s="95"/>
      <c r="J956" s="95"/>
      <c r="K956" s="95"/>
      <c r="L956" s="95"/>
      <c r="M956" s="95"/>
      <c r="N956" s="95"/>
      <c r="O956" s="95"/>
      <c r="P956" s="95"/>
      <c r="Q956" s="95"/>
      <c r="R956" s="95"/>
      <c r="S956" s="95"/>
      <c r="T956" s="95"/>
      <c r="U956" s="95"/>
      <c r="V956" s="95"/>
      <c r="W956" s="95"/>
      <c r="X956" s="95"/>
      <c r="Y956" s="95"/>
      <c r="Z956" s="95"/>
      <c r="AA956" s="95"/>
    </row>
    <row r="957">
      <c r="A957" s="95" t="s">
        <v>5116</v>
      </c>
      <c r="B957" s="95"/>
      <c r="C957" s="95"/>
      <c r="D957" s="95"/>
      <c r="E957" s="95"/>
      <c r="F957" s="95"/>
      <c r="G957" s="95"/>
      <c r="H957" s="95"/>
      <c r="I957" s="95"/>
      <c r="J957" s="95"/>
      <c r="K957" s="95"/>
      <c r="L957" s="95"/>
      <c r="M957" s="95"/>
      <c r="N957" s="95"/>
      <c r="O957" s="95"/>
      <c r="P957" s="95"/>
      <c r="Q957" s="95"/>
      <c r="R957" s="95"/>
      <c r="S957" s="95"/>
      <c r="T957" s="95"/>
      <c r="U957" s="95"/>
      <c r="V957" s="95"/>
      <c r="W957" s="95"/>
      <c r="X957" s="95"/>
      <c r="Y957" s="95"/>
      <c r="Z957" s="95"/>
      <c r="AA957" s="95"/>
    </row>
    <row r="958">
      <c r="A958" s="95" t="s">
        <v>5116</v>
      </c>
      <c r="B958" s="95"/>
      <c r="C958" s="95"/>
      <c r="D958" s="95"/>
      <c r="E958" s="95"/>
      <c r="F958" s="95"/>
      <c r="G958" s="95"/>
      <c r="H958" s="95"/>
      <c r="I958" s="95"/>
      <c r="J958" s="95"/>
      <c r="K958" s="95"/>
      <c r="L958" s="95"/>
      <c r="M958" s="95"/>
      <c r="N958" s="95"/>
      <c r="O958" s="95"/>
      <c r="P958" s="95"/>
      <c r="Q958" s="95"/>
      <c r="R958" s="95"/>
      <c r="S958" s="95"/>
      <c r="T958" s="95"/>
      <c r="U958" s="95"/>
      <c r="V958" s="95"/>
      <c r="W958" s="95"/>
      <c r="X958" s="95"/>
      <c r="Y958" s="95"/>
      <c r="Z958" s="95"/>
      <c r="AA958" s="95"/>
    </row>
    <row r="959">
      <c r="A959" s="95" t="s">
        <v>5116</v>
      </c>
      <c r="B959" s="95"/>
      <c r="C959" s="95"/>
      <c r="D959" s="95"/>
      <c r="E959" s="95"/>
      <c r="F959" s="95"/>
      <c r="G959" s="95"/>
      <c r="H959" s="95"/>
      <c r="I959" s="95"/>
      <c r="J959" s="95"/>
      <c r="K959" s="95"/>
      <c r="L959" s="95"/>
      <c r="M959" s="95"/>
      <c r="N959" s="95"/>
      <c r="O959" s="95"/>
      <c r="P959" s="95"/>
      <c r="Q959" s="95"/>
      <c r="R959" s="95"/>
      <c r="S959" s="95"/>
      <c r="T959" s="95"/>
      <c r="U959" s="95"/>
      <c r="V959" s="95"/>
      <c r="W959" s="95"/>
      <c r="X959" s="95"/>
      <c r="Y959" s="95"/>
      <c r="Z959" s="95"/>
      <c r="AA959" s="95"/>
    </row>
    <row r="960">
      <c r="A960" s="95" t="s">
        <v>5116</v>
      </c>
      <c r="B960" s="95"/>
      <c r="C960" s="95"/>
      <c r="D960" s="95"/>
      <c r="E960" s="95"/>
      <c r="F960" s="95"/>
      <c r="G960" s="95"/>
      <c r="H960" s="95"/>
      <c r="I960" s="95"/>
      <c r="J960" s="95"/>
      <c r="K960" s="95"/>
      <c r="L960" s="95"/>
      <c r="M960" s="95"/>
      <c r="N960" s="95"/>
      <c r="O960" s="95"/>
      <c r="P960" s="95"/>
      <c r="Q960" s="95"/>
      <c r="R960" s="95"/>
      <c r="S960" s="95"/>
      <c r="T960" s="95"/>
      <c r="U960" s="95"/>
      <c r="V960" s="95"/>
      <c r="W960" s="95"/>
      <c r="X960" s="95"/>
      <c r="Y960" s="95"/>
      <c r="Z960" s="95"/>
      <c r="AA960" s="95"/>
    </row>
    <row r="961">
      <c r="A961" s="95" t="s">
        <v>5116</v>
      </c>
      <c r="B961" s="95"/>
      <c r="C961" s="95"/>
      <c r="D961" s="95"/>
      <c r="E961" s="95"/>
      <c r="F961" s="95"/>
      <c r="G961" s="95"/>
      <c r="H961" s="95"/>
      <c r="I961" s="95"/>
      <c r="J961" s="95"/>
      <c r="K961" s="95"/>
      <c r="L961" s="95"/>
      <c r="M961" s="95"/>
      <c r="N961" s="95"/>
      <c r="O961" s="95"/>
      <c r="P961" s="95"/>
      <c r="Q961" s="95"/>
      <c r="R961" s="95"/>
      <c r="S961" s="95"/>
      <c r="T961" s="95"/>
      <c r="U961" s="95"/>
      <c r="V961" s="95"/>
      <c r="W961" s="95"/>
      <c r="X961" s="95"/>
      <c r="Y961" s="95"/>
      <c r="Z961" s="95"/>
      <c r="AA961" s="95"/>
    </row>
    <row r="962">
      <c r="A962" s="95" t="s">
        <v>5116</v>
      </c>
      <c r="B962" s="95"/>
      <c r="C962" s="95"/>
      <c r="D962" s="95"/>
      <c r="E962" s="95"/>
      <c r="F962" s="95"/>
      <c r="G962" s="95"/>
      <c r="H962" s="95"/>
      <c r="I962" s="95"/>
      <c r="J962" s="95"/>
      <c r="K962" s="95"/>
      <c r="L962" s="95"/>
      <c r="M962" s="95"/>
      <c r="N962" s="95"/>
      <c r="O962" s="95"/>
      <c r="P962" s="95"/>
      <c r="Q962" s="95"/>
      <c r="R962" s="95"/>
      <c r="S962" s="95"/>
      <c r="T962" s="95"/>
      <c r="U962" s="95"/>
      <c r="V962" s="95"/>
      <c r="W962" s="95"/>
      <c r="X962" s="95"/>
      <c r="Y962" s="95"/>
      <c r="Z962" s="95"/>
      <c r="AA962" s="95"/>
    </row>
    <row r="963">
      <c r="A963" s="95" t="s">
        <v>5116</v>
      </c>
      <c r="B963" s="95"/>
      <c r="C963" s="95"/>
      <c r="D963" s="95"/>
      <c r="E963" s="95"/>
      <c r="F963" s="95"/>
      <c r="G963" s="95"/>
      <c r="H963" s="95"/>
      <c r="I963" s="95"/>
      <c r="J963" s="95"/>
      <c r="K963" s="95"/>
      <c r="L963" s="95"/>
      <c r="M963" s="95"/>
      <c r="N963" s="95"/>
      <c r="O963" s="95"/>
      <c r="P963" s="95"/>
      <c r="Q963" s="95"/>
      <c r="R963" s="95"/>
      <c r="S963" s="95"/>
      <c r="T963" s="95"/>
      <c r="U963" s="95"/>
      <c r="V963" s="95"/>
      <c r="W963" s="95"/>
      <c r="X963" s="95"/>
      <c r="Y963" s="95"/>
      <c r="Z963" s="95"/>
      <c r="AA963" s="95"/>
    </row>
    <row r="964">
      <c r="A964" s="95" t="s">
        <v>5116</v>
      </c>
      <c r="B964" s="95"/>
      <c r="C964" s="95"/>
      <c r="D964" s="95"/>
      <c r="E964" s="95"/>
      <c r="F964" s="95"/>
      <c r="G964" s="95"/>
      <c r="H964" s="95"/>
      <c r="I964" s="95"/>
      <c r="J964" s="95"/>
      <c r="K964" s="95"/>
      <c r="L964" s="95"/>
      <c r="M964" s="95"/>
      <c r="N964" s="95"/>
      <c r="O964" s="95"/>
      <c r="P964" s="95"/>
      <c r="Q964" s="95"/>
      <c r="R964" s="95"/>
      <c r="S964" s="95"/>
      <c r="T964" s="95"/>
      <c r="U964" s="95"/>
      <c r="V964" s="95"/>
      <c r="W964" s="95"/>
      <c r="X964" s="95"/>
      <c r="Y964" s="95"/>
      <c r="Z964" s="95"/>
      <c r="AA964" s="95"/>
    </row>
    <row r="965">
      <c r="A965" s="95" t="s">
        <v>5116</v>
      </c>
      <c r="B965" s="95"/>
      <c r="C965" s="95"/>
      <c r="D965" s="95"/>
      <c r="E965" s="95"/>
      <c r="F965" s="95"/>
      <c r="G965" s="95"/>
      <c r="H965" s="95"/>
      <c r="I965" s="95"/>
      <c r="J965" s="95"/>
      <c r="K965" s="95"/>
      <c r="L965" s="95"/>
      <c r="M965" s="95"/>
      <c r="N965" s="95"/>
      <c r="O965" s="95"/>
      <c r="P965" s="95"/>
      <c r="Q965" s="95"/>
      <c r="R965" s="95"/>
      <c r="S965" s="95"/>
      <c r="T965" s="95"/>
      <c r="U965" s="95"/>
      <c r="V965" s="95"/>
      <c r="W965" s="95"/>
      <c r="X965" s="95"/>
      <c r="Y965" s="95"/>
      <c r="Z965" s="95"/>
      <c r="AA965" s="95"/>
    </row>
    <row r="966">
      <c r="A966" s="95" t="s">
        <v>5116</v>
      </c>
      <c r="B966" s="95"/>
      <c r="C966" s="95"/>
      <c r="D966" s="95"/>
      <c r="E966" s="95"/>
      <c r="F966" s="95"/>
      <c r="G966" s="95"/>
      <c r="H966" s="95"/>
      <c r="I966" s="95"/>
      <c r="J966" s="95"/>
      <c r="K966" s="95"/>
      <c r="L966" s="95"/>
      <c r="M966" s="95"/>
      <c r="N966" s="95"/>
      <c r="O966" s="95"/>
      <c r="P966" s="95"/>
      <c r="Q966" s="95"/>
      <c r="R966" s="95"/>
      <c r="S966" s="95"/>
      <c r="T966" s="95"/>
      <c r="U966" s="95"/>
      <c r="V966" s="95"/>
      <c r="W966" s="95"/>
      <c r="X966" s="95"/>
      <c r="Y966" s="95"/>
      <c r="Z966" s="95"/>
      <c r="AA966" s="95"/>
    </row>
    <row r="967">
      <c r="A967" s="95" t="s">
        <v>5116</v>
      </c>
      <c r="B967" s="95"/>
      <c r="C967" s="95"/>
      <c r="D967" s="95"/>
      <c r="E967" s="95"/>
      <c r="F967" s="95"/>
      <c r="G967" s="95"/>
      <c r="H967" s="95"/>
      <c r="I967" s="95"/>
      <c r="J967" s="95"/>
      <c r="K967" s="95"/>
      <c r="L967" s="95"/>
      <c r="M967" s="95"/>
      <c r="N967" s="95"/>
      <c r="O967" s="95"/>
      <c r="P967" s="95"/>
      <c r="Q967" s="95"/>
      <c r="R967" s="95"/>
      <c r="S967" s="95"/>
      <c r="T967" s="95"/>
      <c r="U967" s="95"/>
      <c r="V967" s="95"/>
      <c r="W967" s="95"/>
      <c r="X967" s="95"/>
      <c r="Y967" s="95"/>
      <c r="Z967" s="95"/>
      <c r="AA967" s="95"/>
    </row>
    <row r="968">
      <c r="A968" s="95" t="s">
        <v>5116</v>
      </c>
      <c r="B968" s="95"/>
      <c r="C968" s="95"/>
      <c r="D968" s="95"/>
      <c r="E968" s="95"/>
      <c r="F968" s="95"/>
      <c r="G968" s="95"/>
      <c r="H968" s="95"/>
      <c r="I968" s="95"/>
      <c r="J968" s="95"/>
      <c r="K968" s="95"/>
      <c r="L968" s="95"/>
      <c r="M968" s="95"/>
      <c r="N968" s="95"/>
      <c r="O968" s="95"/>
      <c r="P968" s="95"/>
      <c r="Q968" s="95"/>
      <c r="R968" s="95"/>
      <c r="S968" s="95"/>
      <c r="T968" s="95"/>
      <c r="U968" s="95"/>
      <c r="V968" s="95"/>
      <c r="W968" s="95"/>
      <c r="X968" s="95"/>
      <c r="Y968" s="95"/>
      <c r="Z968" s="95"/>
      <c r="AA968" s="95"/>
    </row>
    <row r="969">
      <c r="A969" s="95" t="s">
        <v>5116</v>
      </c>
      <c r="B969" s="95"/>
      <c r="C969" s="95"/>
      <c r="D969" s="95"/>
      <c r="E969" s="95"/>
      <c r="F969" s="95"/>
      <c r="G969" s="95"/>
      <c r="H969" s="95"/>
      <c r="I969" s="95"/>
      <c r="J969" s="95"/>
      <c r="K969" s="95"/>
      <c r="L969" s="95"/>
      <c r="M969" s="95"/>
      <c r="N969" s="95"/>
      <c r="O969" s="95"/>
      <c r="P969" s="95"/>
      <c r="Q969" s="95"/>
      <c r="R969" s="95"/>
      <c r="S969" s="95"/>
      <c r="T969" s="95"/>
      <c r="U969" s="95"/>
      <c r="V969" s="95"/>
      <c r="W969" s="95"/>
      <c r="X969" s="95"/>
      <c r="Y969" s="95"/>
      <c r="Z969" s="95"/>
      <c r="AA969" s="95"/>
    </row>
    <row r="970">
      <c r="A970" s="95" t="s">
        <v>5116</v>
      </c>
      <c r="B970" s="95"/>
      <c r="C970" s="95"/>
      <c r="D970" s="95"/>
      <c r="E970" s="95"/>
      <c r="F970" s="95"/>
      <c r="G970" s="95"/>
      <c r="H970" s="95"/>
      <c r="I970" s="95"/>
      <c r="J970" s="95"/>
      <c r="K970" s="95"/>
      <c r="L970" s="95"/>
      <c r="M970" s="95"/>
      <c r="N970" s="95"/>
      <c r="O970" s="95"/>
      <c r="P970" s="95"/>
      <c r="Q970" s="95"/>
      <c r="R970" s="95"/>
      <c r="S970" s="95"/>
      <c r="T970" s="95"/>
      <c r="U970" s="95"/>
      <c r="V970" s="95"/>
      <c r="W970" s="95"/>
      <c r="X970" s="95"/>
      <c r="Y970" s="95"/>
      <c r="Z970" s="95"/>
      <c r="AA970" s="95"/>
    </row>
    <row r="971">
      <c r="A971" s="95" t="s">
        <v>5116</v>
      </c>
      <c r="B971" s="95"/>
      <c r="C971" s="95"/>
      <c r="D971" s="95"/>
      <c r="E971" s="95"/>
      <c r="F971" s="95"/>
      <c r="G971" s="95"/>
      <c r="H971" s="95"/>
      <c r="I971" s="95"/>
      <c r="J971" s="95"/>
      <c r="K971" s="95"/>
      <c r="L971" s="95"/>
      <c r="M971" s="95"/>
      <c r="N971" s="95"/>
      <c r="O971" s="95"/>
      <c r="P971" s="95"/>
      <c r="Q971" s="95"/>
      <c r="R971" s="95"/>
      <c r="S971" s="95"/>
      <c r="T971" s="95"/>
      <c r="U971" s="95"/>
      <c r="V971" s="95"/>
      <c r="W971" s="95"/>
      <c r="X971" s="95"/>
      <c r="Y971" s="95"/>
      <c r="Z971" s="95"/>
      <c r="AA971" s="95"/>
    </row>
    <row r="972">
      <c r="A972" s="95" t="s">
        <v>5116</v>
      </c>
      <c r="B972" s="95"/>
      <c r="C972" s="95"/>
      <c r="D972" s="95"/>
      <c r="E972" s="95"/>
      <c r="F972" s="95"/>
      <c r="G972" s="95"/>
      <c r="H972" s="95"/>
      <c r="I972" s="95"/>
      <c r="J972" s="95"/>
      <c r="K972" s="95"/>
      <c r="L972" s="95"/>
      <c r="M972" s="95"/>
      <c r="N972" s="95"/>
      <c r="O972" s="95"/>
      <c r="P972" s="95"/>
      <c r="Q972" s="95"/>
      <c r="R972" s="95"/>
      <c r="S972" s="95"/>
      <c r="T972" s="95"/>
      <c r="U972" s="95"/>
      <c r="V972" s="95"/>
      <c r="W972" s="95"/>
      <c r="X972" s="95"/>
      <c r="Y972" s="95"/>
      <c r="Z972" s="95"/>
      <c r="AA972" s="95"/>
    </row>
    <row r="973">
      <c r="A973" s="95" t="s">
        <v>5116</v>
      </c>
      <c r="B973" s="95"/>
      <c r="C973" s="95"/>
      <c r="D973" s="95"/>
      <c r="E973" s="95"/>
      <c r="F973" s="95"/>
      <c r="G973" s="95"/>
      <c r="H973" s="95"/>
      <c r="I973" s="95"/>
      <c r="J973" s="95"/>
      <c r="K973" s="95"/>
      <c r="L973" s="95"/>
      <c r="M973" s="95"/>
      <c r="N973" s="95"/>
      <c r="O973" s="95"/>
      <c r="P973" s="95"/>
      <c r="Q973" s="95"/>
      <c r="R973" s="95"/>
      <c r="S973" s="95"/>
      <c r="T973" s="95"/>
      <c r="U973" s="95"/>
      <c r="V973" s="95"/>
      <c r="W973" s="95"/>
      <c r="X973" s="95"/>
      <c r="Y973" s="95"/>
      <c r="Z973" s="95"/>
      <c r="AA973" s="95"/>
    </row>
    <row r="974">
      <c r="A974" s="95" t="s">
        <v>5116</v>
      </c>
      <c r="B974" s="95"/>
      <c r="C974" s="95"/>
      <c r="D974" s="95"/>
      <c r="E974" s="95"/>
      <c r="F974" s="95"/>
      <c r="G974" s="95"/>
      <c r="H974" s="95"/>
      <c r="I974" s="95"/>
      <c r="J974" s="95"/>
      <c r="K974" s="95"/>
      <c r="L974" s="95"/>
      <c r="M974" s="95"/>
      <c r="N974" s="95"/>
      <c r="O974" s="95"/>
      <c r="P974" s="95"/>
      <c r="Q974" s="95"/>
      <c r="R974" s="95"/>
      <c r="S974" s="95"/>
      <c r="T974" s="95"/>
      <c r="U974" s="95"/>
      <c r="V974" s="95"/>
      <c r="W974" s="95"/>
      <c r="X974" s="95"/>
      <c r="Y974" s="95"/>
      <c r="Z974" s="95"/>
      <c r="AA974" s="95"/>
    </row>
    <row r="975">
      <c r="A975" s="95" t="s">
        <v>5116</v>
      </c>
      <c r="B975" s="95"/>
      <c r="C975" s="95"/>
      <c r="D975" s="95"/>
      <c r="E975" s="95"/>
      <c r="F975" s="95"/>
      <c r="G975" s="95"/>
      <c r="H975" s="95"/>
      <c r="I975" s="95"/>
      <c r="J975" s="95"/>
      <c r="K975" s="95"/>
      <c r="L975" s="95"/>
      <c r="M975" s="95"/>
      <c r="N975" s="95"/>
      <c r="O975" s="95"/>
      <c r="P975" s="95"/>
      <c r="Q975" s="95"/>
      <c r="R975" s="95"/>
      <c r="S975" s="95"/>
      <c r="T975" s="95"/>
      <c r="U975" s="95"/>
      <c r="V975" s="95"/>
      <c r="W975" s="95"/>
      <c r="X975" s="95"/>
      <c r="Y975" s="95"/>
      <c r="Z975" s="95"/>
      <c r="AA975" s="95"/>
    </row>
    <row r="976">
      <c r="A976" s="95" t="s">
        <v>5116</v>
      </c>
      <c r="B976" s="95"/>
      <c r="C976" s="95"/>
      <c r="D976" s="95"/>
      <c r="E976" s="95"/>
      <c r="F976" s="95"/>
      <c r="G976" s="95"/>
      <c r="H976" s="95"/>
      <c r="I976" s="95"/>
      <c r="J976" s="95"/>
      <c r="K976" s="95"/>
      <c r="L976" s="95"/>
      <c r="M976" s="95"/>
      <c r="N976" s="95"/>
      <c r="O976" s="95"/>
      <c r="P976" s="95"/>
      <c r="Q976" s="95"/>
      <c r="R976" s="95"/>
      <c r="S976" s="95"/>
      <c r="T976" s="95"/>
      <c r="U976" s="95"/>
      <c r="V976" s="95"/>
      <c r="W976" s="95"/>
      <c r="X976" s="95"/>
      <c r="Y976" s="95"/>
      <c r="Z976" s="95"/>
      <c r="AA976" s="95"/>
    </row>
    <row r="977">
      <c r="A977" s="95" t="s">
        <v>5116</v>
      </c>
      <c r="B977" s="95"/>
      <c r="C977" s="95"/>
      <c r="D977" s="95"/>
      <c r="E977" s="95"/>
      <c r="F977" s="95"/>
      <c r="G977" s="95"/>
      <c r="H977" s="95"/>
      <c r="I977" s="95"/>
      <c r="J977" s="95"/>
      <c r="K977" s="95"/>
      <c r="L977" s="95"/>
      <c r="M977" s="95"/>
      <c r="N977" s="95"/>
      <c r="O977" s="95"/>
      <c r="P977" s="95"/>
      <c r="Q977" s="95"/>
      <c r="R977" s="95"/>
      <c r="S977" s="95"/>
      <c r="T977" s="95"/>
      <c r="U977" s="95"/>
      <c r="V977" s="95"/>
      <c r="W977" s="95"/>
      <c r="X977" s="95"/>
      <c r="Y977" s="95"/>
      <c r="Z977" s="95"/>
      <c r="AA977" s="95"/>
    </row>
    <row r="978">
      <c r="A978" s="95" t="s">
        <v>5116</v>
      </c>
      <c r="B978" s="95"/>
      <c r="C978" s="95"/>
      <c r="D978" s="95"/>
      <c r="E978" s="95"/>
      <c r="F978" s="95"/>
      <c r="G978" s="95"/>
      <c r="H978" s="95"/>
      <c r="I978" s="95"/>
      <c r="J978" s="95"/>
      <c r="K978" s="95"/>
      <c r="L978" s="95"/>
      <c r="M978" s="95"/>
      <c r="N978" s="95"/>
      <c r="O978" s="95"/>
      <c r="P978" s="95"/>
      <c r="Q978" s="95"/>
      <c r="R978" s="95"/>
      <c r="S978" s="95"/>
      <c r="T978" s="95"/>
      <c r="U978" s="95"/>
      <c r="V978" s="95"/>
      <c r="W978" s="95"/>
      <c r="X978" s="95"/>
      <c r="Y978" s="95"/>
      <c r="Z978" s="95"/>
      <c r="AA978" s="95"/>
    </row>
    <row r="979">
      <c r="A979" s="95" t="s">
        <v>5116</v>
      </c>
      <c r="B979" s="95"/>
      <c r="C979" s="95"/>
      <c r="D979" s="95"/>
      <c r="E979" s="95"/>
      <c r="F979" s="95"/>
      <c r="G979" s="95"/>
      <c r="H979" s="95"/>
      <c r="I979" s="95"/>
      <c r="J979" s="95"/>
      <c r="K979" s="95"/>
      <c r="L979" s="95"/>
      <c r="M979" s="95"/>
      <c r="N979" s="95"/>
      <c r="O979" s="95"/>
      <c r="P979" s="95"/>
      <c r="Q979" s="95"/>
      <c r="R979" s="95"/>
      <c r="S979" s="95"/>
      <c r="T979" s="95"/>
      <c r="U979" s="95"/>
      <c r="V979" s="95"/>
      <c r="W979" s="95"/>
      <c r="X979" s="95"/>
      <c r="Y979" s="95"/>
      <c r="Z979" s="95"/>
      <c r="AA979" s="95"/>
    </row>
    <row r="980">
      <c r="A980" s="95" t="s">
        <v>5116</v>
      </c>
      <c r="B980" s="95"/>
      <c r="C980" s="95"/>
      <c r="D980" s="95"/>
      <c r="E980" s="95"/>
      <c r="F980" s="95"/>
      <c r="G980" s="95"/>
      <c r="H980" s="95"/>
      <c r="I980" s="95"/>
      <c r="J980" s="95"/>
      <c r="K980" s="95"/>
      <c r="L980" s="95"/>
      <c r="M980" s="95"/>
      <c r="N980" s="95"/>
      <c r="O980" s="95"/>
      <c r="P980" s="95"/>
      <c r="Q980" s="95"/>
      <c r="R980" s="95"/>
      <c r="S980" s="95"/>
      <c r="T980" s="95"/>
      <c r="U980" s="95"/>
      <c r="V980" s="95"/>
      <c r="W980" s="95"/>
      <c r="X980" s="95"/>
      <c r="Y980" s="95"/>
      <c r="Z980" s="95"/>
      <c r="AA980" s="95"/>
    </row>
    <row r="981">
      <c r="A981" s="95" t="s">
        <v>5116</v>
      </c>
      <c r="B981" s="95"/>
      <c r="C981" s="95"/>
      <c r="D981" s="95"/>
      <c r="E981" s="95"/>
      <c r="F981" s="95"/>
      <c r="G981" s="95"/>
      <c r="H981" s="95"/>
      <c r="I981" s="95"/>
      <c r="J981" s="95"/>
      <c r="K981" s="95"/>
      <c r="L981" s="95"/>
      <c r="M981" s="95"/>
      <c r="N981" s="95"/>
      <c r="O981" s="95"/>
      <c r="P981" s="95"/>
      <c r="Q981" s="95"/>
      <c r="R981" s="95"/>
      <c r="S981" s="95"/>
      <c r="T981" s="95"/>
      <c r="U981" s="95"/>
      <c r="V981" s="95"/>
      <c r="W981" s="95"/>
      <c r="X981" s="95"/>
      <c r="Y981" s="95"/>
      <c r="Z981" s="95"/>
      <c r="AA981" s="95"/>
    </row>
    <row r="982">
      <c r="A982" s="95" t="s">
        <v>5116</v>
      </c>
      <c r="B982" s="95"/>
      <c r="C982" s="95"/>
      <c r="D982" s="95"/>
      <c r="E982" s="95"/>
      <c r="F982" s="95"/>
      <c r="G982" s="95"/>
      <c r="H982" s="95"/>
      <c r="I982" s="95"/>
      <c r="J982" s="95"/>
      <c r="K982" s="95"/>
      <c r="L982" s="95"/>
      <c r="M982" s="95"/>
      <c r="N982" s="95"/>
      <c r="O982" s="95"/>
      <c r="P982" s="95"/>
      <c r="Q982" s="95"/>
      <c r="R982" s="95"/>
      <c r="S982" s="95"/>
      <c r="T982" s="95"/>
      <c r="U982" s="95"/>
      <c r="V982" s="95"/>
      <c r="W982" s="95"/>
      <c r="X982" s="95"/>
      <c r="Y982" s="95"/>
      <c r="Z982" s="95"/>
      <c r="AA982" s="95"/>
    </row>
    <row r="983">
      <c r="A983" s="95" t="s">
        <v>5116</v>
      </c>
      <c r="B983" s="95"/>
      <c r="C983" s="95"/>
      <c r="D983" s="95"/>
      <c r="E983" s="95"/>
      <c r="F983" s="95"/>
      <c r="G983" s="95"/>
      <c r="H983" s="95"/>
      <c r="I983" s="95"/>
      <c r="J983" s="95"/>
      <c r="K983" s="95"/>
      <c r="L983" s="95"/>
      <c r="M983" s="95"/>
      <c r="N983" s="95"/>
      <c r="O983" s="95"/>
      <c r="P983" s="95"/>
      <c r="Q983" s="95"/>
      <c r="R983" s="95"/>
      <c r="S983" s="95"/>
      <c r="T983" s="95"/>
      <c r="U983" s="95"/>
      <c r="V983" s="95"/>
      <c r="W983" s="95"/>
      <c r="X983" s="95"/>
      <c r="Y983" s="95"/>
      <c r="Z983" s="95"/>
      <c r="AA983" s="95"/>
    </row>
    <row r="984">
      <c r="A984" s="95" t="s">
        <v>5116</v>
      </c>
      <c r="B984" s="95"/>
      <c r="C984" s="95"/>
      <c r="D984" s="95"/>
      <c r="E984" s="95"/>
      <c r="F984" s="95"/>
      <c r="G984" s="95"/>
      <c r="H984" s="95"/>
      <c r="I984" s="95"/>
      <c r="J984" s="95"/>
      <c r="K984" s="95"/>
      <c r="L984" s="95"/>
      <c r="M984" s="95"/>
      <c r="N984" s="95"/>
      <c r="O984" s="95"/>
      <c r="P984" s="95"/>
      <c r="Q984" s="95"/>
      <c r="R984" s="95"/>
      <c r="S984" s="95"/>
      <c r="T984" s="95"/>
      <c r="U984" s="95"/>
      <c r="V984" s="95"/>
      <c r="W984" s="95"/>
      <c r="X984" s="95"/>
      <c r="Y984" s="95"/>
      <c r="Z984" s="95"/>
      <c r="AA984" s="95"/>
    </row>
    <row r="985">
      <c r="A985" s="95" t="s">
        <v>5116</v>
      </c>
      <c r="B985" s="95"/>
      <c r="C985" s="95"/>
      <c r="D985" s="95"/>
      <c r="E985" s="95"/>
      <c r="F985" s="95"/>
      <c r="G985" s="95"/>
      <c r="H985" s="95"/>
      <c r="I985" s="95"/>
      <c r="J985" s="95"/>
      <c r="K985" s="95"/>
      <c r="L985" s="95"/>
      <c r="M985" s="95"/>
      <c r="N985" s="95"/>
      <c r="O985" s="95"/>
      <c r="P985" s="95"/>
      <c r="Q985" s="95"/>
      <c r="R985" s="95"/>
      <c r="S985" s="95"/>
      <c r="T985" s="95"/>
      <c r="U985" s="95"/>
      <c r="V985" s="95"/>
      <c r="W985" s="95"/>
      <c r="X985" s="95"/>
      <c r="Y985" s="95"/>
      <c r="Z985" s="95"/>
      <c r="AA985" s="95"/>
    </row>
    <row r="986">
      <c r="A986" s="95" t="s">
        <v>5116</v>
      </c>
      <c r="B986" s="95"/>
      <c r="C986" s="95"/>
      <c r="D986" s="95"/>
      <c r="E986" s="95"/>
      <c r="F986" s="95"/>
      <c r="G986" s="95"/>
      <c r="H986" s="95"/>
      <c r="I986" s="95"/>
      <c r="J986" s="95"/>
      <c r="K986" s="95"/>
      <c r="L986" s="95"/>
      <c r="M986" s="95"/>
      <c r="N986" s="95"/>
      <c r="O986" s="95"/>
      <c r="P986" s="95"/>
      <c r="Q986" s="95"/>
      <c r="R986" s="95"/>
      <c r="S986" s="95"/>
      <c r="T986" s="95"/>
      <c r="U986" s="95"/>
      <c r="V986" s="95"/>
      <c r="W986" s="95"/>
      <c r="X986" s="95"/>
      <c r="Y986" s="95"/>
      <c r="Z986" s="95"/>
      <c r="AA986" s="95"/>
    </row>
    <row r="987">
      <c r="A987" s="95" t="s">
        <v>5116</v>
      </c>
      <c r="B987" s="95"/>
      <c r="C987" s="95"/>
      <c r="D987" s="95"/>
      <c r="E987" s="95"/>
      <c r="F987" s="95"/>
      <c r="G987" s="95"/>
      <c r="H987" s="95"/>
      <c r="I987" s="95"/>
      <c r="J987" s="95"/>
      <c r="K987" s="95"/>
      <c r="L987" s="95"/>
      <c r="M987" s="95"/>
      <c r="N987" s="95"/>
      <c r="O987" s="95"/>
      <c r="P987" s="95"/>
      <c r="Q987" s="95"/>
      <c r="R987" s="95"/>
      <c r="S987" s="95"/>
      <c r="T987" s="95"/>
      <c r="U987" s="95"/>
      <c r="V987" s="95"/>
      <c r="W987" s="95"/>
      <c r="X987" s="95"/>
      <c r="Y987" s="95"/>
      <c r="Z987" s="95"/>
      <c r="AA987" s="95"/>
    </row>
    <row r="988">
      <c r="A988" s="95" t="s">
        <v>5116</v>
      </c>
      <c r="B988" s="95"/>
      <c r="C988" s="95"/>
      <c r="D988" s="95"/>
      <c r="E988" s="95"/>
      <c r="F988" s="95"/>
      <c r="G988" s="95"/>
      <c r="H988" s="95"/>
      <c r="I988" s="95"/>
      <c r="J988" s="95"/>
      <c r="K988" s="95"/>
      <c r="L988" s="95"/>
      <c r="M988" s="95"/>
      <c r="N988" s="95"/>
      <c r="O988" s="95"/>
      <c r="P988" s="95"/>
      <c r="Q988" s="95"/>
      <c r="R988" s="95"/>
      <c r="S988" s="95"/>
      <c r="T988" s="95"/>
      <c r="U988" s="95"/>
      <c r="V988" s="95"/>
      <c r="W988" s="95"/>
      <c r="X988" s="95"/>
      <c r="Y988" s="95"/>
      <c r="Z988" s="95"/>
      <c r="AA988" s="95"/>
    </row>
    <row r="989">
      <c r="A989" s="95" t="s">
        <v>5116</v>
      </c>
      <c r="B989" s="95"/>
      <c r="C989" s="95"/>
      <c r="D989" s="95"/>
      <c r="E989" s="95"/>
      <c r="F989" s="95"/>
      <c r="G989" s="95"/>
      <c r="H989" s="95"/>
      <c r="I989" s="95"/>
      <c r="J989" s="95"/>
      <c r="K989" s="95"/>
      <c r="L989" s="95"/>
      <c r="M989" s="95"/>
      <c r="N989" s="95"/>
      <c r="O989" s="95"/>
      <c r="P989" s="95"/>
      <c r="Q989" s="95"/>
      <c r="R989" s="95"/>
      <c r="S989" s="95"/>
      <c r="T989" s="95"/>
      <c r="U989" s="95"/>
      <c r="V989" s="95"/>
      <c r="W989" s="95"/>
      <c r="X989" s="95"/>
      <c r="Y989" s="95"/>
      <c r="Z989" s="95"/>
      <c r="AA989" s="95"/>
    </row>
    <row r="990">
      <c r="A990" s="95" t="s">
        <v>5116</v>
      </c>
      <c r="B990" s="95"/>
      <c r="C990" s="95"/>
      <c r="D990" s="95"/>
      <c r="E990" s="95"/>
      <c r="F990" s="95"/>
      <c r="G990" s="95"/>
      <c r="H990" s="95"/>
      <c r="I990" s="95"/>
      <c r="J990" s="95"/>
      <c r="K990" s="95"/>
      <c r="L990" s="95"/>
      <c r="M990" s="95"/>
      <c r="N990" s="95"/>
      <c r="O990" s="95"/>
      <c r="P990" s="95"/>
      <c r="Q990" s="95"/>
      <c r="R990" s="95"/>
      <c r="S990" s="95"/>
      <c r="T990" s="95"/>
      <c r="U990" s="95"/>
      <c r="V990" s="95"/>
      <c r="W990" s="95"/>
      <c r="X990" s="95"/>
      <c r="Y990" s="95"/>
      <c r="Z990" s="95"/>
      <c r="AA990" s="95"/>
    </row>
    <row r="991">
      <c r="A991" s="95" t="s">
        <v>5116</v>
      </c>
      <c r="B991" s="95"/>
      <c r="C991" s="95"/>
      <c r="D991" s="95"/>
      <c r="E991" s="95"/>
      <c r="F991" s="95"/>
      <c r="G991" s="95"/>
      <c r="H991" s="95"/>
      <c r="I991" s="95"/>
      <c r="J991" s="95"/>
      <c r="K991" s="95"/>
      <c r="L991" s="95"/>
      <c r="M991" s="95"/>
      <c r="N991" s="95"/>
      <c r="O991" s="95"/>
      <c r="P991" s="95"/>
      <c r="Q991" s="95"/>
      <c r="R991" s="95"/>
      <c r="S991" s="95"/>
      <c r="T991" s="95"/>
      <c r="U991" s="95"/>
      <c r="V991" s="95"/>
      <c r="W991" s="95"/>
      <c r="X991" s="95"/>
      <c r="Y991" s="95"/>
      <c r="Z991" s="95"/>
      <c r="AA991" s="95"/>
    </row>
    <row r="992">
      <c r="A992" s="95" t="s">
        <v>5116</v>
      </c>
      <c r="B992" s="95"/>
      <c r="C992" s="95"/>
      <c r="D992" s="95"/>
      <c r="E992" s="95"/>
      <c r="F992" s="95"/>
      <c r="G992" s="95"/>
      <c r="H992" s="95"/>
      <c r="I992" s="95"/>
      <c r="J992" s="95"/>
      <c r="K992" s="95"/>
      <c r="L992" s="95"/>
      <c r="M992" s="95"/>
      <c r="N992" s="95"/>
      <c r="O992" s="95"/>
      <c r="P992" s="95"/>
      <c r="Q992" s="95"/>
      <c r="R992" s="95"/>
      <c r="S992" s="95"/>
      <c r="T992" s="95"/>
      <c r="U992" s="95"/>
      <c r="V992" s="95"/>
      <c r="W992" s="95"/>
      <c r="X992" s="95"/>
      <c r="Y992" s="95"/>
      <c r="Z992" s="95"/>
      <c r="AA992" s="95"/>
    </row>
    <row r="993">
      <c r="A993" s="95" t="s">
        <v>5116</v>
      </c>
      <c r="B993" s="95"/>
      <c r="C993" s="95"/>
      <c r="D993" s="95"/>
      <c r="E993" s="95"/>
      <c r="F993" s="95"/>
      <c r="G993" s="95"/>
      <c r="H993" s="95"/>
      <c r="I993" s="95"/>
      <c r="J993" s="95"/>
      <c r="K993" s="95"/>
      <c r="L993" s="95"/>
      <c r="M993" s="95"/>
      <c r="N993" s="95"/>
      <c r="O993" s="95"/>
      <c r="P993" s="95"/>
      <c r="Q993" s="95"/>
      <c r="R993" s="95"/>
      <c r="S993" s="95"/>
      <c r="T993" s="95"/>
      <c r="U993" s="95"/>
      <c r="V993" s="95"/>
      <c r="W993" s="95"/>
      <c r="X993" s="95"/>
      <c r="Y993" s="95"/>
      <c r="Z993" s="95"/>
      <c r="AA993" s="95"/>
    </row>
    <row r="994">
      <c r="A994" s="95" t="s">
        <v>5116</v>
      </c>
      <c r="B994" s="95"/>
      <c r="C994" s="95"/>
      <c r="D994" s="95"/>
      <c r="E994" s="95"/>
      <c r="F994" s="95"/>
      <c r="G994" s="95"/>
      <c r="H994" s="95"/>
      <c r="I994" s="95"/>
      <c r="J994" s="95"/>
      <c r="K994" s="95"/>
      <c r="L994" s="95"/>
      <c r="M994" s="95"/>
      <c r="N994" s="95"/>
      <c r="O994" s="95"/>
      <c r="P994" s="95"/>
      <c r="Q994" s="95"/>
      <c r="R994" s="95"/>
      <c r="S994" s="95"/>
      <c r="T994" s="95"/>
      <c r="U994" s="95"/>
      <c r="V994" s="95"/>
      <c r="W994" s="95"/>
      <c r="X994" s="95"/>
      <c r="Y994" s="95"/>
      <c r="Z994" s="95"/>
      <c r="AA994" s="95"/>
    </row>
    <row r="995">
      <c r="A995" s="95" t="s">
        <v>5116</v>
      </c>
      <c r="B995" s="95"/>
      <c r="C995" s="95"/>
      <c r="D995" s="95"/>
      <c r="E995" s="95"/>
      <c r="F995" s="95"/>
      <c r="G995" s="95"/>
      <c r="H995" s="95"/>
      <c r="I995" s="95"/>
      <c r="J995" s="95"/>
      <c r="K995" s="95"/>
      <c r="L995" s="95"/>
      <c r="M995" s="95"/>
      <c r="N995" s="95"/>
      <c r="O995" s="95"/>
      <c r="P995" s="95"/>
      <c r="Q995" s="95"/>
      <c r="R995" s="95"/>
      <c r="S995" s="95"/>
      <c r="T995" s="95"/>
      <c r="U995" s="95"/>
      <c r="V995" s="95"/>
      <c r="W995" s="95"/>
      <c r="X995" s="95"/>
      <c r="Y995" s="95"/>
      <c r="Z995" s="95"/>
      <c r="AA995" s="95"/>
    </row>
    <row r="996">
      <c r="A996" s="95" t="s">
        <v>5116</v>
      </c>
      <c r="B996" s="95"/>
      <c r="C996" s="95"/>
      <c r="D996" s="95"/>
      <c r="E996" s="95"/>
      <c r="F996" s="95"/>
      <c r="G996" s="95"/>
      <c r="H996" s="95"/>
      <c r="I996" s="95"/>
      <c r="J996" s="95"/>
      <c r="K996" s="95"/>
      <c r="L996" s="95"/>
      <c r="M996" s="95"/>
      <c r="N996" s="95"/>
      <c r="O996" s="95"/>
      <c r="P996" s="95"/>
      <c r="Q996" s="95"/>
      <c r="R996" s="95"/>
      <c r="S996" s="95"/>
      <c r="T996" s="95"/>
      <c r="U996" s="95"/>
      <c r="V996" s="95"/>
      <c r="W996" s="95"/>
      <c r="X996" s="95"/>
      <c r="Y996" s="95"/>
      <c r="Z996" s="95"/>
      <c r="AA996" s="95"/>
    </row>
    <row r="997">
      <c r="A997" s="95" t="s">
        <v>5116</v>
      </c>
      <c r="B997" s="95"/>
      <c r="C997" s="95"/>
      <c r="D997" s="95"/>
      <c r="E997" s="95"/>
      <c r="F997" s="95"/>
      <c r="G997" s="95"/>
      <c r="H997" s="95"/>
      <c r="I997" s="95"/>
      <c r="J997" s="95"/>
      <c r="K997" s="95"/>
      <c r="L997" s="95"/>
      <c r="M997" s="95"/>
      <c r="N997" s="95"/>
      <c r="O997" s="95"/>
      <c r="P997" s="95"/>
      <c r="Q997" s="95"/>
      <c r="R997" s="95"/>
      <c r="S997" s="95"/>
      <c r="T997" s="95"/>
      <c r="U997" s="95"/>
      <c r="V997" s="95"/>
      <c r="W997" s="95"/>
      <c r="X997" s="95"/>
      <c r="Y997" s="95"/>
      <c r="Z997" s="95"/>
      <c r="AA997" s="95"/>
    </row>
    <row r="998">
      <c r="A998" s="95" t="s">
        <v>5116</v>
      </c>
      <c r="B998" s="95"/>
      <c r="C998" s="95"/>
      <c r="D998" s="95"/>
      <c r="E998" s="95"/>
      <c r="F998" s="95"/>
      <c r="G998" s="95"/>
      <c r="H998" s="95"/>
      <c r="I998" s="95"/>
      <c r="J998" s="95"/>
      <c r="K998" s="95"/>
      <c r="L998" s="95"/>
      <c r="M998" s="95"/>
      <c r="N998" s="95"/>
      <c r="O998" s="95"/>
      <c r="P998" s="95"/>
      <c r="Q998" s="95"/>
      <c r="R998" s="95"/>
      <c r="S998" s="95"/>
      <c r="T998" s="95"/>
      <c r="U998" s="95"/>
      <c r="V998" s="95"/>
      <c r="W998" s="95"/>
      <c r="X998" s="95"/>
      <c r="Y998" s="95"/>
      <c r="Z998" s="95"/>
      <c r="AA998" s="95"/>
    </row>
    <row r="999">
      <c r="A999" s="95" t="s">
        <v>5116</v>
      </c>
      <c r="B999" s="95"/>
      <c r="C999" s="95"/>
      <c r="D999" s="95"/>
      <c r="E999" s="95"/>
      <c r="F999" s="95"/>
      <c r="G999" s="95"/>
      <c r="H999" s="95"/>
      <c r="I999" s="95"/>
      <c r="J999" s="95"/>
      <c r="K999" s="95"/>
      <c r="L999" s="95"/>
      <c r="M999" s="95"/>
      <c r="N999" s="95"/>
      <c r="O999" s="95"/>
      <c r="P999" s="95"/>
      <c r="Q999" s="95"/>
      <c r="R999" s="95"/>
      <c r="S999" s="95"/>
      <c r="T999" s="95"/>
      <c r="U999" s="95"/>
      <c r="V999" s="95"/>
      <c r="W999" s="95"/>
      <c r="X999" s="95"/>
      <c r="Y999" s="95"/>
      <c r="Z999" s="95"/>
      <c r="AA999" s="95"/>
    </row>
    <row r="1000">
      <c r="A1000" s="95" t="s">
        <v>5116</v>
      </c>
      <c r="B1000" s="95"/>
      <c r="C1000" s="95"/>
      <c r="D1000" s="95"/>
      <c r="E1000" s="95"/>
      <c r="F1000" s="95"/>
      <c r="G1000" s="95"/>
      <c r="H1000" s="95"/>
      <c r="I1000" s="95"/>
      <c r="J1000" s="95"/>
      <c r="K1000" s="95"/>
      <c r="L1000" s="95"/>
      <c r="M1000" s="95"/>
      <c r="N1000" s="95"/>
      <c r="O1000" s="95"/>
      <c r="P1000" s="95"/>
      <c r="Q1000" s="95"/>
      <c r="R1000" s="95"/>
      <c r="S1000" s="95"/>
      <c r="T1000" s="95"/>
      <c r="U1000" s="95"/>
      <c r="V1000" s="95"/>
      <c r="W1000" s="95"/>
      <c r="X1000" s="95"/>
      <c r="Y1000" s="95"/>
      <c r="Z1000" s="95"/>
      <c r="AA1000" s="95"/>
    </row>
  </sheetData>
  <dataValidations>
    <dataValidation type="list" allowBlank="1" showErrorMessage="1" sqref="F2:F1000">
      <formula1>"締結,契約書送付済み,未送付,契約破棄,ステータス"</formula1>
    </dataValidation>
  </dataValidations>
  <drawing r:id="rId1"/>
</worksheet>
</file>